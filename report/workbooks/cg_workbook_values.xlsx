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Designs" sheetId="3" state="visible" r:id="rId5"/>
    <sheet name="Transform_Trace" sheetId="4" state="visible" r:id="rId6"/>
    <sheet name="Vertex_Groups" sheetId="5" state="visible" r:id="rId7"/>
    <sheet name="View_Projection" sheetId="6" state="visible" r:id="rId8"/>
    <sheet name="Clipping" sheetId="7" state="visible" r:id="rId9"/>
    <sheet name="Illumination" sheetId="8" state="visible" r:id="rId10"/>
    <sheet name="Color_Interp" sheetId="9" state="visible" r:id="rId11"/>
    <sheet name="Ray_Tracing" sheetId="10" state="visible" r:id="rId12"/>
    <sheet name="Thermal_Kernels" sheetId="11" state="visible" r:id="rId13"/>
    <sheet name="Tracking" sheetId="12" state="visible" r:id="rId14"/>
    <sheet name="Line_Follower" sheetId="13" state="visible" r:id="rId15"/>
    <sheet name="Explosion" sheetId="14" state="visible" r:id="rId16"/>
    <sheet name="Duty_Cycle" sheetId="15" state="visible" r:id="rId17"/>
    <sheet name="Performance" sheetId="16" state="visible" r:id="rId18"/>
  </sheets>
  <definedNames>
    <definedName function="false" hidden="false" localSheetId="6" name="_xlnm.Print_Area" vbProcedure="false">Clipping!$A$1:$U$42</definedName>
    <definedName function="false" hidden="false" localSheetId="8" name="_xlnm.Print_Area" vbProcedure="false">Color_Interp!$A$1:$U$36</definedName>
    <definedName function="false" hidden="false" localSheetId="1" name="_xlnm.Print_Area" vbProcedure="false">Decomposition!$A$1:$AC$202</definedName>
    <definedName function="false" hidden="false" localSheetId="2" name="_xlnm.Print_Area" vbProcedure="false">Designs!$A$1:$W$92</definedName>
    <definedName function="false" hidden="false" localSheetId="14" name="_xlnm.Print_Area" vbProcedure="false">Duty_Cycle!$A$1:$Z$34</definedName>
    <definedName function="false" hidden="false" localSheetId="13" name="_xlnm.Print_Area" vbProcedure="false">Explosion!$A$1:$S$56</definedName>
    <definedName function="false" hidden="false" localSheetId="7" name="_xlnm.Print_Area" vbProcedure="false">Illumination!$A$1:$K$54</definedName>
    <definedName function="false" hidden="false" localSheetId="12" name="_xlnm.Print_Area" vbProcedure="false">Line_Follower!$A$1:$M$26</definedName>
    <definedName function="false" hidden="false" localSheetId="15" name="_xlnm.Print_Area" vbProcedure="false">Performance!$A$1:$I$39</definedName>
    <definedName function="false" hidden="false" localSheetId="0" name="_xlnm.Print_Area" vbProcedure="false">Primitives!$A$1:$Q$43</definedName>
    <definedName function="false" hidden="false" localSheetId="9" name="_xlnm.Print_Area" vbProcedure="false">Ray_Tracing!$A$1:$J$39</definedName>
    <definedName function="false" hidden="false" localSheetId="10" name="_xlnm.Print_Area" vbProcedure="false">Thermal_Kernels!$A$1:$Z$28</definedName>
    <definedName function="false" hidden="false" localSheetId="11" name="_xlnm.Print_Area" vbProcedure="false">Tracking!$A$1:$U$42</definedName>
    <definedName function="false" hidden="false" localSheetId="3" name="_xlnm.Print_Area" vbProcedure="false">Transform_Trace!$A$1:$T$44</definedName>
    <definedName function="false" hidden="false" localSheetId="4" name="_xlnm.Print_Area" vbProcedure="false">Vertex_Groups!$A$1:$T$36</definedName>
    <definedName function="false" hidden="false" localSheetId="5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<sst xmlns="http://schemas.openxmlformats.org/spreadsheetml/2006/main" count="1918" uniqueCount="1212">
  <si>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</si>
  <si>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</si>
  <si>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</si>
  <si>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</si>
  <si>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</si>
  <si>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</si>
  <si>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</si>
  <si>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</si>
  <si>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</si>
  <si>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</si>
  <si>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</si>
  <si>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</si>
  <si>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</si>
  <si>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</si>
  <si>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</si>
  <si>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</si>
  <si>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</si>
  <si>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</si>
  <si>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</si>
  <si>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</si>
  <si>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</si>
  <si>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</si>
  <si>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-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</si>
  <si>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</si>
  <si>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</si>
  <si>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</si>
  <si>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</si>
  <si>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</si>
  <si>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</si>
  <si>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</si>
  <si>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</si>
  <si>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</si>
  <si>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</si>
  <si>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</si>
  <si>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</si>
  <si>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</si>
  <si>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</si>
  <si>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</si>
  <si>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</si>
  <si>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</si>
  <si>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</si>
  <si>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</si>
  <si>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</si>
  <si>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</si>
  <si>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</si>
  <si>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</si>
  <si>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</si>
  <si>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</si>
  <si>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</si>
  <si>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</si>
  <si>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</si>
  <si>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</si>
  <si>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</si>
  <si>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</si>
  <si>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</si>
  <si>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</si>
  <si>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</si>
  <si>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</si>
  <si>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</si>
  <si>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</si>
  <si>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</si>
  <si>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</si>
  <si>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</si>
  <si>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</si>
  <si>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</si>
  <si>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</si>
  <si>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</si>
  <si>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</si>
  <si>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</si>
  <si>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</si>
  <si>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</si>
  <si>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</si>
  <si>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</si>
  <si>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</si>
  <si>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</si>
  <si>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</si>
  <si>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</si>
  <si>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</si>
  <si>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</si>
  <si>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</si>
  <si>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</si>
  <si>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</si>
  <si>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</si>
  <si>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</si>
  <si>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</si>
  <si>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</si>
  <si>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</si>
  <si>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</si>
  <si>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</si>
  <si>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</si>
  <si>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</si>
  <si>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</si>
  <si>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</si>
  <si>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</si>
  <si>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</si>
  <si>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</si>
  <si>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</si>
  <si>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</si>
  <si>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</si>
  <si>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</si>
  <si>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</si>
  <si>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</si>
  <si>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</si>
  <si>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</si>
  <si>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</si>
  <si>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</si>
  <si>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</si>
  <si>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</si>
  <si>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</si>
  <si>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</si>
  <si>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</si>
  <si>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</si>
  <si>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</si>
  <si>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</si>
  <si>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</si>
  <si>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</si>
  <si>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</si>
  <si>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</si>
  <si>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</si>
  <si>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Wedge</t>
  </si>
  <si>
    <t xml:space="preserve">Tapered box</t>
  </si>
  <si>
    <t xml:space="preserve">Pyramid</t>
  </si>
  <si>
    <t xml:space="preserve">Sphere</t>
  </si>
  <si>
    <t xml:space="preserve">Hemisphere</t>
  </si>
  <si>
    <t xml:space="preserve">Capsule</t>
  </si>
  <si>
    <t xml:space="preserve">Cylinder</t>
  </si>
  <si>
    <t xml:space="preserve">Cylinder (frustum)</t>
  </si>
  <si>
    <t xml:space="preserve">Cone</t>
  </si>
  <si>
    <t xml:space="preserve">Torus</t>
  </si>
  <si>
    <t xml:space="preserve">Annulus</t>
  </si>
  <si>
    <t xml:space="preserve">Helix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</si>
  <si>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</si>
  <si>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</si>
  <si>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</si>
  <si>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</si>
  <si>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</si>
  <si>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</si>
  <si>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</si>
  <si>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</si>
  <si>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</si>
  <si>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</si>
  <si>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</si>
  <si>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</si>
  <si>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</si>
  <si>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</si>
  <si>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</si>
  <si>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</si>
  <si>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Barracks hall</t>
  </si>
  <si>
    <t xml:space="preserve">UAV pads</t>
  </si>
  <si>
    <t xml:space="preserve">Target Rover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</si>
  <si>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</si>
  <si>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</si>
  <si>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</si>
  <si>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</si>
  <si>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</si>
  <si>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Total parts</t>
  </si>
  <si>
    <t xml:space="preserve">MLRS rocket truck</t>
  </si>
  <si>
    <t xml:space="preserve">Main Battle Tank 2</t>
  </si>
  <si>
    <t xml:space="preserve">UAV-1 export = controllable 'UAV-1 DRONE' (root UAV-00);</t>
  </si>
  <si>
    <t xml:space="preserve">Main Battle Tank 3</t>
  </si>
  <si>
    <t xml:space="preserve">the object 'Autonomous UAV' below counts both UAVs.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</si>
  <si>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</si>
  <si>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</si>
  <si>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</si>
  <si>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</si>
  <si>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</si>
  <si>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</si>
  <si>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</si>
  <si>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</si>
  <si>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</si>
  <si>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</si>
  <si>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</si>
  <si>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</si>
  <si>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</si>
  <si>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</si>
  <si>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</si>
  <si>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</si>
  <si>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</si>
  <si>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</si>
  <si>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</si>
  <si>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</si>
  <si>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</si>
  <si>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</si>
  <si>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</si>
  <si>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</si>
  <si>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</si>
  <si>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</si>
  <si>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</si>
  <si>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</si>
  <si>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</si>
  <si>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</si>
  <si>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</si>
  <si>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</si>
  <si>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</si>
  <si>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</si>
  <si>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</si>
  <si>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</si>
  <si>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</si>
  <si>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</si>
  <si>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</si>
  <si>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</si>
  <si>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</si>
  <si>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</si>
  <si>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</si>
  <si>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</si>
  <si>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</si>
  <si>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</si>
  <si>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</si>
  <si>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</si>
  <si>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</si>
  <si>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</si>
  <si>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</si>
  <si>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</si>
  <si>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</si>
  <si>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</si>
  <si>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</si>
  <si>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</si>
  <si>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</si>
  <si>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</si>
  <si>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</si>
  <si>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</si>
  <si>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</si>
  <si>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</si>
  <si>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</si>
  <si>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</si>
  <si>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</si>
  <si>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</si>
  <si>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</si>
  <si>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</si>
  <si>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</si>
  <si>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</si>
  <si>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</si>
  <si>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</si>
  <si>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</si>
  <si>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</si>
  <si>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</si>
  <si>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</si>
  <si>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</si>
  <si>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</si>
  <si>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</si>
  <si>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</si>
  <si>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</si>
  <si>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</si>
  <si>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</si>
  <si>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</si>
  <si>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</si>
  <si>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</si>
  <si>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</si>
  <si>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</si>
  <si>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</si>
  <si>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</si>
  <si>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</si>
  <si>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</si>
  <si>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</si>
  <si>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</si>
  <si>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</si>
  <si>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</si>
  <si>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</si>
  <si>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</si>
  <si>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</si>
  <si>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</si>
  <si>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</si>
  <si>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</si>
  <si>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</si>
  <si>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</si>
  <si>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</si>
  <si>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</si>
  <si>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</si>
  <si>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</si>
  <si>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</si>
  <si>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</si>
  <si>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</si>
  <si>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</si>
  <si>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</si>
  <si>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</si>
  <si>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</si>
  <si>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</si>
  <si>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</si>
  <si>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</si>
  <si>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</si>
  <si>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</si>
  <si>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</si>
  <si>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</si>
  <si>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</si>
  <si>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</si>
  <si>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</si>
  <si>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</si>
  <si>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</si>
  <si>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</si>
  <si>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</si>
  <si>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</si>
  <si>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</si>
  <si>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</si>
  <si>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</si>
  <si>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</si>
  <si>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</si>
  <si>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</si>
  <si>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</si>
  <si>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</si>
  <si>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</si>
  <si>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</si>
  <si>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</si>
  <si>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</si>
  <si>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</si>
  <si>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</si>
  <si>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</si>
  <si>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</si>
  <si>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</si>
  <si>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</si>
  <si>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</si>
  <si>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</si>
  <si>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</si>
  <si>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</si>
  <si>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</si>
  <si>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</si>
  <si>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</si>
  <si>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</si>
  <si>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</si>
  <si>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</si>
  <si>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</si>
  <si>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</si>
  <si>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</si>
  <si>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</si>
  <si>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</si>
  <si>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</si>
  <si>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</si>
  <si>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</si>
  <si>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</si>
  <si>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</si>
  <si>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</si>
  <si>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</si>
  <si>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</si>
  <si>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</si>
  <si>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</si>
  <si>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</si>
  <si>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</si>
  <si>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</si>
  <si>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</si>
  <si>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</si>
  <si>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</si>
  <si>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</si>
  <si>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</si>
  <si>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</si>
  <si>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</si>
  <si>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</si>
  <si>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</si>
  <si>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</si>
  <si>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</si>
  <si>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</si>
  <si>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</si>
  <si>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</si>
  <si>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</si>
  <si>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</si>
  <si>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</si>
  <si>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</si>
  <si>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</si>
  <si>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</si>
  <si>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</si>
  <si>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</si>
  <si>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</si>
  <si>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</si>
  <si>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</si>
  <si>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</si>
  <si>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</si>
  <si>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</si>
  <si>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</si>
  <si>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</si>
  <si>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</si>
  <si>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</si>
  <si>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</si>
  <si>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</si>
  <si>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</si>
  <si>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</si>
  <si>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</si>
  <si>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</si>
  <si>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</si>
  <si>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</si>
  <si>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</si>
  <si>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</si>
  <si>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</si>
  <si>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</si>
  <si>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</si>
  <si>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</si>
  <si>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</si>
  <si>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</si>
  <si>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</si>
  <si>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</si>
  <si>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</si>
  <si>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</si>
  <si>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</si>
  <si>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</si>
  <si>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</si>
  <si>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</si>
  <si>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</si>
  <si>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</si>
  <si>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</si>
  <si>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</si>
  <si>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</si>
  <si>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</si>
  <si>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</si>
  <si>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</si>
  <si>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</si>
  <si>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</si>
  <si>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</si>
  <si>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</si>
  <si>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</si>
  <si>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</si>
  <si>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</si>
  <si>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</si>
  <si>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</si>
  <si>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</si>
  <si>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</si>
  <si>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</si>
  <si>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</si>
  <si>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</si>
  <si>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</si>
  <si>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</si>
  <si>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</si>
  <si>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</si>
  <si>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</si>
  <si>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</si>
  <si>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</si>
  <si>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</si>
  <si>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</si>
  <si>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</si>
  <si>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</si>
  <si>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</si>
  <si>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</si>
  <si>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</si>
  <si>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</si>
  <si>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</si>
  <si>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</si>
  <si>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</si>
  <si>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</si>
  <si>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</si>
  <si>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</si>
  <si>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</si>
  <si>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</si>
  <si>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</si>
  <si>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</si>
  <si>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</si>
  <si>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</si>
  <si>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</si>
  <si>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</si>
  <si>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</si>
  <si>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</si>
  <si>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</si>
  <si>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</si>
  <si>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</si>
  <si>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</si>
  <si>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</si>
  <si>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</si>
  <si>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</si>
  <si>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</si>
  <si>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</si>
  <si>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</si>
  <si>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</si>
  <si>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</si>
  <si>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</si>
  <si>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</si>
  <si>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</si>
  <si>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</si>
  <si>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</si>
  <si>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</si>
  <si>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</si>
  <si>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</si>
  <si>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</si>
  <si>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Designs: every object design, its instances and its primitives</t>
  </si>
  <si>
    <t xml:space="preserve">Source: ts --export-docs 'designs' (src/report/Designs.cpp) and src/report/PrimitiveColors.h. Section 19 of the report draws one card per design.</t>
  </si>
  <si>
    <t xml:space="preserve">1. Designs: parts by primitive over all instances (yellow: export), totals and checks (formulas)</t>
  </si>
  <si>
    <t xml:space="preserve">Design</t>
  </si>
  <si>
    <t xml:space="preserve">Family</t>
  </si>
  <si>
    <t xml:space="preserve">x n</t>
  </si>
  <si>
    <t xml:space="preserve">parts / inst.</t>
  </si>
  <si>
    <t xml:space="preserve">parts total</t>
  </si>
  <si>
    <t xml:space="preserve">n x parts</t>
  </si>
  <si>
    <t xml:space="preserve">Cuboid</t>
  </si>
  <si>
    <t xml:space="preserve">sum</t>
  </si>
  <si>
    <t xml:space="preserve">Soldier</t>
  </si>
  <si>
    <t xml:space="preserve">people</t>
  </si>
  <si>
    <t xml:space="preserve">Main battle tank</t>
  </si>
  <si>
    <t xml:space="preserve">vehicles and aircraft</t>
  </si>
  <si>
    <t xml:space="preserve">Scout helicopter</t>
  </si>
  <si>
    <t xml:space="preserve">Cargo truck</t>
  </si>
  <si>
    <t xml:space="preserve">Target rover</t>
  </si>
  <si>
    <t xml:space="preserve">weapons and munitions</t>
  </si>
  <si>
    <t xml:space="preserve">AA Gatling gun</t>
  </si>
  <si>
    <t xml:space="preserve">SAM missile</t>
  </si>
  <si>
    <t xml:space="preserve">MLRS rocket</t>
  </si>
  <si>
    <t xml:space="preserve">UAV round</t>
  </si>
  <si>
    <t xml:space="preserve">AA shell casing</t>
  </si>
  <si>
    <t xml:space="preserve">Command bunker</t>
  </si>
  <si>
    <t xml:space="preserve">buildings</t>
  </si>
  <si>
    <t xml:space="preserve">Motor pool</t>
  </si>
  <si>
    <t xml:space="preserve">Helipad</t>
  </si>
  <si>
    <t xml:space="preserve">Guard tower</t>
  </si>
  <si>
    <t xml:space="preserve">Watchtower</t>
  </si>
  <si>
    <t xml:space="preserve">Fuel depot</t>
  </si>
  <si>
    <t xml:space="preserve">Quonset hut</t>
  </si>
  <si>
    <t xml:space="preserve">Radio mast</t>
  </si>
  <si>
    <t xml:space="preserve">Camouflaged tent</t>
  </si>
  <si>
    <t xml:space="preserve">Container</t>
  </si>
  <si>
    <t xml:space="preserve">Guard booth</t>
  </si>
  <si>
    <t xml:space="preserve">UAV pad</t>
  </si>
  <si>
    <t xml:space="preserve">HESCO perimeter</t>
  </si>
  <si>
    <t xml:space="preserve">fortifications</t>
  </si>
  <si>
    <t xml:space="preserve">Concertina wire</t>
  </si>
  <si>
    <t xml:space="preserve">Perimeter fence</t>
  </si>
  <si>
    <t xml:space="preserve">Outer gate</t>
  </si>
  <si>
    <t xml:space="preserve">Camouflage net</t>
  </si>
  <si>
    <t xml:space="preserve">37..84</t>
  </si>
  <si>
    <t xml:space="preserve">Earth revetment</t>
  </si>
  <si>
    <t xml:space="preserve">48..60</t>
  </si>
  <si>
    <t xml:space="preserve">Radar surround</t>
  </si>
  <si>
    <t xml:space="preserve">AA gun surround</t>
  </si>
  <si>
    <t xml:space="preserve">Sandbag wall</t>
  </si>
  <si>
    <t xml:space="preserve">15..24</t>
  </si>
  <si>
    <t xml:space="preserve">HESCO blocks</t>
  </si>
  <si>
    <t xml:space="preserve">2..6</t>
  </si>
  <si>
    <t xml:space="preserve">Tank trap</t>
  </si>
  <si>
    <t xml:space="preserve">Jersey barrier</t>
  </si>
  <si>
    <t xml:space="preserve">Broadleaf tree</t>
  </si>
  <si>
    <t xml:space="preserve">vegetation</t>
  </si>
  <si>
    <t xml:space="preserve">Pine</t>
  </si>
  <si>
    <t xml:space="preserve">7..8</t>
  </si>
  <si>
    <t xml:space="preserve">Cut branches</t>
  </si>
  <si>
    <t xml:space="preserve">Bush</t>
  </si>
  <si>
    <t xml:space="preserve">5..7</t>
  </si>
  <si>
    <t xml:space="preserve">Treeline pine</t>
  </si>
  <si>
    <t xml:space="preserve">props</t>
  </si>
  <si>
    <t xml:space="preserve">Supply cache</t>
  </si>
  <si>
    <t xml:space="preserve">4..7</t>
  </si>
  <si>
    <t xml:space="preserve">Boulder</t>
  </si>
  <si>
    <t xml:space="preserve">3..4</t>
  </si>
  <si>
    <t xml:space="preserve">Lamp post</t>
  </si>
  <si>
    <t xml:space="preserve">Track sign</t>
  </si>
  <si>
    <t xml:space="preserve">Fire barrel</t>
  </si>
  <si>
    <t xml:space="preserve">Sky clock (sun)</t>
  </si>
  <si>
    <t xml:space="preserve">Moon</t>
  </si>
  <si>
    <t xml:space="preserve">terrain and backdrop</t>
  </si>
  <si>
    <t xml:space="preserve">Far ground</t>
  </si>
  <si>
    <t xml:space="preserve">Distant hills</t>
  </si>
  <si>
    <t xml:space="preserve">Far radio tower</t>
  </si>
  <si>
    <t xml:space="preserve">Road</t>
  </si>
  <si>
    <t xml:space="preserve">Tyre tracks</t>
  </si>
  <si>
    <t xml:space="preserve">Tank spot marking</t>
  </si>
  <si>
    <t xml:space="preserve">Scene</t>
  </si>
  <si>
    <t xml:space="preserve">Scene parts (export leaf_count)</t>
  </si>
  <si>
    <t xml:space="preserve">2. The report's primitive colour key: sRGB inputs, greyscale lightness L* by formula</t>
  </si>
  <si>
    <t xml:space="preserve">colour</t>
  </si>
  <si>
    <t xml:space="preserve">Y (linear)</t>
  </si>
  <si>
    <t xml:space="preserve">L*</t>
  </si>
  <si>
    <t xml:space="preserve">box</t>
  </si>
  <si>
    <t xml:space="preserve">round</t>
  </si>
  <si>
    <t xml:space="preserve">cylinder</t>
  </si>
  <si>
    <t xml:space="preserve">ring</t>
  </si>
  <si>
    <t xml:space="preserve">Grass blade</t>
  </si>
  <si>
    <t xml:space="preserve">special</t>
  </si>
  <si>
    <t xml:space="preserve">Each family has its own L* band (box 30-45, ring 50-57, special 60-61, cylinder 64-69, round 74-88), so the families stay apart in greyscale.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</si>
  <si>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</si>
  <si>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</si>
  <si>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</si>
  <si>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</si>
  <si>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</si>
  <si>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</si>
  <si>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</si>
  <si>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</si>
  <si>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</si>
  <si>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</si>
  <si>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</si>
  <si>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</si>
  <si>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</si>
  <si>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</si>
  <si>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</si>
  <si>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</si>
  <si>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</si>
  <si>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</si>
  <si>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</si>
  <si>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</si>
  <si>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</si>
  <si>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</si>
  <si>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</si>
  <si>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</si>
  <si>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</si>
  <si>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</si>
  <si>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</si>
  <si>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</si>
  <si>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</si>
  <si>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</si>
  <si>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</si>
  <si>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</si>
  <si>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</si>
  <si>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</si>
  <si>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</si>
  <si>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</si>
  <si>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</si>
  <si>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</si>
  <si>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</si>
  <si>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</si>
  <si>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</si>
  <si>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</si>
  <si>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</si>
  <si>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</si>
  <si>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</si>
  <si>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</si>
  <si>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</si>
  <si>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</si>
  <si>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</si>
  <si>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</si>
  <si>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</si>
  <si>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</si>
  <si>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</si>
  <si>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</si>
  <si>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</si>
  <si>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</si>
  <si>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</si>
  <si>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</si>
  <si>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</si>
  <si>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</si>
  <si>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</si>
  <si>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</si>
  <si>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</si>
  <si>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</si>
  <si>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</si>
  <si>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</si>
  <si>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</si>
  <si>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</si>
  <si>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</si>
  <si>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</si>
  <si>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</si>
  <si>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</si>
  <si>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</si>
  <si>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</si>
  <si>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</si>
  <si>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</si>
  <si>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</si>
  <si>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</si>
  <si>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</si>
  <si>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</si>
  <si>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</si>
  <si>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</si>
  <si>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</si>
  <si>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</si>
  <si>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</si>
  <si>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</si>
  <si>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</si>
  <si>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</si>
  <si>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</si>
  <si>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</si>
  <si>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</si>
  <si>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</si>
  <si>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</si>
  <si>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</si>
  <si>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</si>
  <si>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</si>
  <si>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</si>
  <si>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</si>
  <si>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</si>
  <si>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</si>
  <si>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</si>
  <si>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</si>
  <si>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</si>
  <si>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</si>
  <si>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</si>
  <si>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</si>
  <si>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</si>
  <si>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</si>
  <si>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</si>
  <si>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</si>
  <si>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</si>
  <si>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</si>
  <si>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</si>
  <si>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</si>
  <si>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</si>
  <si>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</si>
  <si>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</si>
  <si>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</si>
  <si>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</si>
  <si>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</si>
  <si>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</si>
  <si>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</si>
  <si>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</si>
  <si>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</si>
  <si>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</si>
  <si>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</si>
  <si>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</si>
  <si>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</si>
  <si>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</si>
  <si>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</si>
  <si>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</si>
  <si>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</si>
  <si>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</si>
  <si>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</si>
  <si>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</si>
  <si>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</si>
  <si>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</si>
  <si>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</si>
  <si>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</si>
  <si>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</si>
  <si>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</si>
  <si>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</si>
  <si>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</si>
  <si>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</si>
  <si>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</si>
  <si>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</si>
  <si>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</si>
  <si>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</si>
  <si>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</si>
  <si>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</si>
  <si>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</si>
  <si>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</si>
  <si>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</si>
  <si>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</si>
  <si>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</si>
  <si>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</si>
  <si>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</si>
  <si>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</si>
  <si>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</si>
  <si>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</si>
  <si>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</si>
  <si>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</si>
  <si>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</si>
  <si>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</si>
  <si>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</si>
  <si>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</si>
  <si>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</si>
  <si>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</si>
  <si>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</si>
  <si>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</si>
  <si>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</si>
  <si>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</si>
  <si>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</si>
  <si>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</si>
  <si>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</si>
  <si>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</si>
  <si>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</si>
  <si>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</si>
  <si>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</si>
  <si>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</si>
  <si>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</si>
  <si>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</si>
  <si>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</si>
  <si>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</si>
  <si>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</si>
  <si>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</si>
  <si>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</si>
  <si>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</si>
  <si>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</si>
  <si>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</si>
  <si>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</si>
  <si>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</si>
  <si>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</si>
  <si>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</si>
  <si>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</si>
  <si>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</si>
  <si>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</si>
  <si>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</si>
  <si>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</si>
  <si>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</si>
  <si>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</si>
  <si>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</si>
  <si>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</si>
  <si>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</si>
  <si>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</si>
  <si>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</si>
  <si>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</si>
  <si>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</si>
  <si>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</si>
  <si>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</si>
  <si>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</si>
  <si>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</si>
  <si>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</si>
  <si>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</si>
  <si>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</si>
  <si>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</si>
  <si>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</si>
  <si>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</si>
  <si>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</si>
  <si>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BNK-171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</si>
  <si>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</si>
  <si>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</si>
  <si>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</si>
  <si>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</si>
  <si>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</si>
  <si>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</si>
  <si>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</si>
  <si>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</si>
  <si>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</si>
  <si>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</si>
  <si>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</si>
  <si>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</si>
  <si>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</si>
  <si>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</si>
  <si>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</si>
  <si>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</si>
  <si>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</si>
  <si>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</si>
  <si>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</si>
  <si>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</si>
  <si>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</si>
  <si>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</si>
  <si>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</si>
  <si>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</si>
  <si>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</si>
  <si>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</si>
  <si>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</si>
  <si>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</si>
  <si>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</si>
  <si>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</si>
  <si>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</si>
  <si>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</si>
  <si>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</si>
  <si>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</si>
  <si>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</si>
  <si>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</si>
  <si>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</si>
  <si>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(BNK-171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</si>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</sst>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00"/>
    <numFmt numFmtId="167" formatCode="0.0"/>
    <numFmt numFmtId="168" formatCode="0.00E+00"/>
    <numFmt numFmtId="169" formatCode="0.000"/>
    <numFmt numFmtId="170" formatCode="0.0E+00"/>
    <numFmt numFmtId="171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004690"/>
        <bgColor rgb="FF005850"/>
      </patternFill>
    </fill>
    <fill>
      <patternFill patternType="solid">
        <fgColor rgb="FF006DB2"/>
        <bgColor rgb="FF007685"/>
      </patternFill>
    </fill>
    <fill>
      <patternFill patternType="solid">
        <fgColor rgb="FF007685"/>
        <bgColor rgb="FF006DB2"/>
      </patternFill>
    </fill>
    <fill>
      <patternFill patternType="solid">
        <fgColor rgb="FF506593"/>
        <bgColor rgb="FF4F81BD"/>
      </patternFill>
    </fill>
    <fill>
      <patternFill patternType="solid">
        <fgColor rgb="FF005850"/>
        <bgColor rgb="FF004690"/>
      </patternFill>
    </fill>
    <fill>
      <patternFill patternType="solid">
        <fgColor rgb="FFFFA032"/>
        <bgColor rgb="FFFFC878"/>
      </patternFill>
    </fill>
    <fill>
      <patternFill patternType="solid">
        <fgColor rgb="FFFFDC45"/>
        <bgColor rgb="FFFFC878"/>
      </patternFill>
    </fill>
    <fill>
      <patternFill patternType="solid">
        <fgColor rgb="FFFFC878"/>
        <bgColor rgb="FFF8CBAD"/>
      </patternFill>
    </fill>
    <fill>
      <patternFill patternType="solid">
        <fgColor rgb="FF57B45D"/>
        <bgColor rgb="FF33AE8D"/>
      </patternFill>
    </fill>
    <fill>
      <patternFill patternType="solid">
        <fgColor rgb="FF94B446"/>
        <bgColor rgb="FF57B45D"/>
      </patternFill>
    </fill>
    <fill>
      <patternFill patternType="solid">
        <fgColor rgb="FF33AE8D"/>
        <bgColor rgb="FF57B45D"/>
      </patternFill>
    </fill>
    <fill>
      <patternFill patternType="solid">
        <fgColor rgb="FFD24790"/>
        <bgColor rgb="FFC0504D"/>
      </patternFill>
    </fill>
    <fill>
      <patternFill patternType="solid">
        <fgColor rgb="FF8268C0"/>
        <bgColor rgb="FF7F7F7F"/>
      </patternFill>
    </fill>
    <fill>
      <patternFill patternType="solid">
        <fgColor rgb="FFBD6BBA"/>
        <bgColor rgb="FF8268C0"/>
      </patternFill>
    </fill>
    <fill>
      <patternFill patternType="solid">
        <fgColor rgb="FF95938E"/>
        <bgColor rgb="FF878787"/>
      </patternFill>
    </fill>
    <fill>
      <patternFill patternType="solid">
        <fgColor rgb="FFAF8967"/>
        <bgColor rgb="FF9593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F8967"/>
      <rgbColor rgb="FF800080"/>
      <rgbColor rgb="FF007685"/>
      <rgbColor rgb="FFD9D9D9"/>
      <rgbColor rgb="FF7F7F7F"/>
      <rgbColor rgb="FF8EA9DB"/>
      <rgbColor rgb="FFC0504D"/>
      <rgbColor rgb="FFFFF2CC"/>
      <rgbColor rgb="FFD9E1F2"/>
      <rgbColor rgb="FF660066"/>
      <rgbColor rgb="FF878787"/>
      <rgbColor rgb="FF006DB2"/>
      <rgbColor rgb="FFBDD7EE"/>
      <rgbColor rgb="FF000080"/>
      <rgbColor rgb="FFFF00FF"/>
      <rgbColor rgb="FFFFFF00"/>
      <rgbColor rgb="FF00FFFF"/>
      <rgbColor rgb="FF800080"/>
      <rgbColor rgb="FF800000"/>
      <rgbColor rgb="FF005850"/>
      <rgbColor rgb="FF0000FF"/>
      <rgbColor rgb="FF00CCFF"/>
      <rgbColor rgb="FFCCFFFF"/>
      <rgbColor rgb="FFC6EFCE"/>
      <rgbColor rgb="FFFFE699"/>
      <rgbColor rgb="FF99CCFF"/>
      <rgbColor rgb="FFFFC878"/>
      <rgbColor rgb="FFBD6BBA"/>
      <rgbColor rgb="FFF8CBAD"/>
      <rgbColor rgb="FF4F81BD"/>
      <rgbColor rgb="FF57B45D"/>
      <rgbColor rgb="FF94B446"/>
      <rgbColor rgb="FFFFDC45"/>
      <rgbColor rgb="FFFFA032"/>
      <rgbColor rgb="FFFF6600"/>
      <rgbColor rgb="FF506593"/>
      <rgbColor rgb="FF95938E"/>
      <rgbColor rgb="FF004690"/>
      <rgbColor rgb="FF33AE8D"/>
      <rgbColor rgb="FF003300"/>
      <rgbColor rgb="FF333300"/>
      <rgbColor rgb="FF993300"/>
      <rgbColor rgb="FFD24790"/>
      <rgbColor rgb="FF8268C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28108801"/>
        <c:axId val="70504713"/>
      </c:barChart>
      <c:catAx>
        <c:axId val="281088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504713"/>
        <c:crosses val="autoZero"/>
        <c:auto val="1"/>
        <c:lblAlgn val="ctr"/>
        <c:lblOffset val="100"/>
        <c:noMultiLvlLbl val="0"/>
      </c:catAx>
      <c:valAx>
        <c:axId val="705047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1088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</v>
      </c>
      <c r="Q6" s="7" t="n">
        <f aca="false">M6*P6</f>
        <v>288</v>
      </c>
    </row>
    <row r="7" customFormat="false" ht="15" hidden="false" customHeight="false" outlineLevel="0" collapsed="false">
      <c r="A7" s="4" t="s">
        <v>25</v>
      </c>
      <c r="B7" s="5" t="s">
        <v>26</v>
      </c>
      <c r="C7" s="6" t="s">
        <v>22</v>
      </c>
      <c r="D7" s="6" t="s">
        <v>22</v>
      </c>
      <c r="E7" s="6" t="s">
        <v>23</v>
      </c>
      <c r="F7" s="7" t="n">
        <f aca="false">6*4</f>
        <v>24</v>
      </c>
      <c r="G7" s="6" t="s">
        <v>24</v>
      </c>
      <c r="H7" s="7" t="n">
        <f aca="false">6*2</f>
        <v>12</v>
      </c>
      <c r="I7" s="7" t="n">
        <f aca="false">3*H7</f>
        <v>36</v>
      </c>
      <c r="J7" s="7" t="n">
        <f aca="false">24*F7+4*I7</f>
        <v>720</v>
      </c>
      <c r="K7" s="7" t="n">
        <f aca="false">72*H7</f>
        <v>864</v>
      </c>
      <c r="L7" s="8" t="n">
        <v>24</v>
      </c>
      <c r="M7" s="8" t="n">
        <v>12</v>
      </c>
      <c r="N7" s="7" t="n">
        <f aca="false">F7-L7</f>
        <v>0</v>
      </c>
      <c r="O7" s="7" t="n">
        <f aca="false">H7-M7</f>
        <v>0</v>
      </c>
      <c r="P7" s="8" t="n">
        <v>2443</v>
      </c>
      <c r="Q7" s="7" t="n">
        <f aca="false">M7*P7</f>
        <v>29316</v>
      </c>
    </row>
    <row r="8" customFormat="false" ht="15" hidden="false" customHeight="false" outlineLevel="0" collapsed="false">
      <c r="A8" s="4" t="s">
        <v>27</v>
      </c>
      <c r="B8" s="5" t="s">
        <v>28</v>
      </c>
      <c r="C8" s="9" t="n">
        <v>36</v>
      </c>
      <c r="D8" s="9" t="n">
        <v>18</v>
      </c>
      <c r="E8" s="6" t="s">
        <v>29</v>
      </c>
      <c r="F8" s="7" t="n">
        <f aca="false">(D8-1)*C8+2</f>
        <v>614</v>
      </c>
      <c r="G8" s="6" t="s">
        <v>30</v>
      </c>
      <c r="H8" s="7" t="n">
        <f aca="false">2*C8*(D8-1)</f>
        <v>1224</v>
      </c>
      <c r="I8" s="7" t="n">
        <f aca="false">3*H8</f>
        <v>3672</v>
      </c>
      <c r="J8" s="7" t="n">
        <f aca="false">24*F8+4*I8</f>
        <v>29424</v>
      </c>
      <c r="K8" s="7" t="n">
        <f aca="false">72*H8</f>
        <v>88128</v>
      </c>
      <c r="L8" s="8" t="n">
        <v>614</v>
      </c>
      <c r="M8" s="8" t="n">
        <v>1224</v>
      </c>
      <c r="N8" s="7" t="n">
        <f aca="false">F8-L8</f>
        <v>0</v>
      </c>
      <c r="O8" s="7" t="n">
        <f aca="false">H8-M8</f>
        <v>0</v>
      </c>
      <c r="P8" s="8" t="n">
        <v>808</v>
      </c>
      <c r="Q8" s="7" t="n">
        <f aca="false">M8*P8</f>
        <v>988992</v>
      </c>
    </row>
    <row r="9" customFormat="false" ht="15" hidden="false" customHeight="false" outlineLevel="0" collapsed="false">
      <c r="A9" s="4" t="s">
        <v>31</v>
      </c>
      <c r="B9" s="5" t="s">
        <v>32</v>
      </c>
      <c r="C9" s="9" t="n">
        <v>36</v>
      </c>
      <c r="D9" s="9" t="n">
        <v>9</v>
      </c>
      <c r="E9" s="6" t="s">
        <v>33</v>
      </c>
      <c r="F9" s="7" t="n">
        <f aca="false">C9*(D9+1)+2</f>
        <v>362</v>
      </c>
      <c r="G9" s="6" t="s">
        <v>34</v>
      </c>
      <c r="H9" s="7" t="n">
        <f aca="false">2*C9*D9</f>
        <v>648</v>
      </c>
      <c r="I9" s="7" t="n">
        <f aca="false">3*H9</f>
        <v>1944</v>
      </c>
      <c r="J9" s="7" t="n">
        <f aca="false">24*F9+4*I9</f>
        <v>16464</v>
      </c>
      <c r="K9" s="7" t="n">
        <f aca="false">72*H9</f>
        <v>46656</v>
      </c>
      <c r="L9" s="8" t="n">
        <v>362</v>
      </c>
      <c r="M9" s="8" t="n">
        <v>648</v>
      </c>
      <c r="N9" s="7" t="n">
        <f aca="false">F9-L9</f>
        <v>0</v>
      </c>
      <c r="O9" s="7" t="n">
        <f aca="false">H9-M9</f>
        <v>0</v>
      </c>
      <c r="P9" s="8" t="n">
        <v>10</v>
      </c>
      <c r="Q9" s="7" t="n">
        <f aca="false">M9*P9</f>
        <v>6480</v>
      </c>
    </row>
    <row r="10" customFormat="false" ht="15" hidden="false" customHeight="false" outlineLevel="0" collapsed="false">
      <c r="A10" s="4" t="s">
        <v>35</v>
      </c>
      <c r="B10" s="5" t="s">
        <v>36</v>
      </c>
      <c r="C10" s="9" t="n">
        <v>36</v>
      </c>
      <c r="D10" s="6" t="s">
        <v>22</v>
      </c>
      <c r="E10" s="6" t="s">
        <v>37</v>
      </c>
      <c r="F10" s="7" t="n">
        <f aca="false">4*C10+2</f>
        <v>146</v>
      </c>
      <c r="G10" s="6" t="s">
        <v>38</v>
      </c>
      <c r="H10" s="7" t="n">
        <f aca="false">4*C10</f>
        <v>144</v>
      </c>
      <c r="I10" s="7" t="n">
        <f aca="false">3*H10</f>
        <v>432</v>
      </c>
      <c r="J10" s="7" t="n">
        <f aca="false">24*F10+4*I10</f>
        <v>5232</v>
      </c>
      <c r="K10" s="7" t="n">
        <f aca="false">72*H10</f>
        <v>10368</v>
      </c>
      <c r="L10" s="8" t="n">
        <v>146</v>
      </c>
      <c r="M10" s="8" t="n">
        <v>144</v>
      </c>
      <c r="N10" s="7" t="n">
        <f aca="false">F10-L10</f>
        <v>0</v>
      </c>
      <c r="O10" s="7" t="n">
        <f aca="false">H10-M10</f>
        <v>0</v>
      </c>
      <c r="P10" s="8" t="n">
        <v>1358</v>
      </c>
      <c r="Q10" s="7" t="n">
        <f aca="false">M10*P10</f>
        <v>195552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36</v>
      </c>
      <c r="D11" s="6" t="s">
        <v>22</v>
      </c>
      <c r="E11" s="6" t="s">
        <v>41</v>
      </c>
      <c r="F11" s="7" t="n">
        <f aca="false">2*C11</f>
        <v>72</v>
      </c>
      <c r="G11" s="6" t="s">
        <v>41</v>
      </c>
      <c r="H11" s="7" t="n">
        <f aca="false">2*C11</f>
        <v>72</v>
      </c>
      <c r="I11" s="7" t="n">
        <f aca="false">3*H11</f>
        <v>216</v>
      </c>
      <c r="J11" s="7" t="n">
        <f aca="false">24*F11+4*I11</f>
        <v>2592</v>
      </c>
      <c r="K11" s="7" t="n">
        <f aca="false">72*H11</f>
        <v>5184</v>
      </c>
      <c r="L11" s="8" t="n">
        <v>72</v>
      </c>
      <c r="M11" s="8" t="n">
        <v>72</v>
      </c>
      <c r="N11" s="7" t="n">
        <f aca="false">F11-L11</f>
        <v>0</v>
      </c>
      <c r="O11" s="7" t="n">
        <f aca="false">H11-M11</f>
        <v>0</v>
      </c>
      <c r="P11" s="8" t="n">
        <v>3</v>
      </c>
      <c r="Q11" s="7" t="n">
        <f aca="false">M11*P11</f>
        <v>216</v>
      </c>
    </row>
    <row r="12" customFormat="false" ht="15" hidden="false" customHeight="false" outlineLevel="0" collapsed="false">
      <c r="A12" s="4" t="s">
        <v>42</v>
      </c>
      <c r="B12" s="5" t="s">
        <v>43</v>
      </c>
      <c r="C12" s="9" t="n">
        <v>36</v>
      </c>
      <c r="D12" s="6" t="s">
        <v>22</v>
      </c>
      <c r="E12" s="6" t="s">
        <v>44</v>
      </c>
      <c r="F12" s="7" t="n">
        <f aca="false">3*C12+1</f>
        <v>109</v>
      </c>
      <c r="G12" s="6" t="s">
        <v>41</v>
      </c>
      <c r="H12" s="7" t="n">
        <f aca="false">2*C12</f>
        <v>72</v>
      </c>
      <c r="I12" s="7" t="n">
        <f aca="false">3*H12</f>
        <v>216</v>
      </c>
      <c r="J12" s="7" t="n">
        <f aca="false">24*F12+4*I12</f>
        <v>3480</v>
      </c>
      <c r="K12" s="7" t="n">
        <f aca="false">72*H12</f>
        <v>5184</v>
      </c>
      <c r="L12" s="8" t="n">
        <v>109</v>
      </c>
      <c r="M12" s="8" t="n">
        <v>72</v>
      </c>
      <c r="N12" s="7" t="n">
        <f aca="false">F12-L12</f>
        <v>0</v>
      </c>
      <c r="O12" s="7" t="n">
        <f aca="false">H12-M12</f>
        <v>0</v>
      </c>
      <c r="P12" s="8" t="n">
        <v>295</v>
      </c>
      <c r="Q12" s="7" t="n">
        <f aca="false">M12*P12</f>
        <v>21240</v>
      </c>
    </row>
    <row r="13" customFormat="false" ht="15" hidden="false" customHeight="false" outlineLevel="0" collapsed="false">
      <c r="A13" s="4" t="s">
        <v>45</v>
      </c>
      <c r="B13" s="5" t="s">
        <v>46</v>
      </c>
      <c r="C13" s="9" t="n">
        <v>36</v>
      </c>
      <c r="D13" s="9" t="n">
        <v>16</v>
      </c>
      <c r="E13" s="6" t="s">
        <v>47</v>
      </c>
      <c r="F13" s="7" t="n">
        <f aca="false">C13*D13</f>
        <v>576</v>
      </c>
      <c r="G13" s="6" t="s">
        <v>48</v>
      </c>
      <c r="H13" s="7" t="n">
        <f aca="false">2*C13*D13</f>
        <v>1152</v>
      </c>
      <c r="I13" s="7" t="n">
        <f aca="false">3*H13</f>
        <v>3456</v>
      </c>
      <c r="J13" s="7" t="n">
        <f aca="false">24*F13+4*I13</f>
        <v>27648</v>
      </c>
      <c r="K13" s="7" t="n">
        <f aca="false">72*H13</f>
        <v>82944</v>
      </c>
      <c r="L13" s="8" t="n">
        <v>576</v>
      </c>
      <c r="M13" s="8" t="n">
        <v>1152</v>
      </c>
      <c r="N13" s="7" t="n">
        <f aca="false">F13-L13</f>
        <v>0</v>
      </c>
      <c r="O13" s="7" t="n">
        <f aca="false">H13-M13</f>
        <v>0</v>
      </c>
      <c r="P13" s="8" t="n">
        <v>97</v>
      </c>
      <c r="Q13" s="7" t="n">
        <f aca="false">M13*P13</f>
        <v>111744</v>
      </c>
    </row>
    <row r="14" customFormat="false" ht="15" hidden="false" customHeight="false" outlineLevel="0" collapsed="false">
      <c r="A14" s="4" t="s">
        <v>49</v>
      </c>
      <c r="B14" s="5" t="s">
        <v>50</v>
      </c>
      <c r="C14" s="6" t="s">
        <v>22</v>
      </c>
      <c r="D14" s="6" t="s">
        <v>22</v>
      </c>
      <c r="E14" s="6" t="s">
        <v>51</v>
      </c>
      <c r="F14" s="7" t="n">
        <f aca="false">3*4+2*3</f>
        <v>18</v>
      </c>
      <c r="G14" s="6" t="s">
        <v>52</v>
      </c>
      <c r="H14" s="7" t="n">
        <f aca="false">3*2+2*1</f>
        <v>8</v>
      </c>
      <c r="I14" s="7" t="n">
        <f aca="false">3*H14</f>
        <v>24</v>
      </c>
      <c r="J14" s="7" t="n">
        <f aca="false">24*F14+4*I14</f>
        <v>528</v>
      </c>
      <c r="K14" s="7" t="n">
        <f aca="false">72*H14</f>
        <v>576</v>
      </c>
      <c r="L14" s="8" t="n">
        <v>18</v>
      </c>
      <c r="M14" s="8" t="n">
        <v>8</v>
      </c>
      <c r="N14" s="7" t="n">
        <f aca="false">F14-L14</f>
        <v>0</v>
      </c>
      <c r="O14" s="7" t="n">
        <f aca="false">H14-M14</f>
        <v>0</v>
      </c>
      <c r="P14" s="8" t="n">
        <v>6</v>
      </c>
      <c r="Q14" s="7" t="n">
        <f aca="false">M14*P14</f>
        <v>48</v>
      </c>
    </row>
    <row r="15" customFormat="false" ht="15" hidden="false" customHeight="false" outlineLevel="0" collapsed="false">
      <c r="A15" s="4" t="s">
        <v>53</v>
      </c>
      <c r="B15" s="5" t="s">
        <v>54</v>
      </c>
      <c r="C15" s="6" t="s">
        <v>22</v>
      </c>
      <c r="D15" s="6" t="s">
        <v>22</v>
      </c>
      <c r="E15" s="6" t="s">
        <v>23</v>
      </c>
      <c r="F15" s="7" t="n">
        <f aca="false">6*4</f>
        <v>24</v>
      </c>
      <c r="G15" s="6" t="s">
        <v>24</v>
      </c>
      <c r="H15" s="7" t="n">
        <f aca="false">6*2</f>
        <v>12</v>
      </c>
      <c r="I15" s="7" t="n">
        <f aca="false">3*H15</f>
        <v>36</v>
      </c>
      <c r="J15" s="7" t="n">
        <f aca="false">24*F15+4*I15</f>
        <v>720</v>
      </c>
      <c r="K15" s="7" t="n">
        <f aca="false">72*H15</f>
        <v>864</v>
      </c>
      <c r="L15" s="8" t="n">
        <v>24</v>
      </c>
      <c r="M15" s="8" t="n">
        <v>12</v>
      </c>
      <c r="N15" s="7" t="n">
        <f aca="false">F15-L15</f>
        <v>0</v>
      </c>
      <c r="O15" s="7" t="n">
        <f aca="false">H15-M15</f>
        <v>0</v>
      </c>
      <c r="P15" s="8" t="n">
        <v>11</v>
      </c>
      <c r="Q15" s="7" t="n">
        <f aca="false">M15*P15</f>
        <v>132</v>
      </c>
    </row>
    <row r="16" customFormat="false" ht="15" hidden="false" customHeight="false" outlineLevel="0" collapsed="false">
      <c r="A16" s="4" t="s">
        <v>55</v>
      </c>
      <c r="B16" s="5" t="s">
        <v>56</v>
      </c>
      <c r="C16" s="6" t="s">
        <v>22</v>
      </c>
      <c r="D16" s="6" t="s">
        <v>22</v>
      </c>
      <c r="E16" s="6" t="s">
        <v>57</v>
      </c>
      <c r="F16" s="7" t="n">
        <f aca="false">4+4*3</f>
        <v>16</v>
      </c>
      <c r="G16" s="6" t="s">
        <v>58</v>
      </c>
      <c r="H16" s="7" t="n">
        <f aca="false">2+4</f>
        <v>6</v>
      </c>
      <c r="I16" s="7" t="n">
        <f aca="false">3*H16</f>
        <v>18</v>
      </c>
      <c r="J16" s="7" t="n">
        <f aca="false">24*F16+4*I16</f>
        <v>456</v>
      </c>
      <c r="K16" s="7" t="n">
        <f aca="false">72*H16</f>
        <v>432</v>
      </c>
      <c r="L16" s="8" t="n">
        <v>16</v>
      </c>
      <c r="M16" s="8" t="n">
        <v>6</v>
      </c>
      <c r="N16" s="7" t="n">
        <f aca="false">F16-L16</f>
        <v>0</v>
      </c>
      <c r="O16" s="7" t="n">
        <f aca="false">H16-M16</f>
        <v>0</v>
      </c>
      <c r="P16" s="8" t="n">
        <v>2</v>
      </c>
      <c r="Q16" s="7" t="n">
        <f aca="false">M16*P16</f>
        <v>12</v>
      </c>
    </row>
    <row r="17" customFormat="false" ht="15" hidden="false" customHeight="false" outlineLevel="0" collapsed="false">
      <c r="A17" s="4" t="s">
        <v>59</v>
      </c>
      <c r="B17" s="5" t="s">
        <v>60</v>
      </c>
      <c r="C17" s="9" t="n">
        <v>16</v>
      </c>
      <c r="D17" s="9" t="n">
        <v>3</v>
      </c>
      <c r="E17" s="6" t="s">
        <v>61</v>
      </c>
      <c r="F17" s="7" t="n">
        <f aca="false">2*D17*C17+2</f>
        <v>98</v>
      </c>
      <c r="G17" s="6" t="s">
        <v>62</v>
      </c>
      <c r="H17" s="7" t="n">
        <f aca="false">4*D17*C17</f>
        <v>192</v>
      </c>
      <c r="I17" s="7" t="n">
        <f aca="false">3*H17</f>
        <v>576</v>
      </c>
      <c r="J17" s="7" t="n">
        <f aca="false">24*F17+4*I17</f>
        <v>4656</v>
      </c>
      <c r="K17" s="7" t="n">
        <f aca="false">72*H17</f>
        <v>13824</v>
      </c>
      <c r="L17" s="8" t="n">
        <v>98</v>
      </c>
      <c r="M17" s="8" t="n">
        <v>192</v>
      </c>
      <c r="N17" s="7" t="n">
        <f aca="false">F17-L17</f>
        <v>0</v>
      </c>
      <c r="O17" s="7" t="n">
        <f aca="false">H17-M17</f>
        <v>0</v>
      </c>
      <c r="P17" s="8" t="n">
        <v>364</v>
      </c>
      <c r="Q17" s="7" t="n">
        <f aca="false">M17*P17</f>
        <v>69888</v>
      </c>
    </row>
    <row r="18" customFormat="false" ht="15" hidden="false" customHeight="false" outlineLevel="0" collapsed="false">
      <c r="A18" s="4" t="s">
        <v>63</v>
      </c>
      <c r="B18" s="5" t="s">
        <v>64</v>
      </c>
      <c r="C18" s="9" t="n">
        <v>48</v>
      </c>
      <c r="D18" s="6" t="s">
        <v>22</v>
      </c>
      <c r="E18" s="6" t="s">
        <v>65</v>
      </c>
      <c r="F18" s="7" t="n">
        <f aca="false">4*C18</f>
        <v>192</v>
      </c>
      <c r="G18" s="6" t="s">
        <v>65</v>
      </c>
      <c r="H18" s="7" t="n">
        <f aca="false">4*C18</f>
        <v>192</v>
      </c>
      <c r="I18" s="7" t="n">
        <f aca="false">3*H18</f>
        <v>576</v>
      </c>
      <c r="J18" s="7" t="n">
        <f aca="false">24*F18+4*I18</f>
        <v>6912</v>
      </c>
      <c r="K18" s="7" t="n">
        <f aca="false">72*H18</f>
        <v>13824</v>
      </c>
      <c r="L18" s="8" t="n">
        <v>192</v>
      </c>
      <c r="M18" s="8" t="n">
        <v>192</v>
      </c>
      <c r="N18" s="7" t="n">
        <f aca="false">F18-L18</f>
        <v>0</v>
      </c>
      <c r="O18" s="7" t="n">
        <f aca="false">H18-M18</f>
        <v>0</v>
      </c>
      <c r="P18" s="8" t="n">
        <v>2</v>
      </c>
      <c r="Q18" s="7" t="n">
        <f aca="false">M18*P18</f>
        <v>384</v>
      </c>
    </row>
    <row r="19" customFormat="false" ht="15" hidden="false" customHeight="false" outlineLevel="0" collapsed="false">
      <c r="A19" s="4" t="s">
        <v>66</v>
      </c>
      <c r="B19" s="5" t="s">
        <v>67</v>
      </c>
      <c r="C19" s="9" t="n">
        <v>120</v>
      </c>
      <c r="D19" s="9" t="n">
        <v>6</v>
      </c>
      <c r="E19" s="6" t="s">
        <v>68</v>
      </c>
      <c r="F19" s="7" t="n">
        <f aca="false">(C19+1)*D19+2*(D19+1)</f>
        <v>740</v>
      </c>
      <c r="G19" s="6" t="s">
        <v>69</v>
      </c>
      <c r="H19" s="7" t="n">
        <f aca="false">2*C19*D19+2*D19</f>
        <v>1452</v>
      </c>
      <c r="I19" s="7" t="n">
        <f aca="false">3*H19</f>
        <v>4356</v>
      </c>
      <c r="J19" s="7" t="n">
        <f aca="false">24*F19+4*I19</f>
        <v>35184</v>
      </c>
      <c r="K19" s="7" t="n">
        <f aca="false">72*H19</f>
        <v>104544</v>
      </c>
      <c r="L19" s="8" t="n">
        <v>740</v>
      </c>
      <c r="M19" s="8" t="n">
        <v>1452</v>
      </c>
      <c r="N19" s="7" t="n">
        <f aca="false">F19-L19</f>
        <v>0</v>
      </c>
      <c r="O19" s="7" t="n">
        <f aca="false">H19-M19</f>
        <v>0</v>
      </c>
      <c r="P19" s="8" t="n">
        <v>52</v>
      </c>
      <c r="Q19" s="7" t="n">
        <f aca="false">M19*P19</f>
        <v>75504</v>
      </c>
    </row>
    <row r="20" customFormat="false" ht="15" hidden="false" customHeight="false" outlineLevel="0" collapsed="false">
      <c r="A20" s="4" t="s">
        <v>70</v>
      </c>
      <c r="B20" s="5" t="s">
        <v>71</v>
      </c>
      <c r="C20" s="6" t="s">
        <v>22</v>
      </c>
      <c r="D20" s="9" t="n">
        <v>3</v>
      </c>
      <c r="E20" s="6" t="s">
        <v>72</v>
      </c>
      <c r="F20" s="7" t="n">
        <f aca="false">2*D20+1</f>
        <v>7</v>
      </c>
      <c r="G20" s="6" t="s">
        <v>73</v>
      </c>
      <c r="H20" s="7" t="n">
        <f aca="false">2*(D20-1)+1</f>
        <v>5</v>
      </c>
      <c r="I20" s="7" t="n">
        <f aca="false">3*H20</f>
        <v>15</v>
      </c>
      <c r="J20" s="7" t="n">
        <f aca="false">24*F20+4*I20</f>
        <v>228</v>
      </c>
      <c r="K20" s="7" t="n">
        <f aca="false">72*H20</f>
        <v>360</v>
      </c>
      <c r="L20" s="8" t="n">
        <v>7</v>
      </c>
      <c r="M20" s="8" t="n">
        <v>5</v>
      </c>
      <c r="N20" s="7" t="n">
        <f aca="false">F20-L20</f>
        <v>0</v>
      </c>
      <c r="O20" s="7" t="n">
        <f aca="false">H20-M20</f>
        <v>0</v>
      </c>
      <c r="P20" s="8" t="n">
        <v>0</v>
      </c>
      <c r="Q20" s="7" t="n">
        <f aca="false">M20*P20</f>
        <v>0</v>
      </c>
    </row>
    <row r="21" customFormat="false" ht="15" hidden="false" customHeight="false" outlineLevel="0" collapsed="false">
      <c r="A21" s="4" t="s">
        <v>74</v>
      </c>
      <c r="B21" s="5" t="s">
        <v>75</v>
      </c>
      <c r="C21" s="9" t="n">
        <v>384</v>
      </c>
      <c r="D21" s="9" t="n">
        <v>130</v>
      </c>
      <c r="E21" s="6" t="s">
        <v>76</v>
      </c>
      <c r="F21" s="7" t="n">
        <f aca="false">1+D21*C21</f>
        <v>49921</v>
      </c>
      <c r="G21" s="6" t="s">
        <v>77</v>
      </c>
      <c r="H21" s="7" t="n">
        <f aca="false">C21*(2*D21-1)-2016</f>
        <v>97440</v>
      </c>
      <c r="I21" s="7" t="n">
        <f aca="false">3*H21</f>
        <v>292320</v>
      </c>
      <c r="J21" s="7" t="n">
        <f aca="false">24*F21+4*I21</f>
        <v>2367384</v>
      </c>
      <c r="K21" s="7" t="n">
        <f aca="false">72*H21</f>
        <v>7015680</v>
      </c>
      <c r="L21" s="8" t="n">
        <v>49921</v>
      </c>
      <c r="M21" s="8" t="n">
        <v>97440</v>
      </c>
      <c r="N21" s="7" t="n">
        <f aca="false">F21-L21</f>
        <v>0</v>
      </c>
      <c r="O21" s="7" t="n">
        <f aca="false">H21-M21</f>
        <v>0</v>
      </c>
      <c r="P21" s="8" t="n">
        <v>1</v>
      </c>
      <c r="Q21" s="7" t="n">
        <f aca="false">M21*P21</f>
        <v>97440</v>
      </c>
    </row>
    <row r="22" customFormat="false" ht="15" hidden="false" customHeight="false" outlineLevel="0" collapsed="false">
      <c r="A22" s="4" t="s">
        <v>78</v>
      </c>
      <c r="P22" s="7" t="n">
        <f aca="false">SUM(P6:P21)</f>
        <v>5476</v>
      </c>
      <c r="Q22" s="7" t="n">
        <f aca="false">SUM(Q6:Q21)</f>
        <v>1597236</v>
      </c>
    </row>
    <row r="23" customFormat="false" ht="15" hidden="false" customHeight="false" outlineLevel="0" collapsed="false">
      <c r="A23" s="2" t="s">
        <v>79</v>
      </c>
    </row>
    <row r="24" customFormat="false" ht="15" hidden="false" customHeight="false" outlineLevel="0" collapsed="false">
      <c r="A24" s="2" t="s">
        <v>80</v>
      </c>
    </row>
    <row r="26" customFormat="false" ht="15" hidden="false" customHeight="false" outlineLevel="0" collapsed="false">
      <c r="A26" s="10" t="s">
        <v>81</v>
      </c>
    </row>
    <row r="27" customFormat="false" ht="15" hidden="false" customHeight="true" outlineLevel="0" collapsed="false">
      <c r="A27" s="3" t="s">
        <v>3</v>
      </c>
      <c r="B27" s="3" t="s">
        <v>82</v>
      </c>
      <c r="C27" s="3"/>
      <c r="D27" s="3"/>
      <c r="E27" s="3"/>
      <c r="F27" s="3"/>
      <c r="G27" s="3"/>
      <c r="H27" s="3"/>
      <c r="I27" s="3"/>
      <c r="J27" s="3" t="s">
        <v>83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4" t="s">
        <v>20</v>
      </c>
      <c r="B28" s="11" t="s">
        <v>84</v>
      </c>
      <c r="C28" s="11"/>
      <c r="D28" s="11"/>
      <c r="E28" s="11"/>
      <c r="F28" s="11"/>
      <c r="G28" s="11"/>
      <c r="H28" s="11"/>
      <c r="I28" s="11"/>
      <c r="J28" s="11" t="s">
        <v>85</v>
      </c>
      <c r="K28" s="11"/>
      <c r="L28" s="11"/>
      <c r="M28" s="11"/>
      <c r="N28" s="11"/>
      <c r="O28" s="11"/>
      <c r="P28" s="11"/>
      <c r="Q28" s="11"/>
    </row>
    <row r="29" customFormat="false" ht="30" hidden="false" customHeight="true" outlineLevel="0" collapsed="false">
      <c r="A29" s="4" t="s">
        <v>25</v>
      </c>
      <c r="B29" s="11" t="s">
        <v>84</v>
      </c>
      <c r="C29" s="11"/>
      <c r="D29" s="11"/>
      <c r="E29" s="11"/>
      <c r="F29" s="11"/>
      <c r="G29" s="11"/>
      <c r="H29" s="11"/>
      <c r="I29" s="11"/>
      <c r="J29" s="11" t="s">
        <v>86</v>
      </c>
      <c r="K29" s="11"/>
      <c r="L29" s="11"/>
      <c r="M29" s="11"/>
      <c r="N29" s="11"/>
      <c r="O29" s="11"/>
      <c r="P29" s="11"/>
      <c r="Q29" s="11"/>
    </row>
    <row r="30" customFormat="false" ht="30" hidden="false" customHeight="true" outlineLevel="0" collapsed="false">
      <c r="A30" s="4" t="s">
        <v>27</v>
      </c>
      <c r="B30" s="11" t="s">
        <v>87</v>
      </c>
      <c r="C30" s="11"/>
      <c r="D30" s="11"/>
      <c r="E30" s="11"/>
      <c r="F30" s="11"/>
      <c r="G30" s="11"/>
      <c r="H30" s="11"/>
      <c r="I30" s="11"/>
      <c r="J30" s="11" t="s">
        <v>88</v>
      </c>
      <c r="K30" s="11"/>
      <c r="L30" s="11"/>
      <c r="M30" s="11"/>
      <c r="N30" s="11"/>
      <c r="O30" s="11"/>
      <c r="P30" s="11"/>
      <c r="Q30" s="11"/>
    </row>
    <row r="31" customFormat="false" ht="30" hidden="false" customHeight="true" outlineLevel="0" collapsed="false">
      <c r="A31" s="4" t="s">
        <v>31</v>
      </c>
      <c r="B31" s="11" t="s">
        <v>89</v>
      </c>
      <c r="C31" s="11"/>
      <c r="D31" s="11"/>
      <c r="E31" s="11"/>
      <c r="F31" s="11"/>
      <c r="G31" s="11"/>
      <c r="H31" s="11"/>
      <c r="I31" s="11"/>
      <c r="J31" s="11" t="s">
        <v>90</v>
      </c>
      <c r="K31" s="11"/>
      <c r="L31" s="11"/>
      <c r="M31" s="11"/>
      <c r="N31" s="11"/>
      <c r="O31" s="11"/>
      <c r="P31" s="11"/>
      <c r="Q31" s="11"/>
    </row>
    <row r="32" customFormat="false" ht="30" hidden="false" customHeight="true" outlineLevel="0" collapsed="false">
      <c r="A32" s="4" t="s">
        <v>35</v>
      </c>
      <c r="B32" s="11" t="s">
        <v>91</v>
      </c>
      <c r="C32" s="11"/>
      <c r="D32" s="11"/>
      <c r="E32" s="11"/>
      <c r="F32" s="11"/>
      <c r="G32" s="11"/>
      <c r="H32" s="11"/>
      <c r="I32" s="11"/>
      <c r="J32" s="11" t="s">
        <v>92</v>
      </c>
      <c r="K32" s="11"/>
      <c r="L32" s="11"/>
      <c r="M32" s="11"/>
      <c r="N32" s="11"/>
      <c r="O32" s="11"/>
      <c r="P32" s="11"/>
      <c r="Q32" s="11"/>
    </row>
    <row r="33" customFormat="false" ht="30" hidden="false" customHeight="true" outlineLevel="0" collapsed="false">
      <c r="A33" s="4" t="s">
        <v>39</v>
      </c>
      <c r="B33" s="11" t="s">
        <v>93</v>
      </c>
      <c r="C33" s="11"/>
      <c r="D33" s="11"/>
      <c r="E33" s="11"/>
      <c r="F33" s="11"/>
      <c r="G33" s="11"/>
      <c r="H33" s="11"/>
      <c r="I33" s="11"/>
      <c r="J33" s="11" t="s">
        <v>94</v>
      </c>
      <c r="K33" s="11"/>
      <c r="L33" s="11"/>
      <c r="M33" s="11"/>
      <c r="N33" s="11"/>
      <c r="O33" s="11"/>
      <c r="P33" s="11"/>
      <c r="Q33" s="11"/>
    </row>
    <row r="34" customFormat="false" ht="15" hidden="false" customHeight="true" outlineLevel="0" collapsed="false">
      <c r="A34" s="4" t="s">
        <v>42</v>
      </c>
      <c r="B34" s="11" t="s">
        <v>95</v>
      </c>
      <c r="C34" s="11"/>
      <c r="D34" s="11"/>
      <c r="E34" s="11"/>
      <c r="F34" s="11"/>
      <c r="G34" s="11"/>
      <c r="H34" s="11"/>
      <c r="I34" s="11"/>
      <c r="J34" s="11" t="s">
        <v>96</v>
      </c>
      <c r="K34" s="11"/>
      <c r="L34" s="11"/>
      <c r="M34" s="11"/>
      <c r="N34" s="11"/>
      <c r="O34" s="11"/>
      <c r="P34" s="11"/>
      <c r="Q34" s="11"/>
    </row>
    <row r="35" customFormat="false" ht="30" hidden="false" customHeight="true" outlineLevel="0" collapsed="false">
      <c r="A35" s="4" t="s">
        <v>45</v>
      </c>
      <c r="B35" s="11" t="s">
        <v>97</v>
      </c>
      <c r="C35" s="11"/>
      <c r="D35" s="11"/>
      <c r="E35" s="11"/>
      <c r="F35" s="11"/>
      <c r="G35" s="11"/>
      <c r="H35" s="11"/>
      <c r="I35" s="11"/>
      <c r="J35" s="11" t="s">
        <v>98</v>
      </c>
      <c r="K35" s="11"/>
      <c r="L35" s="11"/>
      <c r="M35" s="11"/>
      <c r="N35" s="11"/>
      <c r="O35" s="11"/>
      <c r="P35" s="11"/>
      <c r="Q35" s="11"/>
    </row>
    <row r="36" customFormat="false" ht="30" hidden="false" customHeight="true" outlineLevel="0" collapsed="false">
      <c r="A36" s="4" t="s">
        <v>49</v>
      </c>
      <c r="B36" s="11" t="s">
        <v>99</v>
      </c>
      <c r="C36" s="11"/>
      <c r="D36" s="11"/>
      <c r="E36" s="11"/>
      <c r="F36" s="11"/>
      <c r="G36" s="11"/>
      <c r="H36" s="11"/>
      <c r="I36" s="11"/>
      <c r="J36" s="11" t="s">
        <v>100</v>
      </c>
      <c r="K36" s="11"/>
      <c r="L36" s="11"/>
      <c r="M36" s="11"/>
      <c r="N36" s="11"/>
      <c r="O36" s="11"/>
      <c r="P36" s="11"/>
      <c r="Q36" s="11"/>
    </row>
    <row r="37" customFormat="false" ht="30" hidden="false" customHeight="true" outlineLevel="0" collapsed="false">
      <c r="A37" s="4" t="s">
        <v>53</v>
      </c>
      <c r="B37" s="11" t="s">
        <v>101</v>
      </c>
      <c r="C37" s="11"/>
      <c r="D37" s="11"/>
      <c r="E37" s="11"/>
      <c r="F37" s="11"/>
      <c r="G37" s="11"/>
      <c r="H37" s="11"/>
      <c r="I37" s="11"/>
      <c r="J37" s="11" t="s">
        <v>102</v>
      </c>
      <c r="K37" s="11"/>
      <c r="L37" s="11"/>
      <c r="M37" s="11"/>
      <c r="N37" s="11"/>
      <c r="O37" s="11"/>
      <c r="P37" s="11"/>
      <c r="Q37" s="11"/>
    </row>
    <row r="38" customFormat="false" ht="15" hidden="false" customHeight="true" outlineLevel="0" collapsed="false">
      <c r="A38" s="4" t="s">
        <v>55</v>
      </c>
      <c r="B38" s="11" t="s">
        <v>103</v>
      </c>
      <c r="C38" s="11"/>
      <c r="D38" s="11"/>
      <c r="E38" s="11"/>
      <c r="F38" s="11"/>
      <c r="G38" s="11"/>
      <c r="H38" s="11"/>
      <c r="I38" s="11"/>
      <c r="J38" s="11" t="s">
        <v>104</v>
      </c>
      <c r="K38" s="11"/>
      <c r="L38" s="11"/>
      <c r="M38" s="11"/>
      <c r="N38" s="11"/>
      <c r="O38" s="11"/>
      <c r="P38" s="11"/>
      <c r="Q38" s="11"/>
    </row>
    <row r="39" customFormat="false" ht="30" hidden="false" customHeight="true" outlineLevel="0" collapsed="false">
      <c r="A39" s="4" t="s">
        <v>59</v>
      </c>
      <c r="B39" s="11" t="s">
        <v>105</v>
      </c>
      <c r="C39" s="11"/>
      <c r="D39" s="11"/>
      <c r="E39" s="11"/>
      <c r="F39" s="11"/>
      <c r="G39" s="11"/>
      <c r="H39" s="11"/>
      <c r="I39" s="11"/>
      <c r="J39" s="11" t="s">
        <v>92</v>
      </c>
      <c r="K39" s="11"/>
      <c r="L39" s="11"/>
      <c r="M39" s="11"/>
      <c r="N39" s="11"/>
      <c r="O39" s="11"/>
      <c r="P39" s="11"/>
      <c r="Q39" s="11"/>
    </row>
    <row r="40" customFormat="false" ht="30" hidden="false" customHeight="true" outlineLevel="0" collapsed="false">
      <c r="A40" s="4" t="s">
        <v>63</v>
      </c>
      <c r="B40" s="11" t="s">
        <v>106</v>
      </c>
      <c r="C40" s="11"/>
      <c r="D40" s="11"/>
      <c r="E40" s="11"/>
      <c r="F40" s="11"/>
      <c r="G40" s="11"/>
      <c r="H40" s="11"/>
      <c r="I40" s="11"/>
      <c r="J40" s="11" t="s">
        <v>107</v>
      </c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4" t="s">
        <v>66</v>
      </c>
      <c r="B41" s="11" t="s">
        <v>108</v>
      </c>
      <c r="C41" s="11"/>
      <c r="D41" s="11"/>
      <c r="E41" s="11"/>
      <c r="F41" s="11"/>
      <c r="G41" s="11"/>
      <c r="H41" s="11"/>
      <c r="I41" s="11"/>
      <c r="J41" s="11" t="s">
        <v>92</v>
      </c>
      <c r="K41" s="11"/>
      <c r="L41" s="11"/>
      <c r="M41" s="11"/>
      <c r="N41" s="11"/>
      <c r="O41" s="11"/>
      <c r="P41" s="11"/>
      <c r="Q41" s="11"/>
    </row>
    <row r="42" customFormat="false" ht="30" hidden="false" customHeight="true" outlineLevel="0" collapsed="false">
      <c r="A42" s="4" t="s">
        <v>70</v>
      </c>
      <c r="B42" s="11" t="s">
        <v>109</v>
      </c>
      <c r="C42" s="11"/>
      <c r="D42" s="11"/>
      <c r="E42" s="11"/>
      <c r="F42" s="11"/>
      <c r="G42" s="11"/>
      <c r="H42" s="11"/>
      <c r="I42" s="11"/>
      <c r="J42" s="11" t="s">
        <v>110</v>
      </c>
      <c r="K42" s="11"/>
      <c r="L42" s="11"/>
      <c r="M42" s="11"/>
      <c r="N42" s="11"/>
      <c r="O42" s="11"/>
      <c r="P42" s="11"/>
      <c r="Q42" s="11"/>
    </row>
    <row r="43" customFormat="false" ht="15" hidden="false" customHeight="true" outlineLevel="0" collapsed="false">
      <c r="A43" s="4" t="s">
        <v>74</v>
      </c>
      <c r="B43" s="11" t="s">
        <v>111</v>
      </c>
      <c r="C43" s="11"/>
      <c r="D43" s="11"/>
      <c r="E43" s="11"/>
      <c r="F43" s="11"/>
      <c r="G43" s="11"/>
      <c r="H43" s="11"/>
      <c r="I43" s="11"/>
      <c r="J43" s="11" t="s">
        <v>112</v>
      </c>
      <c r="K43" s="11"/>
      <c r="L43" s="11"/>
      <c r="M43" s="11"/>
      <c r="N43" s="11"/>
      <c r="O43" s="11"/>
      <c r="P43" s="11"/>
      <c r="Q43" s="11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</v>
      </c>
    </row>
    <row r="5" customFormat="false" ht="15" hidden="false" customHeight="false" outlineLevel="0" collapsed="false">
      <c r="A5" s="10" t="s">
        <v>115</v>
      </c>
      <c r="W5" s="10" t="s">
        <v>116</v>
      </c>
    </row>
    <row r="6" customFormat="false" ht="42" hidden="false" customHeight="true" outlineLevel="0" collapsed="false">
      <c r="A6" s="3" t="s">
        <v>117</v>
      </c>
      <c r="B6" s="3" t="s">
        <v>118</v>
      </c>
      <c r="C6" s="3" t="s">
        <v>119</v>
      </c>
      <c r="D6" s="3" t="s">
        <v>120</v>
      </c>
      <c r="E6" s="3" t="s">
        <v>121</v>
      </c>
      <c r="F6" s="3" t="s">
        <v>122</v>
      </c>
      <c r="G6" s="3" t="s">
        <v>123</v>
      </c>
      <c r="H6" s="3" t="s">
        <v>124</v>
      </c>
      <c r="I6" s="3" t="s">
        <v>125</v>
      </c>
      <c r="J6" s="3" t="s">
        <v>126</v>
      </c>
      <c r="K6" s="3" t="s">
        <v>127</v>
      </c>
      <c r="L6" s="3" t="s">
        <v>128</v>
      </c>
      <c r="M6" s="3" t="s">
        <v>129</v>
      </c>
      <c r="N6" s="3" t="s">
        <v>130</v>
      </c>
      <c r="O6" s="3" t="s">
        <v>131</v>
      </c>
      <c r="P6" s="3" t="s">
        <v>132</v>
      </c>
      <c r="Q6" s="3" t="s">
        <v>133</v>
      </c>
      <c r="R6" s="3" t="s">
        <v>134</v>
      </c>
      <c r="S6" s="3" t="s">
        <v>135</v>
      </c>
      <c r="T6" s="3" t="s">
        <v>136</v>
      </c>
      <c r="W6" s="3" t="s">
        <v>3</v>
      </c>
      <c r="X6" s="3" t="s">
        <v>137</v>
      </c>
      <c r="Y6" s="3" t="s">
        <v>138</v>
      </c>
      <c r="Z6" s="3" t="s">
        <v>134</v>
      </c>
      <c r="AA6" s="3" t="s">
        <v>139</v>
      </c>
      <c r="AB6" s="3" t="s">
        <v>140</v>
      </c>
      <c r="AC6" s="3" t="s">
        <v>134</v>
      </c>
    </row>
    <row r="7" customFormat="false" ht="15" hidden="false" customHeight="false" outlineLevel="0" collapsed="false">
      <c r="A7" s="4" t="s">
        <v>141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 t="n">
        <v>1</v>
      </c>
      <c r="P7" s="7" t="n">
        <f aca="false">SUM(B7:O7)</f>
        <v>1</v>
      </c>
      <c r="Q7" s="8" t="n">
        <v>1</v>
      </c>
      <c r="R7" s="12" t="str">
        <f aca="false">IF(P7=Q7,"OK","DIFF")</f>
        <v>OK</v>
      </c>
      <c r="S7" s="8" t="n">
        <v>1</v>
      </c>
      <c r="T7" s="8" t="n">
        <v>0</v>
      </c>
      <c r="W7" s="4" t="s">
        <v>118</v>
      </c>
      <c r="X7" s="7" t="n">
        <f aca="false">COUNTIFS($C$45:$C$123,W7)</f>
        <v>34</v>
      </c>
      <c r="Y7" s="8" t="n">
        <v>34</v>
      </c>
      <c r="Z7" s="12" t="str">
        <f aca="false">IF(X7=Y7,"OK","DIFF")</f>
        <v>OK</v>
      </c>
      <c r="AA7" s="7" t="n">
        <f aca="false">COUNTIFS($C$128:$C$202,W7)</f>
        <v>16</v>
      </c>
      <c r="AB7" s="8" t="n">
        <v>16</v>
      </c>
      <c r="AC7" s="12" t="str">
        <f aca="false">IF(AA7=AB7,"OK","DIFF")</f>
        <v>OK</v>
      </c>
    </row>
    <row r="8" customFormat="false" ht="15" hidden="false" customHeight="false" outlineLevel="0" collapsed="false">
      <c r="A8" s="4" t="s">
        <v>142</v>
      </c>
      <c r="B8" s="7"/>
      <c r="C8" s="7"/>
      <c r="D8" s="7"/>
      <c r="E8" s="7"/>
      <c r="F8" s="8" t="n">
        <v>24</v>
      </c>
      <c r="G8" s="7"/>
      <c r="H8" s="7"/>
      <c r="I8" s="8" t="n">
        <v>10</v>
      </c>
      <c r="J8" s="7"/>
      <c r="K8" s="8" t="n">
        <v>86</v>
      </c>
      <c r="L8" s="7"/>
      <c r="M8" s="7"/>
      <c r="N8" s="7"/>
      <c r="O8" s="7"/>
      <c r="P8" s="7" t="n">
        <f aca="false">SUM(B8:O8)</f>
        <v>120</v>
      </c>
      <c r="Q8" s="8" t="n">
        <v>120</v>
      </c>
      <c r="R8" s="12" t="str">
        <f aca="false">IF(P8=Q8,"OK","DIFF")</f>
        <v>OK</v>
      </c>
      <c r="S8" s="8" t="n">
        <v>47</v>
      </c>
      <c r="T8" s="8" t="n">
        <v>3</v>
      </c>
      <c r="W8" s="4" t="s">
        <v>119</v>
      </c>
      <c r="X8" s="7" t="n">
        <f aca="false">COUNTIFS($C$45:$C$123,W8)</f>
        <v>0</v>
      </c>
      <c r="Y8" s="8" t="n">
        <v>0</v>
      </c>
      <c r="Z8" s="12" t="str">
        <f aca="false">IF(X8=Y8,"OK","DIFF")</f>
        <v>OK</v>
      </c>
      <c r="AA8" s="7" t="n">
        <f aca="false">COUNTIFS($C$128:$C$202,W8)</f>
        <v>0</v>
      </c>
      <c r="AB8" s="8" t="n">
        <v>0</v>
      </c>
      <c r="AC8" s="12" t="str">
        <f aca="false">IF(AA8=AB8,"OK","DIFF")</f>
        <v>OK</v>
      </c>
    </row>
    <row r="9" customFormat="false" ht="15" hidden="false" customHeight="false" outlineLevel="0" collapsed="false">
      <c r="A9" s="4" t="s">
        <v>143</v>
      </c>
      <c r="B9" s="8" t="n">
        <v>46</v>
      </c>
      <c r="C9" s="7"/>
      <c r="D9" s="7"/>
      <c r="E9" s="7"/>
      <c r="F9" s="8" t="n">
        <v>201</v>
      </c>
      <c r="G9" s="7"/>
      <c r="H9" s="8" t="n">
        <v>57</v>
      </c>
      <c r="I9" s="8" t="n">
        <v>180</v>
      </c>
      <c r="J9" s="7"/>
      <c r="K9" s="8" t="n">
        <v>168</v>
      </c>
      <c r="L9" s="7"/>
      <c r="M9" s="7"/>
      <c r="N9" s="7"/>
      <c r="O9" s="7"/>
      <c r="P9" s="7" t="n">
        <f aca="false">SUM(B9:O9)</f>
        <v>652</v>
      </c>
      <c r="Q9" s="8" t="n">
        <v>652</v>
      </c>
      <c r="R9" s="12" t="str">
        <f aca="false">IF(P9=Q9,"OK","DIFF")</f>
        <v>OK</v>
      </c>
      <c r="S9" s="8" t="n">
        <v>89</v>
      </c>
      <c r="T9" s="8" t="n">
        <v>2</v>
      </c>
      <c r="W9" s="4" t="s">
        <v>120</v>
      </c>
      <c r="X9" s="7" t="n">
        <f aca="false">COUNTIFS($C$45:$C$123,W9)</f>
        <v>0</v>
      </c>
      <c r="Y9" s="8" t="n">
        <v>0</v>
      </c>
      <c r="Z9" s="12" t="str">
        <f aca="false">IF(X9=Y9,"OK","DIFF")</f>
        <v>OK</v>
      </c>
      <c r="AA9" s="7" t="n">
        <f aca="false">COUNTIFS($C$128:$C$202,W9)</f>
        <v>1</v>
      </c>
      <c r="AB9" s="8" t="n">
        <v>1</v>
      </c>
      <c r="AC9" s="12" t="str">
        <f aca="false">IF(AA9=AB9,"OK","DIFF")</f>
        <v>OK</v>
      </c>
    </row>
    <row r="10" customFormat="false" ht="15" hidden="false" customHeight="false" outlineLevel="0" collapsed="false">
      <c r="A10" s="4" t="s">
        <v>144</v>
      </c>
      <c r="B10" s="8" t="n">
        <v>308</v>
      </c>
      <c r="C10" s="8" t="n">
        <v>1</v>
      </c>
      <c r="D10" s="7"/>
      <c r="E10" s="7"/>
      <c r="F10" s="8" t="n">
        <v>18</v>
      </c>
      <c r="G10" s="8" t="n">
        <v>1</v>
      </c>
      <c r="H10" s="8" t="n">
        <v>9</v>
      </c>
      <c r="I10" s="8" t="n">
        <v>90</v>
      </c>
      <c r="J10" s="7"/>
      <c r="K10" s="7"/>
      <c r="L10" s="7"/>
      <c r="M10" s="7"/>
      <c r="N10" s="7"/>
      <c r="O10" s="7"/>
      <c r="P10" s="7" t="n">
        <f aca="false">SUM(B10:O10)</f>
        <v>427</v>
      </c>
      <c r="Q10" s="8" t="n">
        <v>427</v>
      </c>
      <c r="R10" s="12" t="str">
        <f aca="false">IF(P10=Q10,"OK","DIFF")</f>
        <v>OK</v>
      </c>
      <c r="S10" s="8" t="n">
        <v>18</v>
      </c>
      <c r="T10" s="8" t="n">
        <v>18</v>
      </c>
      <c r="W10" s="4" t="s">
        <v>121</v>
      </c>
      <c r="X10" s="7" t="n">
        <f aca="false">COUNTIFS($C$45:$C$123,W10)</f>
        <v>0</v>
      </c>
      <c r="Y10" s="8" t="n">
        <v>0</v>
      </c>
      <c r="Z10" s="12" t="str">
        <f aca="false">IF(X10=Y10,"OK","DIFF")</f>
        <v>OK</v>
      </c>
      <c r="AA10" s="7" t="n">
        <f aca="false">COUNTIFS($C$128:$C$202,W10)</f>
        <v>0</v>
      </c>
      <c r="AB10" s="8" t="n">
        <v>0</v>
      </c>
      <c r="AC10" s="12" t="str">
        <f aca="false">IF(AA10=AB10,"OK","DIFF")</f>
        <v>OK</v>
      </c>
    </row>
    <row r="11" customFormat="false" ht="15" hidden="false" customHeight="false" outlineLevel="0" collapsed="false">
      <c r="A11" s="4" t="s">
        <v>145</v>
      </c>
      <c r="B11" s="8" t="n">
        <v>68</v>
      </c>
      <c r="C11" s="7"/>
      <c r="D11" s="7"/>
      <c r="E11" s="7"/>
      <c r="F11" s="8" t="n">
        <v>26</v>
      </c>
      <c r="G11" s="7"/>
      <c r="H11" s="7"/>
      <c r="I11" s="8" t="n">
        <v>46</v>
      </c>
      <c r="J11" s="8" t="n">
        <v>2</v>
      </c>
      <c r="K11" s="8" t="n">
        <v>8</v>
      </c>
      <c r="L11" s="8" t="n">
        <v>8</v>
      </c>
      <c r="M11" s="7"/>
      <c r="N11" s="7"/>
      <c r="O11" s="7"/>
      <c r="P11" s="7" t="n">
        <f aca="false">SUM(B11:O11)</f>
        <v>158</v>
      </c>
      <c r="Q11" s="8" t="n">
        <v>158</v>
      </c>
      <c r="R11" s="12" t="str">
        <f aca="false">IF(P11=Q11,"OK","DIFF")</f>
        <v>OK</v>
      </c>
      <c r="S11" s="8" t="n">
        <v>34</v>
      </c>
      <c r="T11" s="8" t="n">
        <v>26</v>
      </c>
      <c r="W11" s="4" t="s">
        <v>122</v>
      </c>
      <c r="X11" s="7" t="n">
        <f aca="false">COUNTIFS($C$45:$C$123,W11)</f>
        <v>13</v>
      </c>
      <c r="Y11" s="8" t="n">
        <v>13</v>
      </c>
      <c r="Z11" s="12" t="str">
        <f aca="false">IF(X11=Y11,"OK","DIFF")</f>
        <v>OK</v>
      </c>
      <c r="AA11" s="7" t="n">
        <f aca="false">COUNTIFS($C$128:$C$202,W11)</f>
        <v>37</v>
      </c>
      <c r="AB11" s="8" t="n">
        <v>37</v>
      </c>
      <c r="AC11" s="12" t="str">
        <f aca="false">IF(AA11=AB11,"OK","DIFF")</f>
        <v>OK</v>
      </c>
    </row>
    <row r="12" customFormat="false" ht="15" hidden="false" customHeight="false" outlineLevel="0" collapsed="false">
      <c r="A12" s="4" t="s">
        <v>146</v>
      </c>
      <c r="B12" s="8" t="n">
        <v>556</v>
      </c>
      <c r="C12" s="7"/>
      <c r="D12" s="7"/>
      <c r="E12" s="8" t="n">
        <v>2</v>
      </c>
      <c r="F12" s="8" t="n">
        <v>41</v>
      </c>
      <c r="G12" s="7"/>
      <c r="H12" s="8" t="n">
        <v>71</v>
      </c>
      <c r="I12" s="8" t="n">
        <v>271</v>
      </c>
      <c r="J12" s="7"/>
      <c r="K12" s="7"/>
      <c r="L12" s="7"/>
      <c r="M12" s="7"/>
      <c r="N12" s="8" t="n">
        <v>52</v>
      </c>
      <c r="O12" s="7"/>
      <c r="P12" s="7" t="n">
        <f aca="false">SUM(B12:O12)</f>
        <v>993</v>
      </c>
      <c r="Q12" s="8" t="n">
        <v>993</v>
      </c>
      <c r="R12" s="12" t="str">
        <f aca="false">IF(P12=Q12,"OK","DIFF")</f>
        <v>OK</v>
      </c>
      <c r="S12" s="8" t="n">
        <v>33</v>
      </c>
      <c r="T12" s="8" t="n">
        <v>0</v>
      </c>
      <c r="W12" s="4" t="s">
        <v>123</v>
      </c>
      <c r="X12" s="7" t="n">
        <f aca="false">COUNTIFS($C$45:$C$123,W12)</f>
        <v>0</v>
      </c>
      <c r="Y12" s="8" t="n">
        <v>0</v>
      </c>
      <c r="Z12" s="12" t="str">
        <f aca="false">IF(X12=Y12,"OK","DIFF")</f>
        <v>OK</v>
      </c>
      <c r="AA12" s="7" t="n">
        <f aca="false">COUNTIFS($C$128:$C$202,W12)</f>
        <v>1</v>
      </c>
      <c r="AB12" s="8" t="n">
        <v>1</v>
      </c>
      <c r="AC12" s="12" t="str">
        <f aca="false">IF(AA12=AB12,"OK","DIFF")</f>
        <v>OK</v>
      </c>
    </row>
    <row r="13" customFormat="false" ht="15" hidden="false" customHeight="false" outlineLevel="0" collapsed="false">
      <c r="A13" s="4" t="s">
        <v>147</v>
      </c>
      <c r="B13" s="8" t="n">
        <v>225</v>
      </c>
      <c r="C13" s="7"/>
      <c r="D13" s="7"/>
      <c r="E13" s="7"/>
      <c r="F13" s="8" t="n">
        <v>2</v>
      </c>
      <c r="G13" s="7"/>
      <c r="H13" s="7"/>
      <c r="I13" s="8" t="n">
        <v>50</v>
      </c>
      <c r="J13" s="7"/>
      <c r="K13" s="7"/>
      <c r="L13" s="7"/>
      <c r="M13" s="7"/>
      <c r="N13" s="7"/>
      <c r="O13" s="7"/>
      <c r="P13" s="7" t="n">
        <f aca="false">SUM(B13:O13)</f>
        <v>277</v>
      </c>
      <c r="Q13" s="8" t="n">
        <v>277</v>
      </c>
      <c r="R13" s="12" t="str">
        <f aca="false">IF(P13=Q13,"OK","DIFF")</f>
        <v>OK</v>
      </c>
      <c r="S13" s="8" t="n">
        <v>5</v>
      </c>
      <c r="T13" s="8" t="n">
        <v>1</v>
      </c>
      <c r="W13" s="4" t="s">
        <v>124</v>
      </c>
      <c r="X13" s="7" t="n">
        <f aca="false">COUNTIFS($C$45:$C$123,W13)</f>
        <v>0</v>
      </c>
      <c r="Y13" s="8" t="n">
        <v>0</v>
      </c>
      <c r="Z13" s="12" t="str">
        <f aca="false">IF(X13=Y13,"OK","DIFF")</f>
        <v>OK</v>
      </c>
      <c r="AA13" s="7" t="n">
        <f aca="false">COUNTIFS($C$128:$C$202,W13)</f>
        <v>0</v>
      </c>
      <c r="AB13" s="8" t="n">
        <v>0</v>
      </c>
      <c r="AC13" s="12" t="str">
        <f aca="false">IF(AA13=AB13,"OK","DIFF")</f>
        <v>OK</v>
      </c>
    </row>
    <row r="14" customFormat="false" ht="15" hidden="false" customHeight="false" outlineLevel="0" collapsed="false">
      <c r="A14" s="4" t="s">
        <v>148</v>
      </c>
      <c r="B14" s="8" t="n">
        <v>4</v>
      </c>
      <c r="C14" s="7"/>
      <c r="D14" s="7"/>
      <c r="E14" s="7"/>
      <c r="F14" s="8" t="n">
        <v>8</v>
      </c>
      <c r="G14" s="7"/>
      <c r="H14" s="7"/>
      <c r="I14" s="8" t="n">
        <v>4</v>
      </c>
      <c r="J14" s="7"/>
      <c r="K14" s="7"/>
      <c r="L14" s="7"/>
      <c r="M14" s="8" t="n">
        <v>2</v>
      </c>
      <c r="N14" s="7"/>
      <c r="O14" s="7"/>
      <c r="P14" s="7" t="n">
        <f aca="false">SUM(B14:O14)</f>
        <v>18</v>
      </c>
      <c r="Q14" s="8" t="n">
        <v>18</v>
      </c>
      <c r="R14" s="12" t="str">
        <f aca="false">IF(P14=Q14,"OK","DIFF")</f>
        <v>OK</v>
      </c>
      <c r="S14" s="8" t="n">
        <v>3</v>
      </c>
      <c r="T14" s="8" t="n">
        <v>0</v>
      </c>
      <c r="W14" s="4" t="s">
        <v>125</v>
      </c>
      <c r="X14" s="7" t="n">
        <f aca="false">COUNTIFS($C$45:$C$123,W14)</f>
        <v>23</v>
      </c>
      <c r="Y14" s="8" t="n">
        <v>23</v>
      </c>
      <c r="Z14" s="12" t="str">
        <f aca="false">IF(X14=Y14,"OK","DIFF")</f>
        <v>OK</v>
      </c>
      <c r="AA14" s="7" t="n">
        <f aca="false">COUNTIFS($C$128:$C$202,W14)</f>
        <v>20</v>
      </c>
      <c r="AB14" s="8" t="n">
        <v>20</v>
      </c>
      <c r="AC14" s="12" t="str">
        <f aca="false">IF(AA14=AB14,"OK","DIFF")</f>
        <v>OK</v>
      </c>
    </row>
    <row r="15" customFormat="false" ht="15" hidden="false" customHeight="false" outlineLevel="0" collapsed="false">
      <c r="A15" s="4" t="s">
        <v>149</v>
      </c>
      <c r="B15" s="8" t="n">
        <v>36</v>
      </c>
      <c r="C15" s="7"/>
      <c r="D15" s="7"/>
      <c r="E15" s="7"/>
      <c r="F15" s="8" t="n">
        <v>72</v>
      </c>
      <c r="G15" s="7"/>
      <c r="H15" s="7"/>
      <c r="I15" s="8" t="n">
        <v>48</v>
      </c>
      <c r="J15" s="7"/>
      <c r="K15" s="7"/>
      <c r="L15" s="7"/>
      <c r="M15" s="7"/>
      <c r="N15" s="7"/>
      <c r="O15" s="7"/>
      <c r="P15" s="7" t="n">
        <f aca="false">SUM(B15:O15)</f>
        <v>156</v>
      </c>
      <c r="Q15" s="8" t="n">
        <v>156</v>
      </c>
      <c r="R15" s="12" t="str">
        <f aca="false">IF(P15=Q15,"OK","DIFF")</f>
        <v>OK</v>
      </c>
      <c r="S15" s="8" t="n">
        <v>12</v>
      </c>
      <c r="T15" s="8" t="n">
        <v>48</v>
      </c>
      <c r="W15" s="4" t="s">
        <v>126</v>
      </c>
      <c r="X15" s="7" t="n">
        <f aca="false">COUNTIFS($C$45:$C$123,W15)</f>
        <v>1</v>
      </c>
      <c r="Y15" s="8" t="n">
        <v>1</v>
      </c>
      <c r="Z15" s="12" t="str">
        <f aca="false">IF(X15=Y15,"OK","DIFF")</f>
        <v>OK</v>
      </c>
      <c r="AA15" s="7" t="n">
        <f aca="false">COUNTIFS($C$128:$C$202,W15)</f>
        <v>0</v>
      </c>
      <c r="AB15" s="8" t="n">
        <v>0</v>
      </c>
      <c r="AC15" s="12" t="str">
        <f aca="false">IF(AA15=AB15,"OK","DIFF")</f>
        <v>OK</v>
      </c>
    </row>
    <row r="16" customFormat="false" ht="15" hidden="false" customHeight="false" outlineLevel="0" collapsed="false">
      <c r="A16" s="4" t="s">
        <v>150</v>
      </c>
      <c r="B16" s="8" t="n">
        <v>168</v>
      </c>
      <c r="C16" s="8" t="n">
        <v>1</v>
      </c>
      <c r="D16" s="8" t="n">
        <v>1</v>
      </c>
      <c r="E16" s="7"/>
      <c r="F16" s="8" t="n">
        <v>5</v>
      </c>
      <c r="G16" s="7"/>
      <c r="H16" s="7"/>
      <c r="I16" s="8" t="n">
        <v>61</v>
      </c>
      <c r="J16" s="7"/>
      <c r="K16" s="7"/>
      <c r="L16" s="8" t="n">
        <v>19</v>
      </c>
      <c r="M16" s="7"/>
      <c r="N16" s="7"/>
      <c r="O16" s="7"/>
      <c r="P16" s="7" t="n">
        <f aca="false">SUM(B16:O16)</f>
        <v>255</v>
      </c>
      <c r="Q16" s="8" t="n">
        <v>255</v>
      </c>
      <c r="R16" s="12" t="str">
        <f aca="false">IF(P16=Q16,"OK","DIFF")</f>
        <v>OK</v>
      </c>
      <c r="S16" s="8" t="n">
        <v>29</v>
      </c>
      <c r="T16" s="8" t="n">
        <v>118</v>
      </c>
      <c r="W16" s="4" t="s">
        <v>127</v>
      </c>
      <c r="X16" s="7" t="n">
        <f aca="false">COUNTIFS($C$45:$C$123,W16)</f>
        <v>4</v>
      </c>
      <c r="Y16" s="8" t="n">
        <v>4</v>
      </c>
      <c r="Z16" s="12" t="str">
        <f aca="false">IF(X16=Y16,"OK","DIFF")</f>
        <v>OK</v>
      </c>
      <c r="AA16" s="7" t="n">
        <f aca="false">COUNTIFS($C$128:$C$202,W16)</f>
        <v>0</v>
      </c>
      <c r="AB16" s="8" t="n">
        <v>0</v>
      </c>
      <c r="AC16" s="12" t="str">
        <f aca="false">IF(AA16=AB16,"OK","DIFF")</f>
        <v>OK</v>
      </c>
    </row>
    <row r="17" customFormat="false" ht="15" hidden="false" customHeight="false" outlineLevel="0" collapsed="false">
      <c r="A17" s="4" t="s">
        <v>151</v>
      </c>
      <c r="B17" s="8" t="n">
        <v>40</v>
      </c>
      <c r="C17" s="7"/>
      <c r="D17" s="7"/>
      <c r="E17" s="7"/>
      <c r="F17" s="8" t="n">
        <v>21</v>
      </c>
      <c r="G17" s="7"/>
      <c r="H17" s="7"/>
      <c r="I17" s="8" t="n">
        <v>28</v>
      </c>
      <c r="J17" s="8" t="n">
        <v>1</v>
      </c>
      <c r="K17" s="8" t="n">
        <v>1</v>
      </c>
      <c r="L17" s="7"/>
      <c r="M17" s="7"/>
      <c r="N17" s="7"/>
      <c r="O17" s="7"/>
      <c r="P17" s="7" t="n">
        <f aca="false">SUM(B17:O17)</f>
        <v>91</v>
      </c>
      <c r="Q17" s="8" t="n">
        <v>91</v>
      </c>
      <c r="R17" s="12" t="str">
        <f aca="false">IF(P17=Q17,"OK","DIFF")</f>
        <v>OK</v>
      </c>
      <c r="S17" s="8" t="n">
        <v>19</v>
      </c>
      <c r="T17" s="8" t="n">
        <v>17</v>
      </c>
      <c r="W17" s="4" t="s">
        <v>128</v>
      </c>
      <c r="X17" s="7" t="n">
        <f aca="false">COUNTIFS($C$45:$C$123,W17)</f>
        <v>4</v>
      </c>
      <c r="Y17" s="8" t="n">
        <v>4</v>
      </c>
      <c r="Z17" s="12" t="str">
        <f aca="false">IF(X17=Y17,"OK","DIFF")</f>
        <v>OK</v>
      </c>
      <c r="AA17" s="7" t="n">
        <f aca="false">COUNTIFS($C$128:$C$202,W17)</f>
        <v>0</v>
      </c>
      <c r="AB17" s="8" t="n">
        <v>0</v>
      </c>
      <c r="AC17" s="12" t="str">
        <f aca="false">IF(AA17=AB17,"OK","DIFF")</f>
        <v>OK</v>
      </c>
    </row>
    <row r="18" customFormat="false" ht="15" hidden="false" customHeight="false" outlineLevel="0" collapsed="false">
      <c r="A18" s="4" t="s">
        <v>152</v>
      </c>
      <c r="B18" s="8" t="n">
        <v>19</v>
      </c>
      <c r="C18" s="7"/>
      <c r="D18" s="7"/>
      <c r="E18" s="7"/>
      <c r="F18" s="8" t="n">
        <v>4</v>
      </c>
      <c r="G18" s="8" t="n">
        <v>1</v>
      </c>
      <c r="H18" s="7"/>
      <c r="I18" s="8" t="n">
        <v>54</v>
      </c>
      <c r="J18" s="7"/>
      <c r="K18" s="7"/>
      <c r="L18" s="7"/>
      <c r="M18" s="7"/>
      <c r="N18" s="7"/>
      <c r="O18" s="7"/>
      <c r="P18" s="7" t="n">
        <f aca="false">SUM(B18:O18)</f>
        <v>78</v>
      </c>
      <c r="Q18" s="8" t="n">
        <v>78</v>
      </c>
      <c r="R18" s="12" t="str">
        <f aca="false">IF(P18=Q18,"OK","DIFF")</f>
        <v>OK</v>
      </c>
      <c r="S18" s="8" t="n">
        <v>5</v>
      </c>
      <c r="T18" s="8" t="n">
        <v>26</v>
      </c>
      <c r="W18" s="4" t="s">
        <v>129</v>
      </c>
      <c r="X18" s="7" t="n">
        <f aca="false">COUNTIFS($C$45:$C$123,W18)</f>
        <v>0</v>
      </c>
      <c r="Y18" s="8" t="n">
        <v>0</v>
      </c>
      <c r="Z18" s="12" t="str">
        <f aca="false">IF(X18=Y18,"OK","DIFF")</f>
        <v>OK</v>
      </c>
      <c r="AA18" s="7" t="n">
        <f aca="false">COUNTIFS($C$128:$C$202,W18)</f>
        <v>0</v>
      </c>
      <c r="AB18" s="8" t="n">
        <v>0</v>
      </c>
      <c r="AC18" s="12" t="str">
        <f aca="false">IF(AA18=AB18,"OK","DIFF")</f>
        <v>OK</v>
      </c>
    </row>
    <row r="19" customFormat="false" ht="15" hidden="false" customHeight="false" outlineLevel="0" collapsed="false">
      <c r="A19" s="4" t="s">
        <v>153</v>
      </c>
      <c r="B19" s="8" t="n">
        <v>62</v>
      </c>
      <c r="C19" s="7"/>
      <c r="D19" s="7"/>
      <c r="E19" s="7"/>
      <c r="F19" s="8" t="n">
        <v>3</v>
      </c>
      <c r="G19" s="7"/>
      <c r="H19" s="7"/>
      <c r="I19" s="8" t="n">
        <v>42</v>
      </c>
      <c r="J19" s="7"/>
      <c r="K19" s="8" t="n">
        <v>1</v>
      </c>
      <c r="L19" s="7"/>
      <c r="M19" s="7"/>
      <c r="N19" s="7"/>
      <c r="O19" s="7"/>
      <c r="P19" s="7" t="n">
        <f aca="false">SUM(B19:O19)</f>
        <v>108</v>
      </c>
      <c r="Q19" s="8" t="n">
        <v>108</v>
      </c>
      <c r="R19" s="12" t="str">
        <f aca="false">IF(P19=Q19,"OK","DIFF")</f>
        <v>OK</v>
      </c>
      <c r="S19" s="8" t="n">
        <v>4</v>
      </c>
      <c r="T19" s="8" t="n">
        <v>4</v>
      </c>
      <c r="W19" s="4" t="s">
        <v>130</v>
      </c>
      <c r="X19" s="7" t="n">
        <f aca="false">COUNTIFS($C$45:$C$123,W19)</f>
        <v>0</v>
      </c>
      <c r="Y19" s="8" t="n">
        <v>0</v>
      </c>
      <c r="Z19" s="12" t="str">
        <f aca="false">IF(X19=Y19,"OK","DIFF")</f>
        <v>OK</v>
      </c>
      <c r="AA19" s="7" t="n">
        <f aca="false">COUNTIFS($C$128:$C$202,W19)</f>
        <v>0</v>
      </c>
      <c r="AB19" s="8" t="n">
        <v>0</v>
      </c>
      <c r="AC19" s="12" t="str">
        <f aca="false">IF(AA19=AB19,"OK","DIFF")</f>
        <v>OK</v>
      </c>
    </row>
    <row r="20" customFormat="false" ht="15" hidden="false" customHeight="false" outlineLevel="0" collapsed="false">
      <c r="A20" s="4" t="s">
        <v>154</v>
      </c>
      <c r="B20" s="8" t="n">
        <v>74</v>
      </c>
      <c r="C20" s="7"/>
      <c r="D20" s="7"/>
      <c r="E20" s="7"/>
      <c r="F20" s="8" t="n">
        <v>5</v>
      </c>
      <c r="G20" s="7"/>
      <c r="H20" s="7"/>
      <c r="I20" s="8" t="n">
        <v>24</v>
      </c>
      <c r="J20" s="7"/>
      <c r="K20" s="8" t="n">
        <v>1</v>
      </c>
      <c r="L20" s="8" t="n">
        <v>8</v>
      </c>
      <c r="M20" s="7"/>
      <c r="N20" s="7"/>
      <c r="O20" s="7"/>
      <c r="P20" s="7" t="n">
        <f aca="false">SUM(B20:O20)</f>
        <v>112</v>
      </c>
      <c r="Q20" s="8" t="n">
        <v>112</v>
      </c>
      <c r="R20" s="12" t="str">
        <f aca="false">IF(P20=Q20,"OK","DIFF")</f>
        <v>OK</v>
      </c>
      <c r="S20" s="8" t="n">
        <v>9</v>
      </c>
      <c r="T20" s="8" t="n">
        <v>10</v>
      </c>
      <c r="W20" s="4" t="s">
        <v>155</v>
      </c>
      <c r="X20" s="7" t="n">
        <f aca="false">SUM(X7:X19)</f>
        <v>79</v>
      </c>
      <c r="Y20" s="7" t="n">
        <f aca="false">SUM(Y7:Y19)</f>
        <v>79</v>
      </c>
      <c r="Z20" s="12" t="str">
        <f aca="false">IF(X20=Y20,"OK","DIFF")</f>
        <v>OK</v>
      </c>
      <c r="AA20" s="7" t="n">
        <f aca="false">SUM(AA7:AA19)</f>
        <v>75</v>
      </c>
      <c r="AB20" s="7" t="n">
        <f aca="false">SUM(AB7:AB19)</f>
        <v>75</v>
      </c>
      <c r="AC20" s="12" t="str">
        <f aca="false">IF(AA20=AB20,"OK","DIFF")</f>
        <v>OK</v>
      </c>
    </row>
    <row r="21" customFormat="false" ht="15" hidden="false" customHeight="false" outlineLevel="0" collapsed="false">
      <c r="A21" s="4" t="s">
        <v>156</v>
      </c>
      <c r="B21" s="8" t="n">
        <v>45</v>
      </c>
      <c r="C21" s="7"/>
      <c r="D21" s="7"/>
      <c r="E21" s="7"/>
      <c r="F21" s="8" t="n">
        <v>9</v>
      </c>
      <c r="G21" s="7"/>
      <c r="H21" s="7"/>
      <c r="I21" s="8" t="n">
        <v>52</v>
      </c>
      <c r="J21" s="7"/>
      <c r="K21" s="8" t="n">
        <v>6</v>
      </c>
      <c r="L21" s="8" t="n">
        <v>24</v>
      </c>
      <c r="M21" s="7"/>
      <c r="N21" s="7"/>
      <c r="O21" s="7"/>
      <c r="P21" s="7" t="n">
        <f aca="false">SUM(B21:O21)</f>
        <v>136</v>
      </c>
      <c r="Q21" s="8" t="n">
        <v>136</v>
      </c>
      <c r="R21" s="12" t="str">
        <f aca="false">IF(P21=Q21,"OK","DIFF")</f>
        <v>OK</v>
      </c>
      <c r="S21" s="8" t="n">
        <v>22</v>
      </c>
      <c r="T21" s="8" t="n">
        <v>28</v>
      </c>
    </row>
    <row r="22" customFormat="false" ht="15" hidden="false" customHeight="false" outlineLevel="0" collapsed="false">
      <c r="A22" s="4" t="s">
        <v>157</v>
      </c>
      <c r="B22" s="8" t="n">
        <v>168</v>
      </c>
      <c r="C22" s="8" t="n">
        <v>1</v>
      </c>
      <c r="D22" s="8" t="n">
        <v>1</v>
      </c>
      <c r="E22" s="7"/>
      <c r="F22" s="8" t="n">
        <v>5</v>
      </c>
      <c r="G22" s="7"/>
      <c r="H22" s="7"/>
      <c r="I22" s="8" t="n">
        <v>61</v>
      </c>
      <c r="J22" s="7"/>
      <c r="K22" s="7"/>
      <c r="L22" s="8" t="n">
        <v>19</v>
      </c>
      <c r="M22" s="7"/>
      <c r="N22" s="7"/>
      <c r="O22" s="7"/>
      <c r="P22" s="7" t="n">
        <f aca="false">SUM(B22:O22)</f>
        <v>255</v>
      </c>
      <c r="Q22" s="8" t="n">
        <v>255</v>
      </c>
      <c r="R22" s="12" t="str">
        <f aca="false">IF(P22=Q22,"OK","DIFF")</f>
        <v>OK</v>
      </c>
      <c r="S22" s="8" t="n">
        <v>29</v>
      </c>
      <c r="T22" s="8" t="n">
        <v>118</v>
      </c>
      <c r="W22" s="2" t="s">
        <v>158</v>
      </c>
    </row>
    <row r="23" customFormat="false" ht="15" hidden="false" customHeight="false" outlineLevel="0" collapsed="false">
      <c r="A23" s="4" t="s">
        <v>159</v>
      </c>
      <c r="B23" s="8" t="n">
        <v>168</v>
      </c>
      <c r="C23" s="8" t="n">
        <v>1</v>
      </c>
      <c r="D23" s="8" t="n">
        <v>1</v>
      </c>
      <c r="E23" s="7"/>
      <c r="F23" s="8" t="n">
        <v>5</v>
      </c>
      <c r="G23" s="7"/>
      <c r="H23" s="7"/>
      <c r="I23" s="8" t="n">
        <v>61</v>
      </c>
      <c r="J23" s="7"/>
      <c r="K23" s="7"/>
      <c r="L23" s="8" t="n">
        <v>19</v>
      </c>
      <c r="M23" s="7"/>
      <c r="N23" s="7"/>
      <c r="O23" s="7"/>
      <c r="P23" s="7" t="n">
        <f aca="false">SUM(B23:O23)</f>
        <v>255</v>
      </c>
      <c r="Q23" s="8" t="n">
        <v>255</v>
      </c>
      <c r="R23" s="12" t="str">
        <f aca="false">IF(P23=Q23,"OK","DIFF")</f>
        <v>OK</v>
      </c>
      <c r="S23" s="8" t="n">
        <v>29</v>
      </c>
      <c r="T23" s="8" t="n">
        <v>118</v>
      </c>
      <c r="W23" s="2" t="s">
        <v>160</v>
      </c>
    </row>
    <row r="24" customFormat="false" ht="15" hidden="false" customHeight="false" outlineLevel="0" collapsed="false">
      <c r="A24" s="4" t="s">
        <v>161</v>
      </c>
      <c r="B24" s="8" t="n">
        <v>17</v>
      </c>
      <c r="C24" s="8" t="n">
        <v>2</v>
      </c>
      <c r="D24" s="7"/>
      <c r="E24" s="7"/>
      <c r="F24" s="8" t="n">
        <v>10</v>
      </c>
      <c r="G24" s="7"/>
      <c r="H24" s="8" t="n">
        <v>8</v>
      </c>
      <c r="I24" s="8" t="n">
        <v>6</v>
      </c>
      <c r="J24" s="7"/>
      <c r="K24" s="7"/>
      <c r="L24" s="7"/>
      <c r="M24" s="7"/>
      <c r="N24" s="7"/>
      <c r="O24" s="7"/>
      <c r="P24" s="7" t="n">
        <f aca="false">SUM(B24:O24)</f>
        <v>43</v>
      </c>
      <c r="Q24" s="8" t="n">
        <v>43</v>
      </c>
      <c r="R24" s="12" t="str">
        <f aca="false">IF(P24=Q24,"OK","DIFF")</f>
        <v>OK</v>
      </c>
      <c r="S24" s="8" t="n">
        <v>2</v>
      </c>
      <c r="T24" s="8" t="n">
        <v>0</v>
      </c>
    </row>
    <row r="25" customFormat="false" ht="15" hidden="false" customHeight="false" outlineLevel="0" collapsed="false">
      <c r="A25" s="4" t="s">
        <v>162</v>
      </c>
      <c r="B25" s="8" t="n">
        <v>277</v>
      </c>
      <c r="C25" s="7"/>
      <c r="D25" s="7"/>
      <c r="E25" s="7"/>
      <c r="F25" s="8" t="n">
        <v>48</v>
      </c>
      <c r="G25" s="7"/>
      <c r="H25" s="8" t="n">
        <v>219</v>
      </c>
      <c r="I25" s="8" t="n">
        <v>90</v>
      </c>
      <c r="J25" s="7"/>
      <c r="K25" s="8" t="n">
        <v>24</v>
      </c>
      <c r="L25" s="7"/>
      <c r="M25" s="7"/>
      <c r="N25" s="7"/>
      <c r="O25" s="7"/>
      <c r="P25" s="7" t="n">
        <f aca="false">SUM(B25:O25)</f>
        <v>658</v>
      </c>
      <c r="Q25" s="8" t="n">
        <v>658</v>
      </c>
      <c r="R25" s="12" t="str">
        <f aca="false">IF(P25=Q25,"OK","DIFF")</f>
        <v>OK</v>
      </c>
      <c r="S25" s="8" t="n">
        <v>21</v>
      </c>
      <c r="T25" s="8" t="n">
        <v>0</v>
      </c>
    </row>
    <row r="26" customFormat="false" ht="15" hidden="false" customHeight="false" outlineLevel="0" collapsed="false">
      <c r="A26" s="4" t="s">
        <v>163</v>
      </c>
      <c r="B26" s="8" t="n">
        <v>17</v>
      </c>
      <c r="C26" s="7"/>
      <c r="D26" s="7"/>
      <c r="E26" s="7"/>
      <c r="F26" s="8" t="n">
        <v>2</v>
      </c>
      <c r="G26" s="7"/>
      <c r="H26" s="7"/>
      <c r="I26" s="8" t="n">
        <v>1</v>
      </c>
      <c r="J26" s="7"/>
      <c r="K26" s="7"/>
      <c r="L26" s="7"/>
      <c r="M26" s="7"/>
      <c r="N26" s="7"/>
      <c r="O26" s="7"/>
      <c r="P26" s="7" t="n">
        <f aca="false">SUM(B26:O26)</f>
        <v>20</v>
      </c>
      <c r="Q26" s="8" t="n">
        <v>20</v>
      </c>
      <c r="R26" s="12" t="str">
        <f aca="false">IF(P26=Q26,"OK","DIFF")</f>
        <v>OK</v>
      </c>
      <c r="S26" s="8" t="n">
        <v>2</v>
      </c>
      <c r="T26" s="8" t="n">
        <v>2</v>
      </c>
    </row>
    <row r="27" customFormat="false" ht="15" hidden="false" customHeight="false" outlineLevel="0" collapsed="false">
      <c r="A27" s="4" t="s">
        <v>164</v>
      </c>
      <c r="B27" s="8" t="n">
        <v>1</v>
      </c>
      <c r="C27" s="7"/>
      <c r="D27" s="7"/>
      <c r="E27" s="7"/>
      <c r="F27" s="7"/>
      <c r="G27" s="7"/>
      <c r="H27" s="7"/>
      <c r="I27" s="8" t="n">
        <v>14</v>
      </c>
      <c r="J27" s="7"/>
      <c r="K27" s="7"/>
      <c r="L27" s="7"/>
      <c r="M27" s="7"/>
      <c r="N27" s="7"/>
      <c r="O27" s="7"/>
      <c r="P27" s="7" t="n">
        <f aca="false">SUM(B27:O27)</f>
        <v>15</v>
      </c>
      <c r="Q27" s="8" t="n">
        <v>15</v>
      </c>
      <c r="R27" s="12" t="str">
        <f aca="false">IF(P27=Q27,"OK","DIFF")</f>
        <v>OK</v>
      </c>
      <c r="S27" s="8" t="n">
        <v>7</v>
      </c>
      <c r="T27" s="8" t="n">
        <v>6</v>
      </c>
    </row>
    <row r="28" customFormat="false" ht="15" hidden="false" customHeight="false" outlineLevel="0" collapsed="false">
      <c r="A28" s="4" t="s">
        <v>165</v>
      </c>
      <c r="B28" s="8" t="n">
        <v>40</v>
      </c>
      <c r="C28" s="7"/>
      <c r="D28" s="7"/>
      <c r="E28" s="7"/>
      <c r="F28" s="8" t="n">
        <v>2</v>
      </c>
      <c r="G28" s="7"/>
      <c r="H28" s="7"/>
      <c r="I28" s="8" t="n">
        <v>5</v>
      </c>
      <c r="J28" s="7"/>
      <c r="K28" s="7"/>
      <c r="L28" s="7"/>
      <c r="M28" s="7"/>
      <c r="N28" s="7"/>
      <c r="O28" s="7"/>
      <c r="P28" s="7" t="n">
        <f aca="false">SUM(B28:O28)</f>
        <v>47</v>
      </c>
      <c r="Q28" s="8" t="n">
        <v>47</v>
      </c>
      <c r="R28" s="12" t="str">
        <f aca="false">IF(P28=Q28,"OK","DIFF")</f>
        <v>OK</v>
      </c>
      <c r="S28" s="8" t="n">
        <v>14</v>
      </c>
      <c r="T28" s="8" t="n">
        <v>13</v>
      </c>
    </row>
    <row r="29" customFormat="false" ht="15" hidden="false" customHeight="false" outlineLevel="0" collapsed="false">
      <c r="A29" s="4" t="s">
        <v>166</v>
      </c>
      <c r="B29" s="8" t="n">
        <v>16</v>
      </c>
      <c r="C29" s="7"/>
      <c r="D29" s="8" t="n">
        <v>1</v>
      </c>
      <c r="E29" s="7"/>
      <c r="F29" s="8" t="n">
        <v>37</v>
      </c>
      <c r="G29" s="8" t="n">
        <v>1</v>
      </c>
      <c r="H29" s="7"/>
      <c r="I29" s="8" t="n">
        <v>20</v>
      </c>
      <c r="J29" s="7"/>
      <c r="K29" s="7"/>
      <c r="L29" s="7"/>
      <c r="M29" s="7"/>
      <c r="N29" s="7"/>
      <c r="O29" s="7"/>
      <c r="P29" s="7" t="n">
        <f aca="false">SUM(B29:O29)</f>
        <v>75</v>
      </c>
      <c r="Q29" s="8" t="n">
        <v>75</v>
      </c>
      <c r="R29" s="12" t="str">
        <f aca="false">IF(P29=Q29,"OK","DIFF")</f>
        <v>OK</v>
      </c>
      <c r="S29" s="8" t="n">
        <v>20</v>
      </c>
      <c r="T29" s="8" t="n">
        <v>15</v>
      </c>
    </row>
    <row r="30" customFormat="false" ht="15" hidden="false" customHeight="false" outlineLevel="0" collapsed="false">
      <c r="A30" s="4" t="s">
        <v>167</v>
      </c>
      <c r="B30" s="8" t="n">
        <v>16</v>
      </c>
      <c r="C30" s="7"/>
      <c r="D30" s="8" t="n">
        <v>1</v>
      </c>
      <c r="E30" s="7"/>
      <c r="F30" s="8" t="n">
        <v>37</v>
      </c>
      <c r="G30" s="8" t="n">
        <v>1</v>
      </c>
      <c r="H30" s="7"/>
      <c r="I30" s="8" t="n">
        <v>20</v>
      </c>
      <c r="J30" s="7"/>
      <c r="K30" s="7"/>
      <c r="L30" s="7"/>
      <c r="M30" s="7"/>
      <c r="N30" s="7"/>
      <c r="O30" s="7"/>
      <c r="P30" s="7" t="n">
        <f aca="false">SUM(B30:O30)</f>
        <v>75</v>
      </c>
      <c r="Q30" s="8" t="n">
        <v>75</v>
      </c>
      <c r="R30" s="12" t="str">
        <f aca="false">IF(P30=Q30,"OK","DIFF")</f>
        <v>OK</v>
      </c>
      <c r="S30" s="8" t="n">
        <v>20</v>
      </c>
      <c r="T30" s="8" t="n">
        <v>15</v>
      </c>
    </row>
    <row r="31" customFormat="false" ht="15" hidden="false" customHeight="false" outlineLevel="0" collapsed="false">
      <c r="A31" s="4" t="s">
        <v>168</v>
      </c>
      <c r="B31" s="8" t="n">
        <v>16</v>
      </c>
      <c r="C31" s="7"/>
      <c r="D31" s="8" t="n">
        <v>1</v>
      </c>
      <c r="E31" s="7"/>
      <c r="F31" s="8" t="n">
        <v>37</v>
      </c>
      <c r="G31" s="8" t="n">
        <v>1</v>
      </c>
      <c r="H31" s="7"/>
      <c r="I31" s="8" t="n">
        <v>20</v>
      </c>
      <c r="J31" s="7"/>
      <c r="K31" s="7"/>
      <c r="L31" s="7"/>
      <c r="M31" s="7"/>
      <c r="N31" s="7"/>
      <c r="O31" s="7"/>
      <c r="P31" s="7" t="n">
        <f aca="false">SUM(B31:O31)</f>
        <v>75</v>
      </c>
      <c r="Q31" s="8" t="n">
        <v>75</v>
      </c>
      <c r="R31" s="12" t="str">
        <f aca="false">IF(P31=Q31,"OK","DIFF")</f>
        <v>OK</v>
      </c>
      <c r="S31" s="8" t="n">
        <v>20</v>
      </c>
      <c r="T31" s="8" t="n">
        <v>15</v>
      </c>
    </row>
    <row r="32" customFormat="false" ht="15" hidden="false" customHeight="false" outlineLevel="0" collapsed="false">
      <c r="A32" s="4" t="s">
        <v>169</v>
      </c>
      <c r="B32" s="8" t="n">
        <v>16</v>
      </c>
      <c r="C32" s="7"/>
      <c r="D32" s="8" t="n">
        <v>1</v>
      </c>
      <c r="E32" s="7"/>
      <c r="F32" s="8" t="n">
        <v>37</v>
      </c>
      <c r="G32" s="8" t="n">
        <v>1</v>
      </c>
      <c r="H32" s="7"/>
      <c r="I32" s="8" t="n">
        <v>20</v>
      </c>
      <c r="J32" s="7"/>
      <c r="K32" s="7"/>
      <c r="L32" s="7"/>
      <c r="M32" s="7"/>
      <c r="N32" s="7"/>
      <c r="O32" s="7"/>
      <c r="P32" s="7" t="n">
        <f aca="false">SUM(B32:O32)</f>
        <v>75</v>
      </c>
      <c r="Q32" s="8" t="n">
        <v>75</v>
      </c>
      <c r="R32" s="12" t="str">
        <f aca="false">IF(P32=Q32,"OK","DIFF")</f>
        <v>OK</v>
      </c>
      <c r="S32" s="8" t="n">
        <v>20</v>
      </c>
      <c r="T32" s="8" t="n">
        <v>15</v>
      </c>
    </row>
    <row r="33" customFormat="false" ht="15" hidden="false" customHeight="false" outlineLevel="0" collapsed="false">
      <c r="A33" s="4" t="s">
        <v>170</v>
      </c>
      <c r="B33" s="8" t="n">
        <v>16</v>
      </c>
      <c r="C33" s="7"/>
      <c r="D33" s="8" t="n">
        <v>1</v>
      </c>
      <c r="E33" s="7"/>
      <c r="F33" s="8" t="n">
        <v>37</v>
      </c>
      <c r="G33" s="8" t="n">
        <v>1</v>
      </c>
      <c r="H33" s="7"/>
      <c r="I33" s="8" t="n">
        <v>20</v>
      </c>
      <c r="J33" s="7"/>
      <c r="K33" s="7"/>
      <c r="L33" s="7"/>
      <c r="M33" s="7"/>
      <c r="N33" s="7"/>
      <c r="O33" s="7"/>
      <c r="P33" s="7" t="n">
        <f aca="false">SUM(B33:O33)</f>
        <v>75</v>
      </c>
      <c r="Q33" s="8" t="n">
        <v>75</v>
      </c>
      <c r="R33" s="12" t="str">
        <f aca="false">IF(P33=Q33,"OK","DIFF")</f>
        <v>OK</v>
      </c>
      <c r="S33" s="8" t="n">
        <v>20</v>
      </c>
      <c r="T33" s="8" t="n">
        <v>15</v>
      </c>
    </row>
    <row r="34" customFormat="false" ht="15" hidden="false" customHeight="false" outlineLevel="0" collapsed="false">
      <c r="A34" s="4" t="s">
        <v>171</v>
      </c>
      <c r="B34" s="8" t="n">
        <v>16</v>
      </c>
      <c r="C34" s="7"/>
      <c r="D34" s="8" t="n">
        <v>1</v>
      </c>
      <c r="E34" s="7"/>
      <c r="F34" s="8" t="n">
        <v>37</v>
      </c>
      <c r="G34" s="8" t="n">
        <v>1</v>
      </c>
      <c r="H34" s="7"/>
      <c r="I34" s="8" t="n">
        <v>20</v>
      </c>
      <c r="J34" s="7"/>
      <c r="K34" s="7"/>
      <c r="L34" s="7"/>
      <c r="M34" s="7"/>
      <c r="N34" s="7"/>
      <c r="O34" s="7"/>
      <c r="P34" s="7" t="n">
        <f aca="false">SUM(B34:O34)</f>
        <v>75</v>
      </c>
      <c r="Q34" s="8" t="n">
        <v>75</v>
      </c>
      <c r="R34" s="12" t="str">
        <f aca="false">IF(P34=Q34,"OK","DIFF")</f>
        <v>OK</v>
      </c>
      <c r="S34" s="8" t="n">
        <v>20</v>
      </c>
      <c r="T34" s="8" t="n">
        <v>15</v>
      </c>
    </row>
    <row r="35" customFormat="false" ht="15" hidden="false" customHeight="false" outlineLevel="0" collapsed="false">
      <c r="A35" s="4" t="s">
        <v>172</v>
      </c>
      <c r="B35" s="8" t="n">
        <v>16</v>
      </c>
      <c r="C35" s="7"/>
      <c r="D35" s="8" t="n">
        <v>1</v>
      </c>
      <c r="E35" s="7"/>
      <c r="F35" s="8" t="n">
        <v>37</v>
      </c>
      <c r="G35" s="8" t="n">
        <v>1</v>
      </c>
      <c r="H35" s="7"/>
      <c r="I35" s="8" t="n">
        <v>20</v>
      </c>
      <c r="J35" s="7"/>
      <c r="K35" s="7"/>
      <c r="L35" s="7"/>
      <c r="M35" s="7"/>
      <c r="N35" s="7"/>
      <c r="O35" s="7"/>
      <c r="P35" s="7" t="n">
        <f aca="false">SUM(B35:O35)</f>
        <v>75</v>
      </c>
      <c r="Q35" s="8" t="n">
        <v>75</v>
      </c>
      <c r="R35" s="12" t="str">
        <f aca="false">IF(P35=Q35,"OK","DIFF")</f>
        <v>OK</v>
      </c>
      <c r="S35" s="8" t="n">
        <v>20</v>
      </c>
      <c r="T35" s="8" t="n">
        <v>15</v>
      </c>
    </row>
    <row r="36" customFormat="false" ht="15" hidden="false" customHeight="false" outlineLevel="0" collapsed="false">
      <c r="A36" s="4" t="s">
        <v>173</v>
      </c>
      <c r="B36" s="8" t="n">
        <v>16</v>
      </c>
      <c r="C36" s="7"/>
      <c r="D36" s="8" t="n">
        <v>1</v>
      </c>
      <c r="E36" s="7"/>
      <c r="F36" s="8" t="n">
        <v>37</v>
      </c>
      <c r="G36" s="8" t="n">
        <v>1</v>
      </c>
      <c r="H36" s="7"/>
      <c r="I36" s="8" t="n">
        <v>20</v>
      </c>
      <c r="J36" s="7"/>
      <c r="K36" s="7"/>
      <c r="L36" s="7"/>
      <c r="M36" s="7"/>
      <c r="N36" s="7"/>
      <c r="O36" s="7"/>
      <c r="P36" s="7" t="n">
        <f aca="false">SUM(B36:O36)</f>
        <v>75</v>
      </c>
      <c r="Q36" s="8" t="n">
        <v>75</v>
      </c>
      <c r="R36" s="12" t="str">
        <f aca="false">IF(P36=Q36,"OK","DIFF")</f>
        <v>OK</v>
      </c>
      <c r="S36" s="8" t="n">
        <v>20</v>
      </c>
      <c r="T36" s="8" t="n">
        <v>15</v>
      </c>
    </row>
    <row r="37" customFormat="false" ht="15" hidden="false" customHeight="false" outlineLevel="0" collapsed="false">
      <c r="A37" s="4" t="s">
        <v>174</v>
      </c>
      <c r="B37" s="7"/>
      <c r="C37" s="7"/>
      <c r="D37" s="7"/>
      <c r="E37" s="7"/>
      <c r="F37" s="8" t="n">
        <v>1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f aca="false">SUM(B37:O37)</f>
        <v>1</v>
      </c>
      <c r="Q37" s="8" t="n">
        <v>1</v>
      </c>
      <c r="R37" s="12" t="str">
        <f aca="false">IF(P37=Q37,"OK","DIFF")</f>
        <v>OK</v>
      </c>
      <c r="S37" s="8" t="n">
        <v>1</v>
      </c>
      <c r="T37" s="8" t="n">
        <v>0</v>
      </c>
    </row>
    <row r="38" customFormat="false" ht="15" hidden="false" customHeight="false" outlineLevel="0" collapsed="false">
      <c r="A38" s="4" t="s">
        <v>175</v>
      </c>
      <c r="B38" s="7" t="n">
        <f aca="false">SUM(B7:B37)</f>
        <v>2467</v>
      </c>
      <c r="C38" s="7" t="n">
        <f aca="false">SUM(C7:C37)</f>
        <v>6</v>
      </c>
      <c r="D38" s="7" t="n">
        <f aca="false">SUM(D7:D37)</f>
        <v>11</v>
      </c>
      <c r="E38" s="7" t="n">
        <f aca="false">SUM(E7:E37)</f>
        <v>2</v>
      </c>
      <c r="F38" s="7" t="n">
        <f aca="false">SUM(F7:F37)</f>
        <v>808</v>
      </c>
      <c r="G38" s="7" t="n">
        <f aca="false">SUM(G7:G37)</f>
        <v>10</v>
      </c>
      <c r="H38" s="7" t="n">
        <f aca="false">SUM(H7:H37)</f>
        <v>364</v>
      </c>
      <c r="I38" s="7" t="n">
        <f aca="false">SUM(I7:I37)</f>
        <v>1358</v>
      </c>
      <c r="J38" s="7" t="n">
        <f aca="false">SUM(J7:J37)</f>
        <v>3</v>
      </c>
      <c r="K38" s="7" t="n">
        <f aca="false">SUM(K7:K37)</f>
        <v>295</v>
      </c>
      <c r="L38" s="7" t="n">
        <f aca="false">SUM(L7:L37)</f>
        <v>97</v>
      </c>
      <c r="M38" s="7" t="n">
        <f aca="false">SUM(M7:M37)</f>
        <v>2</v>
      </c>
      <c r="N38" s="7" t="n">
        <f aca="false">SUM(N7:N37)</f>
        <v>52</v>
      </c>
      <c r="O38" s="7" t="n">
        <f aca="false">SUM(O7:O37)</f>
        <v>1</v>
      </c>
      <c r="P38" s="7" t="n">
        <f aca="false">SUM(P7:P37)</f>
        <v>5476</v>
      </c>
      <c r="Q38" s="7" t="n">
        <f aca="false">SUM(Q7:Q37)</f>
        <v>5476</v>
      </c>
      <c r="S38" s="7" t="n">
        <f aca="false">SUM(S7:S37)</f>
        <v>595</v>
      </c>
      <c r="T38" s="7" t="n">
        <f aca="false">SUM(T7:T37)</f>
        <v>678</v>
      </c>
    </row>
    <row r="39" customFormat="false" ht="15" hidden="false" customHeight="false" outlineLevel="0" collapsed="false">
      <c r="A39" s="4" t="s">
        <v>176</v>
      </c>
      <c r="B39" s="8" t="n">
        <v>2467</v>
      </c>
      <c r="C39" s="8" t="n">
        <v>6</v>
      </c>
      <c r="D39" s="8" t="n">
        <v>11</v>
      </c>
      <c r="E39" s="8" t="n">
        <v>2</v>
      </c>
      <c r="F39" s="8" t="n">
        <v>808</v>
      </c>
      <c r="G39" s="8" t="n">
        <v>10</v>
      </c>
      <c r="H39" s="8" t="n">
        <v>364</v>
      </c>
      <c r="I39" s="8" t="n">
        <v>1358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 t="n">
        <f aca="false">SUM(B39:O39)</f>
        <v>5476</v>
      </c>
      <c r="Q39" s="8" t="n">
        <v>5476</v>
      </c>
    </row>
    <row r="40" customFormat="false" ht="15" hidden="false" customHeight="false" outlineLevel="0" collapsed="false">
      <c r="A40" s="4" t="s">
        <v>134</v>
      </c>
      <c r="B40" s="12" t="str">
        <f aca="false">IF(B38=B39,"OK","DIFF")</f>
        <v>OK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OK</v>
      </c>
      <c r="I40" s="12" t="str">
        <f aca="false">IF(I38=I39,"OK","DIFF")</f>
        <v>OK</v>
      </c>
      <c r="J40" s="12" t="str">
        <f aca="false">IF(J38=J39,"OK","DIFF")</f>
        <v>OK</v>
      </c>
      <c r="K40" s="12" t="str">
        <f aca="false">IF(K38=K39,"OK","DIFF")</f>
        <v>OK</v>
      </c>
      <c r="L40" s="12" t="str">
        <f aca="false">IF(L38=L39,"OK","DIFF")</f>
        <v>OK</v>
      </c>
      <c r="M40" s="12" t="str">
        <f aca="false">IF(M38=M39,"OK","DIFF")</f>
        <v>OK</v>
      </c>
      <c r="N40" s="12" t="str">
        <f aca="false">IF(N38=N39,"OK","DIFF")</f>
        <v>OK</v>
      </c>
      <c r="O40" s="12" t="str">
        <f aca="false">IF(O38=O39,"OK","DIFF")</f>
        <v>OK</v>
      </c>
      <c r="P40" s="12" t="str">
        <f aca="false">IF(P38=P39,"OK","DIFF")</f>
        <v>OK</v>
      </c>
      <c r="Q40" s="12" t="str">
        <f aca="false">IF(Q38=Q39,"OK","DIFF")</f>
        <v>OK</v>
      </c>
    </row>
    <row r="43" customFormat="false" ht="15" hidden="false" customHeight="false" outlineLevel="0" collapsed="false">
      <c r="A43" s="10" t="s">
        <v>177</v>
      </c>
    </row>
    <row r="44" customFormat="false" ht="27.75" hidden="false" customHeight="true" outlineLevel="0" collapsed="false">
      <c r="A44" s="3" t="s">
        <v>178</v>
      </c>
      <c r="B44" s="3" t="s">
        <v>179</v>
      </c>
      <c r="C44" s="3" t="s">
        <v>3</v>
      </c>
      <c r="D44" s="3" t="s">
        <v>180</v>
      </c>
      <c r="E44" s="3" t="s">
        <v>181</v>
      </c>
      <c r="F44" s="3" t="s">
        <v>182</v>
      </c>
      <c r="G44" s="3" t="s">
        <v>183</v>
      </c>
      <c r="H44" s="3" t="s">
        <v>184</v>
      </c>
      <c r="I44" s="3" t="s">
        <v>185</v>
      </c>
      <c r="J44" s="3" t="s">
        <v>186</v>
      </c>
      <c r="K44" s="3" t="s">
        <v>187</v>
      </c>
      <c r="L44" s="3" t="s">
        <v>188</v>
      </c>
      <c r="M44" s="3" t="s">
        <v>189</v>
      </c>
      <c r="N44" s="3" t="s">
        <v>190</v>
      </c>
      <c r="O44" s="3" t="s">
        <v>191</v>
      </c>
      <c r="P44" s="3" t="s">
        <v>192</v>
      </c>
      <c r="Q44" s="3" t="s">
        <v>193</v>
      </c>
      <c r="R44" s="3" t="s">
        <v>194</v>
      </c>
    </row>
    <row r="45" customFormat="false" ht="15" hidden="false" customHeight="false" outlineLevel="0" collapsed="false">
      <c r="A45" s="5" t="s">
        <v>195</v>
      </c>
      <c r="B45" s="5" t="s">
        <v>196</v>
      </c>
      <c r="C45" s="5" t="s">
        <v>118</v>
      </c>
      <c r="D45" s="5" t="s">
        <v>197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198</v>
      </c>
      <c r="B46" s="5" t="s">
        <v>199</v>
      </c>
      <c r="C46" s="5" t="s">
        <v>122</v>
      </c>
      <c r="D46" s="5" t="s">
        <v>197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200</v>
      </c>
      <c r="B47" s="5" t="s">
        <v>201</v>
      </c>
      <c r="C47" s="5" t="s">
        <v>118</v>
      </c>
      <c r="D47" s="5" t="s">
        <v>197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202</v>
      </c>
      <c r="B48" s="5" t="s">
        <v>203</v>
      </c>
      <c r="C48" s="5" t="s">
        <v>125</v>
      </c>
      <c r="D48" s="5" t="s">
        <v>197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204</v>
      </c>
      <c r="B49" s="5" t="s">
        <v>205</v>
      </c>
      <c r="C49" s="5" t="s">
        <v>125</v>
      </c>
      <c r="D49" s="5" t="s">
        <v>197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206</v>
      </c>
      <c r="B50" s="5" t="s">
        <v>207</v>
      </c>
      <c r="C50" s="5" t="s">
        <v>118</v>
      </c>
      <c r="D50" s="5" t="s">
        <v>197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208</v>
      </c>
      <c r="B51" s="5" t="s">
        <v>209</v>
      </c>
      <c r="C51" s="5" t="s">
        <v>125</v>
      </c>
      <c r="D51" s="5" t="s">
        <v>210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211</v>
      </c>
      <c r="B52" s="5" t="s">
        <v>212</v>
      </c>
      <c r="C52" s="5" t="s">
        <v>122</v>
      </c>
      <c r="D52" s="5" t="s">
        <v>213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214</v>
      </c>
      <c r="B53" s="5" t="s">
        <v>215</v>
      </c>
      <c r="C53" s="5" t="s">
        <v>118</v>
      </c>
      <c r="D53" s="5" t="s">
        <v>213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216</v>
      </c>
      <c r="B54" s="5" t="s">
        <v>217</v>
      </c>
      <c r="C54" s="5" t="s">
        <v>125</v>
      </c>
      <c r="D54" s="5" t="s">
        <v>210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218</v>
      </c>
      <c r="B55" s="5" t="s">
        <v>219</v>
      </c>
      <c r="C55" s="5" t="s">
        <v>122</v>
      </c>
      <c r="D55" s="5" t="s">
        <v>210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220</v>
      </c>
      <c r="B56" s="5" t="s">
        <v>221</v>
      </c>
      <c r="C56" s="5" t="s">
        <v>128</v>
      </c>
      <c r="D56" s="5" t="s">
        <v>210</v>
      </c>
      <c r="E56" s="13" t="n">
        <v>0.05</v>
      </c>
      <c r="F56" s="13" t="n">
        <v>0.05</v>
      </c>
      <c r="G56" s="13" t="n">
        <v>0.0333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222</v>
      </c>
      <c r="B57" s="5" t="s">
        <v>223</v>
      </c>
      <c r="C57" s="5" t="s">
        <v>118</v>
      </c>
      <c r="D57" s="5" t="s">
        <v>197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224</v>
      </c>
      <c r="B58" s="5" t="s">
        <v>209</v>
      </c>
      <c r="C58" s="5" t="s">
        <v>125</v>
      </c>
      <c r="D58" s="5" t="s">
        <v>225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226</v>
      </c>
      <c r="B59" s="5" t="s">
        <v>212</v>
      </c>
      <c r="C59" s="5" t="s">
        <v>122</v>
      </c>
      <c r="D59" s="5" t="s">
        <v>227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228</v>
      </c>
      <c r="B60" s="5" t="s">
        <v>215</v>
      </c>
      <c r="C60" s="5" t="s">
        <v>118</v>
      </c>
      <c r="D60" s="5" t="s">
        <v>227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229</v>
      </c>
      <c r="B61" s="5" t="s">
        <v>217</v>
      </c>
      <c r="C61" s="5" t="s">
        <v>125</v>
      </c>
      <c r="D61" s="5" t="s">
        <v>225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230</v>
      </c>
      <c r="B62" s="5" t="s">
        <v>219</v>
      </c>
      <c r="C62" s="5" t="s">
        <v>122</v>
      </c>
      <c r="D62" s="5" t="s">
        <v>225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231</v>
      </c>
      <c r="B63" s="5" t="s">
        <v>221</v>
      </c>
      <c r="C63" s="5" t="s">
        <v>128</v>
      </c>
      <c r="D63" s="5" t="s">
        <v>225</v>
      </c>
      <c r="E63" s="13" t="n">
        <v>0.05</v>
      </c>
      <c r="F63" s="13" t="n">
        <v>0.05</v>
      </c>
      <c r="G63" s="13" t="n">
        <v>0.0333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232</v>
      </c>
      <c r="B64" s="5" t="s">
        <v>233</v>
      </c>
      <c r="C64" s="5" t="s">
        <v>118</v>
      </c>
      <c r="D64" s="5" t="s">
        <v>197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234</v>
      </c>
      <c r="B65" s="5" t="s">
        <v>209</v>
      </c>
      <c r="C65" s="5" t="s">
        <v>125</v>
      </c>
      <c r="D65" s="5" t="s">
        <v>235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236</v>
      </c>
      <c r="B66" s="5" t="s">
        <v>212</v>
      </c>
      <c r="C66" s="5" t="s">
        <v>122</v>
      </c>
      <c r="D66" s="5" t="s">
        <v>237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238</v>
      </c>
      <c r="B67" s="5" t="s">
        <v>215</v>
      </c>
      <c r="C67" s="5" t="s">
        <v>118</v>
      </c>
      <c r="D67" s="5" t="s">
        <v>237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239</v>
      </c>
      <c r="B68" s="5" t="s">
        <v>217</v>
      </c>
      <c r="C68" s="5" t="s">
        <v>125</v>
      </c>
      <c r="D68" s="5" t="s">
        <v>235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240</v>
      </c>
      <c r="B69" s="5" t="s">
        <v>221</v>
      </c>
      <c r="C69" s="5" t="s">
        <v>128</v>
      </c>
      <c r="D69" s="5" t="s">
        <v>235</v>
      </c>
      <c r="E69" s="13" t="n">
        <v>0.05</v>
      </c>
      <c r="F69" s="13" t="n">
        <v>0.05</v>
      </c>
      <c r="G69" s="13" t="n">
        <v>0.0333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241</v>
      </c>
      <c r="B70" s="5" t="s">
        <v>242</v>
      </c>
      <c r="C70" s="5" t="s">
        <v>122</v>
      </c>
      <c r="D70" s="5" t="s">
        <v>235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243</v>
      </c>
      <c r="B71" s="5" t="s">
        <v>244</v>
      </c>
      <c r="C71" s="5" t="s">
        <v>118</v>
      </c>
      <c r="D71" s="5" t="s">
        <v>197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245</v>
      </c>
      <c r="B72" s="5" t="s">
        <v>209</v>
      </c>
      <c r="C72" s="5" t="s">
        <v>125</v>
      </c>
      <c r="D72" s="5" t="s">
        <v>246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247</v>
      </c>
      <c r="B73" s="5" t="s">
        <v>212</v>
      </c>
      <c r="C73" s="5" t="s">
        <v>122</v>
      </c>
      <c r="D73" s="5" t="s">
        <v>248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249</v>
      </c>
      <c r="B74" s="5" t="s">
        <v>215</v>
      </c>
      <c r="C74" s="5" t="s">
        <v>118</v>
      </c>
      <c r="D74" s="5" t="s">
        <v>248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250</v>
      </c>
      <c r="B75" s="5" t="s">
        <v>217</v>
      </c>
      <c r="C75" s="5" t="s">
        <v>125</v>
      </c>
      <c r="D75" s="5" t="s">
        <v>246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251</v>
      </c>
      <c r="B76" s="5" t="s">
        <v>221</v>
      </c>
      <c r="C76" s="5" t="s">
        <v>128</v>
      </c>
      <c r="D76" s="5" t="s">
        <v>246</v>
      </c>
      <c r="E76" s="13" t="n">
        <v>0.05</v>
      </c>
      <c r="F76" s="13" t="n">
        <v>0.05</v>
      </c>
      <c r="G76" s="13" t="n">
        <v>0.0333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252</v>
      </c>
      <c r="B77" s="5" t="s">
        <v>242</v>
      </c>
      <c r="C77" s="5" t="s">
        <v>122</v>
      </c>
      <c r="D77" s="5" t="s">
        <v>246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253</v>
      </c>
      <c r="B78" s="5" t="s">
        <v>254</v>
      </c>
      <c r="C78" s="5" t="s">
        <v>122</v>
      </c>
      <c r="D78" s="5" t="s">
        <v>197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255</v>
      </c>
      <c r="B79" s="5" t="s">
        <v>256</v>
      </c>
      <c r="C79" s="5" t="s">
        <v>125</v>
      </c>
      <c r="D79" s="5" t="s">
        <v>197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257</v>
      </c>
      <c r="B80" s="5" t="s">
        <v>256</v>
      </c>
      <c r="C80" s="5" t="s">
        <v>125</v>
      </c>
      <c r="D80" s="5" t="s">
        <v>197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258</v>
      </c>
      <c r="B81" s="5" t="s">
        <v>259</v>
      </c>
      <c r="C81" s="5" t="s">
        <v>125</v>
      </c>
      <c r="D81" s="5" t="s">
        <v>197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260</v>
      </c>
      <c r="B82" s="5" t="s">
        <v>256</v>
      </c>
      <c r="C82" s="5" t="s">
        <v>125</v>
      </c>
      <c r="D82" s="5" t="s">
        <v>197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261</v>
      </c>
      <c r="B83" s="5" t="s">
        <v>256</v>
      </c>
      <c r="C83" s="5" t="s">
        <v>125</v>
      </c>
      <c r="D83" s="5" t="s">
        <v>197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262</v>
      </c>
      <c r="B84" s="5" t="s">
        <v>259</v>
      </c>
      <c r="C84" s="5" t="s">
        <v>125</v>
      </c>
      <c r="D84" s="5" t="s">
        <v>197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263</v>
      </c>
      <c r="B85" s="5" t="s">
        <v>264</v>
      </c>
      <c r="C85" s="5" t="s">
        <v>118</v>
      </c>
      <c r="D85" s="5" t="s">
        <v>265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266</v>
      </c>
      <c r="B86" s="5" t="s">
        <v>267</v>
      </c>
      <c r="C86" s="5" t="s">
        <v>125</v>
      </c>
      <c r="D86" s="5" t="s">
        <v>268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269</v>
      </c>
      <c r="B87" s="5" t="s">
        <v>270</v>
      </c>
      <c r="C87" s="5" t="s">
        <v>122</v>
      </c>
      <c r="D87" s="5" t="s">
        <v>268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271</v>
      </c>
      <c r="B88" s="5" t="s">
        <v>272</v>
      </c>
      <c r="C88" s="5" t="s">
        <v>118</v>
      </c>
      <c r="D88" s="5" t="s">
        <v>268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273</v>
      </c>
      <c r="B89" s="5" t="s">
        <v>274</v>
      </c>
      <c r="C89" s="5" t="s">
        <v>126</v>
      </c>
      <c r="D89" s="5" t="s">
        <v>268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275</v>
      </c>
      <c r="B90" s="5" t="s">
        <v>276</v>
      </c>
      <c r="C90" s="5" t="s">
        <v>122</v>
      </c>
      <c r="D90" s="5" t="s">
        <v>268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277</v>
      </c>
      <c r="B91" s="5" t="s">
        <v>278</v>
      </c>
      <c r="C91" s="5" t="s">
        <v>118</v>
      </c>
      <c r="D91" s="5" t="s">
        <v>279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280</v>
      </c>
      <c r="B92" s="5" t="s">
        <v>281</v>
      </c>
      <c r="C92" s="5" t="s">
        <v>118</v>
      </c>
      <c r="D92" s="5" t="s">
        <v>279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282</v>
      </c>
      <c r="B93" s="5" t="s">
        <v>283</v>
      </c>
      <c r="C93" s="5" t="s">
        <v>125</v>
      </c>
      <c r="D93" s="5" t="s">
        <v>284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285</v>
      </c>
      <c r="B94" s="5" t="s">
        <v>286</v>
      </c>
      <c r="C94" s="5" t="s">
        <v>127</v>
      </c>
      <c r="D94" s="5" t="s">
        <v>284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287</v>
      </c>
      <c r="B95" s="5" t="s">
        <v>288</v>
      </c>
      <c r="C95" s="5" t="s">
        <v>118</v>
      </c>
      <c r="D95" s="5" t="s">
        <v>284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289</v>
      </c>
      <c r="B96" s="5" t="s">
        <v>288</v>
      </c>
      <c r="C96" s="5" t="s">
        <v>118</v>
      </c>
      <c r="D96" s="5" t="s">
        <v>284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290</v>
      </c>
      <c r="B97" s="5" t="s">
        <v>288</v>
      </c>
      <c r="C97" s="5" t="s">
        <v>118</v>
      </c>
      <c r="D97" s="5" t="s">
        <v>284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291</v>
      </c>
      <c r="B98" s="5" t="s">
        <v>288</v>
      </c>
      <c r="C98" s="5" t="s">
        <v>118</v>
      </c>
      <c r="D98" s="5" t="s">
        <v>284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292</v>
      </c>
      <c r="B99" s="5" t="s">
        <v>283</v>
      </c>
      <c r="C99" s="5" t="s">
        <v>125</v>
      </c>
      <c r="D99" s="5" t="s">
        <v>293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294</v>
      </c>
      <c r="B100" s="5" t="s">
        <v>286</v>
      </c>
      <c r="C100" s="5" t="s">
        <v>127</v>
      </c>
      <c r="D100" s="5" t="s">
        <v>293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295</v>
      </c>
      <c r="B101" s="5" t="s">
        <v>288</v>
      </c>
      <c r="C101" s="5" t="s">
        <v>118</v>
      </c>
      <c r="D101" s="5" t="s">
        <v>293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296</v>
      </c>
      <c r="B102" s="5" t="s">
        <v>288</v>
      </c>
      <c r="C102" s="5" t="s">
        <v>118</v>
      </c>
      <c r="D102" s="5" t="s">
        <v>293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297</v>
      </c>
      <c r="B103" s="5" t="s">
        <v>288</v>
      </c>
      <c r="C103" s="5" t="s">
        <v>118</v>
      </c>
      <c r="D103" s="5" t="s">
        <v>293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298</v>
      </c>
      <c r="B104" s="5" t="s">
        <v>288</v>
      </c>
      <c r="C104" s="5" t="s">
        <v>118</v>
      </c>
      <c r="D104" s="5" t="s">
        <v>293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299</v>
      </c>
      <c r="B105" s="5" t="s">
        <v>278</v>
      </c>
      <c r="C105" s="5" t="s">
        <v>118</v>
      </c>
      <c r="D105" s="5" t="s">
        <v>300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301</v>
      </c>
      <c r="B106" s="5" t="s">
        <v>281</v>
      </c>
      <c r="C106" s="5" t="s">
        <v>118</v>
      </c>
      <c r="D106" s="5" t="s">
        <v>300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302</v>
      </c>
      <c r="B107" s="5" t="s">
        <v>283</v>
      </c>
      <c r="C107" s="5" t="s">
        <v>125</v>
      </c>
      <c r="D107" s="5" t="s">
        <v>303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304</v>
      </c>
      <c r="B108" s="5" t="s">
        <v>286</v>
      </c>
      <c r="C108" s="5" t="s">
        <v>127</v>
      </c>
      <c r="D108" s="5" t="s">
        <v>303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305</v>
      </c>
      <c r="B109" s="5" t="s">
        <v>288</v>
      </c>
      <c r="C109" s="5" t="s">
        <v>118</v>
      </c>
      <c r="D109" s="5" t="s">
        <v>303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306</v>
      </c>
      <c r="B110" s="5" t="s">
        <v>288</v>
      </c>
      <c r="C110" s="5" t="s">
        <v>118</v>
      </c>
      <c r="D110" s="5" t="s">
        <v>303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307</v>
      </c>
      <c r="B111" s="5" t="s">
        <v>288</v>
      </c>
      <c r="C111" s="5" t="s">
        <v>118</v>
      </c>
      <c r="D111" s="5" t="s">
        <v>303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308</v>
      </c>
      <c r="B112" s="5" t="s">
        <v>288</v>
      </c>
      <c r="C112" s="5" t="s">
        <v>118</v>
      </c>
      <c r="D112" s="5" t="s">
        <v>303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309</v>
      </c>
      <c r="B113" s="5" t="s">
        <v>283</v>
      </c>
      <c r="C113" s="5" t="s">
        <v>125</v>
      </c>
      <c r="D113" s="5" t="s">
        <v>310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311</v>
      </c>
      <c r="B114" s="5" t="s">
        <v>286</v>
      </c>
      <c r="C114" s="5" t="s">
        <v>127</v>
      </c>
      <c r="D114" s="5" t="s">
        <v>310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312</v>
      </c>
      <c r="B115" s="5" t="s">
        <v>288</v>
      </c>
      <c r="C115" s="5" t="s">
        <v>118</v>
      </c>
      <c r="D115" s="5" t="s">
        <v>310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313</v>
      </c>
      <c r="B116" s="5" t="s">
        <v>288</v>
      </c>
      <c r="C116" s="5" t="s">
        <v>118</v>
      </c>
      <c r="D116" s="5" t="s">
        <v>310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314</v>
      </c>
      <c r="B117" s="5" t="s">
        <v>288</v>
      </c>
      <c r="C117" s="5" t="s">
        <v>118</v>
      </c>
      <c r="D117" s="5" t="s">
        <v>310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315</v>
      </c>
      <c r="B118" s="5" t="s">
        <v>288</v>
      </c>
      <c r="C118" s="5" t="s">
        <v>118</v>
      </c>
      <c r="D118" s="5" t="s">
        <v>310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316</v>
      </c>
      <c r="B119" s="5" t="s">
        <v>317</v>
      </c>
      <c r="C119" s="5" t="s">
        <v>125</v>
      </c>
      <c r="D119" s="5" t="s">
        <v>197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318</v>
      </c>
      <c r="B120" s="5" t="s">
        <v>317</v>
      </c>
      <c r="C120" s="5" t="s">
        <v>125</v>
      </c>
      <c r="D120" s="5" t="s">
        <v>197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319</v>
      </c>
      <c r="B121" s="5" t="s">
        <v>320</v>
      </c>
      <c r="C121" s="5" t="s">
        <v>118</v>
      </c>
      <c r="D121" s="5" t="s">
        <v>197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321</v>
      </c>
      <c r="B122" s="5" t="s">
        <v>320</v>
      </c>
      <c r="C122" s="5" t="s">
        <v>118</v>
      </c>
      <c r="D122" s="5" t="s">
        <v>197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322</v>
      </c>
      <c r="B123" s="5" t="s">
        <v>323</v>
      </c>
      <c r="C123" s="5" t="s">
        <v>122</v>
      </c>
      <c r="D123" s="5" t="s">
        <v>197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324</v>
      </c>
    </row>
    <row r="127" customFormat="false" ht="27.75" hidden="false" customHeight="true" outlineLevel="0" collapsed="false">
      <c r="A127" s="3" t="s">
        <v>178</v>
      </c>
      <c r="B127" s="3" t="s">
        <v>179</v>
      </c>
      <c r="C127" s="3" t="s">
        <v>3</v>
      </c>
      <c r="D127" s="3" t="s">
        <v>180</v>
      </c>
      <c r="E127" s="3" t="s">
        <v>181</v>
      </c>
      <c r="F127" s="3" t="s">
        <v>182</v>
      </c>
      <c r="G127" s="3" t="s">
        <v>183</v>
      </c>
      <c r="H127" s="3" t="s">
        <v>184</v>
      </c>
      <c r="I127" s="3" t="s">
        <v>185</v>
      </c>
      <c r="J127" s="3" t="s">
        <v>186</v>
      </c>
      <c r="K127" s="3" t="s">
        <v>187</v>
      </c>
      <c r="L127" s="3" t="s">
        <v>188</v>
      </c>
      <c r="M127" s="3" t="s">
        <v>189</v>
      </c>
      <c r="N127" s="3" t="s">
        <v>190</v>
      </c>
      <c r="O127" s="3" t="s">
        <v>191</v>
      </c>
      <c r="P127" s="3" t="s">
        <v>192</v>
      </c>
      <c r="Q127" s="3" t="s">
        <v>193</v>
      </c>
      <c r="R127" s="3" t="s">
        <v>194</v>
      </c>
    </row>
    <row r="128" customFormat="false" ht="15" hidden="false" customHeight="false" outlineLevel="0" collapsed="false">
      <c r="A128" s="5" t="s">
        <v>325</v>
      </c>
      <c r="B128" s="5" t="s">
        <v>326</v>
      </c>
      <c r="C128" s="5" t="s">
        <v>122</v>
      </c>
      <c r="D128" s="5" t="s">
        <v>327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328</v>
      </c>
      <c r="B129" s="5" t="s">
        <v>329</v>
      </c>
      <c r="C129" s="5" t="s">
        <v>125</v>
      </c>
      <c r="D129" s="5" t="s">
        <v>327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330</v>
      </c>
      <c r="B130" s="5" t="s">
        <v>331</v>
      </c>
      <c r="C130" s="5" t="s">
        <v>122</v>
      </c>
      <c r="D130" s="5" t="s">
        <v>332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333</v>
      </c>
      <c r="B131" s="5" t="s">
        <v>334</v>
      </c>
      <c r="C131" s="5" t="s">
        <v>125</v>
      </c>
      <c r="D131" s="5" t="s">
        <v>332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335</v>
      </c>
      <c r="B132" s="5" t="s">
        <v>336</v>
      </c>
      <c r="C132" s="5" t="s">
        <v>122</v>
      </c>
      <c r="D132" s="5" t="s">
        <v>337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338</v>
      </c>
      <c r="B133" s="5" t="s">
        <v>339</v>
      </c>
      <c r="C133" s="5" t="s">
        <v>125</v>
      </c>
      <c r="D133" s="5" t="s">
        <v>337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340</v>
      </c>
      <c r="B134" s="5" t="s">
        <v>341</v>
      </c>
      <c r="C134" s="5" t="s">
        <v>122</v>
      </c>
      <c r="D134" s="5" t="s">
        <v>342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343</v>
      </c>
      <c r="B135" s="5" t="s">
        <v>344</v>
      </c>
      <c r="C135" s="5" t="s">
        <v>122</v>
      </c>
      <c r="D135" s="5" t="s">
        <v>342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345</v>
      </c>
      <c r="B136" s="5" t="s">
        <v>346</v>
      </c>
      <c r="C136" s="5" t="s">
        <v>122</v>
      </c>
      <c r="D136" s="5" t="s">
        <v>337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347</v>
      </c>
      <c r="B137" s="5" t="s">
        <v>348</v>
      </c>
      <c r="C137" s="5" t="s">
        <v>122</v>
      </c>
      <c r="D137" s="5" t="s">
        <v>337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349</v>
      </c>
      <c r="B138" s="5" t="s">
        <v>350</v>
      </c>
      <c r="C138" s="5" t="s">
        <v>122</v>
      </c>
      <c r="D138" s="5" t="s">
        <v>332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351</v>
      </c>
      <c r="B139" s="5" t="s">
        <v>331</v>
      </c>
      <c r="C139" s="5" t="s">
        <v>122</v>
      </c>
      <c r="D139" s="5" t="s">
        <v>352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353</v>
      </c>
      <c r="B140" s="5" t="s">
        <v>334</v>
      </c>
      <c r="C140" s="5" t="s">
        <v>125</v>
      </c>
      <c r="D140" s="5" t="s">
        <v>352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354</v>
      </c>
      <c r="B141" s="5" t="s">
        <v>336</v>
      </c>
      <c r="C141" s="5" t="s">
        <v>122</v>
      </c>
      <c r="D141" s="5" t="s">
        <v>355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356</v>
      </c>
      <c r="B142" s="5" t="s">
        <v>339</v>
      </c>
      <c r="C142" s="5" t="s">
        <v>125</v>
      </c>
      <c r="D142" s="5" t="s">
        <v>355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357</v>
      </c>
      <c r="B143" s="5" t="s">
        <v>341</v>
      </c>
      <c r="C143" s="5" t="s">
        <v>122</v>
      </c>
      <c r="D143" s="5" t="s">
        <v>358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359</v>
      </c>
      <c r="B144" s="5" t="s">
        <v>344</v>
      </c>
      <c r="C144" s="5" t="s">
        <v>122</v>
      </c>
      <c r="D144" s="5" t="s">
        <v>358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360</v>
      </c>
      <c r="B145" s="5" t="s">
        <v>346</v>
      </c>
      <c r="C145" s="5" t="s">
        <v>122</v>
      </c>
      <c r="D145" s="5" t="s">
        <v>355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361</v>
      </c>
      <c r="B146" s="5" t="s">
        <v>348</v>
      </c>
      <c r="C146" s="5" t="s">
        <v>122</v>
      </c>
      <c r="D146" s="5" t="s">
        <v>355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362</v>
      </c>
      <c r="B147" s="5" t="s">
        <v>350</v>
      </c>
      <c r="C147" s="5" t="s">
        <v>122</v>
      </c>
      <c r="D147" s="5" t="s">
        <v>352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363</v>
      </c>
      <c r="B148" s="5" t="s">
        <v>364</v>
      </c>
      <c r="C148" s="5" t="s">
        <v>122</v>
      </c>
      <c r="D148" s="5" t="s">
        <v>365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366</v>
      </c>
      <c r="B149" s="5" t="s">
        <v>367</v>
      </c>
      <c r="C149" s="5" t="s">
        <v>120</v>
      </c>
      <c r="D149" s="5" t="s">
        <v>368</v>
      </c>
      <c r="E149" s="13" t="n">
        <v>0.3988</v>
      </c>
      <c r="F149" s="13" t="n">
        <v>0.33</v>
      </c>
      <c r="G149" s="13" t="n">
        <v>0.23</v>
      </c>
      <c r="H149" s="13" t="n">
        <v>0</v>
      </c>
      <c r="I149" s="13" t="n">
        <v>0</v>
      </c>
      <c r="J149" s="13" t="n">
        <v>180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369</v>
      </c>
      <c r="B150" s="5" t="s">
        <v>370</v>
      </c>
      <c r="C150" s="5" t="s">
        <v>118</v>
      </c>
      <c r="D150" s="5" t="s">
        <v>368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371</v>
      </c>
      <c r="B151" s="5" t="s">
        <v>372</v>
      </c>
      <c r="C151" s="5" t="s">
        <v>125</v>
      </c>
      <c r="D151" s="5" t="s">
        <v>368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373</v>
      </c>
      <c r="B152" s="5" t="s">
        <v>374</v>
      </c>
      <c r="C152" s="5" t="s">
        <v>118</v>
      </c>
      <c r="D152" s="5" t="s">
        <v>375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376</v>
      </c>
      <c r="B153" s="5" t="s">
        <v>377</v>
      </c>
      <c r="C153" s="5" t="s">
        <v>125</v>
      </c>
      <c r="D153" s="5" t="s">
        <v>375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378</v>
      </c>
      <c r="B154" s="5" t="s">
        <v>379</v>
      </c>
      <c r="C154" s="5" t="s">
        <v>118</v>
      </c>
      <c r="D154" s="5" t="s">
        <v>375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380</v>
      </c>
      <c r="B155" s="5" t="s">
        <v>381</v>
      </c>
      <c r="C155" s="5" t="s">
        <v>118</v>
      </c>
      <c r="D155" s="5" t="s">
        <v>375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382</v>
      </c>
      <c r="B156" s="5" t="s">
        <v>383</v>
      </c>
      <c r="C156" s="5" t="s">
        <v>118</v>
      </c>
      <c r="D156" s="5" t="s">
        <v>375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384</v>
      </c>
      <c r="B157" s="5" t="s">
        <v>385</v>
      </c>
      <c r="C157" s="5" t="s">
        <v>125</v>
      </c>
      <c r="D157" s="5" t="s">
        <v>375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386</v>
      </c>
      <c r="B158" s="5" t="s">
        <v>374</v>
      </c>
      <c r="C158" s="5" t="s">
        <v>118</v>
      </c>
      <c r="D158" s="5" t="s">
        <v>387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388</v>
      </c>
      <c r="B159" s="5" t="s">
        <v>377</v>
      </c>
      <c r="C159" s="5" t="s">
        <v>125</v>
      </c>
      <c r="D159" s="5" t="s">
        <v>387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389</v>
      </c>
      <c r="B160" s="5" t="s">
        <v>379</v>
      </c>
      <c r="C160" s="5" t="s">
        <v>118</v>
      </c>
      <c r="D160" s="5" t="s">
        <v>387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390</v>
      </c>
      <c r="B161" s="5" t="s">
        <v>381</v>
      </c>
      <c r="C161" s="5" t="s">
        <v>118</v>
      </c>
      <c r="D161" s="5" t="s">
        <v>387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391</v>
      </c>
      <c r="B162" s="5" t="s">
        <v>383</v>
      </c>
      <c r="C162" s="5" t="s">
        <v>118</v>
      </c>
      <c r="D162" s="5" t="s">
        <v>387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392</v>
      </c>
      <c r="B163" s="5" t="s">
        <v>385</v>
      </c>
      <c r="C163" s="5" t="s">
        <v>125</v>
      </c>
      <c r="D163" s="5" t="s">
        <v>387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393</v>
      </c>
      <c r="B164" s="5" t="s">
        <v>394</v>
      </c>
      <c r="C164" s="5" t="s">
        <v>118</v>
      </c>
      <c r="D164" s="5" t="s">
        <v>368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395</v>
      </c>
      <c r="B165" s="5" t="s">
        <v>396</v>
      </c>
      <c r="C165" s="5" t="s">
        <v>125</v>
      </c>
      <c r="D165" s="5" t="s">
        <v>397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398</v>
      </c>
      <c r="B166" s="5" t="s">
        <v>399</v>
      </c>
      <c r="C166" s="5" t="s">
        <v>122</v>
      </c>
      <c r="D166" s="5" t="s">
        <v>400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401</v>
      </c>
      <c r="B167" s="5" t="s">
        <v>402</v>
      </c>
      <c r="C167" s="5" t="s">
        <v>123</v>
      </c>
      <c r="D167" s="5" t="s">
        <v>400</v>
      </c>
      <c r="E167" s="13" t="n">
        <v>0.245</v>
      </c>
      <c r="F167" s="13" t="n">
        <v>0.125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0.1822</v>
      </c>
      <c r="M167" s="13" t="n">
        <v>-0.0165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403</v>
      </c>
      <c r="B168" s="5" t="s">
        <v>404</v>
      </c>
      <c r="C168" s="5" t="s">
        <v>125</v>
      </c>
      <c r="D168" s="5" t="s">
        <v>400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405</v>
      </c>
      <c r="B169" s="5" t="s">
        <v>406</v>
      </c>
      <c r="C169" s="5" t="s">
        <v>122</v>
      </c>
      <c r="D169" s="5" t="s">
        <v>400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407</v>
      </c>
      <c r="B170" s="5" t="s">
        <v>408</v>
      </c>
      <c r="C170" s="5" t="s">
        <v>122</v>
      </c>
      <c r="D170" s="5" t="s">
        <v>400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409</v>
      </c>
      <c r="B171" s="5" t="s">
        <v>410</v>
      </c>
      <c r="C171" s="5" t="s">
        <v>122</v>
      </c>
      <c r="D171" s="5" t="s">
        <v>400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411</v>
      </c>
      <c r="B172" s="5" t="s">
        <v>412</v>
      </c>
      <c r="C172" s="5" t="s">
        <v>122</v>
      </c>
      <c r="D172" s="5" t="s">
        <v>400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413</v>
      </c>
      <c r="B173" s="5" t="s">
        <v>414</v>
      </c>
      <c r="C173" s="5" t="s">
        <v>125</v>
      </c>
      <c r="D173" s="5" t="s">
        <v>400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415</v>
      </c>
      <c r="B174" s="5" t="s">
        <v>410</v>
      </c>
      <c r="C174" s="5" t="s">
        <v>122</v>
      </c>
      <c r="D174" s="5" t="s">
        <v>400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416</v>
      </c>
      <c r="B175" s="5" t="s">
        <v>412</v>
      </c>
      <c r="C175" s="5" t="s">
        <v>122</v>
      </c>
      <c r="D175" s="5" t="s">
        <v>400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417</v>
      </c>
      <c r="B176" s="5" t="s">
        <v>414</v>
      </c>
      <c r="C176" s="5" t="s">
        <v>125</v>
      </c>
      <c r="D176" s="5" t="s">
        <v>400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418</v>
      </c>
      <c r="B177" s="5" t="s">
        <v>419</v>
      </c>
      <c r="C177" s="5" t="s">
        <v>118</v>
      </c>
      <c r="D177" s="5" t="s">
        <v>400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420</v>
      </c>
      <c r="B178" s="5" t="s">
        <v>421</v>
      </c>
      <c r="C178" s="5" t="s">
        <v>118</v>
      </c>
      <c r="D178" s="5" t="s">
        <v>400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422</v>
      </c>
      <c r="B179" s="5" t="s">
        <v>423</v>
      </c>
      <c r="C179" s="5" t="s">
        <v>122</v>
      </c>
      <c r="D179" s="5" t="s">
        <v>397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424</v>
      </c>
      <c r="B180" s="5" t="s">
        <v>423</v>
      </c>
      <c r="C180" s="5" t="s">
        <v>122</v>
      </c>
      <c r="D180" s="5" t="s">
        <v>397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425</v>
      </c>
      <c r="B181" s="5" t="s">
        <v>426</v>
      </c>
      <c r="C181" s="5" t="s">
        <v>122</v>
      </c>
      <c r="D181" s="5" t="s">
        <v>427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428</v>
      </c>
      <c r="B182" s="5" t="s">
        <v>429</v>
      </c>
      <c r="C182" s="5" t="s">
        <v>125</v>
      </c>
      <c r="D182" s="5" t="s">
        <v>427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430</v>
      </c>
      <c r="B183" s="5" t="s">
        <v>431</v>
      </c>
      <c r="C183" s="5" t="s">
        <v>122</v>
      </c>
      <c r="D183" s="5" t="s">
        <v>432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433</v>
      </c>
      <c r="B184" s="5" t="s">
        <v>434</v>
      </c>
      <c r="C184" s="5" t="s">
        <v>125</v>
      </c>
      <c r="D184" s="5" t="s">
        <v>432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435</v>
      </c>
      <c r="B185" s="5" t="s">
        <v>436</v>
      </c>
      <c r="C185" s="5" t="s">
        <v>122</v>
      </c>
      <c r="D185" s="5" t="s">
        <v>437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438</v>
      </c>
      <c r="B186" s="5" t="s">
        <v>439</v>
      </c>
      <c r="C186" s="5" t="s">
        <v>122</v>
      </c>
      <c r="D186" s="5" t="s">
        <v>432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440</v>
      </c>
      <c r="B187" s="5" t="s">
        <v>441</v>
      </c>
      <c r="C187" s="5" t="s">
        <v>122</v>
      </c>
      <c r="D187" s="5" t="s">
        <v>432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442</v>
      </c>
      <c r="B188" s="5" t="s">
        <v>443</v>
      </c>
      <c r="C188" s="5" t="s">
        <v>122</v>
      </c>
      <c r="D188" s="5" t="s">
        <v>427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444</v>
      </c>
      <c r="B189" s="5" t="s">
        <v>426</v>
      </c>
      <c r="C189" s="5" t="s">
        <v>122</v>
      </c>
      <c r="D189" s="5" t="s">
        <v>445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446</v>
      </c>
      <c r="B190" s="5" t="s">
        <v>429</v>
      </c>
      <c r="C190" s="5" t="s">
        <v>125</v>
      </c>
      <c r="D190" s="5" t="s">
        <v>445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447</v>
      </c>
      <c r="B191" s="5" t="s">
        <v>431</v>
      </c>
      <c r="C191" s="5" t="s">
        <v>122</v>
      </c>
      <c r="D191" s="5" t="s">
        <v>448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449</v>
      </c>
      <c r="B192" s="5" t="s">
        <v>434</v>
      </c>
      <c r="C192" s="5" t="s">
        <v>125</v>
      </c>
      <c r="D192" s="5" t="s">
        <v>448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450</v>
      </c>
      <c r="B193" s="5" t="s">
        <v>436</v>
      </c>
      <c r="C193" s="5" t="s">
        <v>122</v>
      </c>
      <c r="D193" s="5" t="s">
        <v>451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452</v>
      </c>
      <c r="B194" s="5" t="s">
        <v>453</v>
      </c>
      <c r="C194" s="5" t="s">
        <v>125</v>
      </c>
      <c r="D194" s="5" t="s">
        <v>451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454</v>
      </c>
      <c r="B195" s="5" t="s">
        <v>439</v>
      </c>
      <c r="C195" s="5" t="s">
        <v>122</v>
      </c>
      <c r="D195" s="5" t="s">
        <v>448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455</v>
      </c>
      <c r="B196" s="5" t="s">
        <v>441</v>
      </c>
      <c r="C196" s="5" t="s">
        <v>122</v>
      </c>
      <c r="D196" s="5" t="s">
        <v>448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456</v>
      </c>
      <c r="B197" s="5" t="s">
        <v>443</v>
      </c>
      <c r="C197" s="5" t="s">
        <v>122</v>
      </c>
      <c r="D197" s="5" t="s">
        <v>445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457</v>
      </c>
      <c r="B198" s="5" t="s">
        <v>458</v>
      </c>
      <c r="C198" s="5" t="s">
        <v>118</v>
      </c>
      <c r="D198" s="5" t="s">
        <v>368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459</v>
      </c>
      <c r="B199" s="5" t="s">
        <v>460</v>
      </c>
      <c r="C199" s="5" t="s">
        <v>118</v>
      </c>
      <c r="D199" s="5" t="s">
        <v>368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461</v>
      </c>
      <c r="B200" s="5" t="s">
        <v>462</v>
      </c>
      <c r="C200" s="5" t="s">
        <v>118</v>
      </c>
      <c r="D200" s="5" t="s">
        <v>368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463</v>
      </c>
      <c r="B201" s="5" t="s">
        <v>464</v>
      </c>
      <c r="C201" s="5" t="s">
        <v>118</v>
      </c>
      <c r="D201" s="5" t="s">
        <v>368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465</v>
      </c>
      <c r="B202" s="5" t="s">
        <v>466</v>
      </c>
      <c r="C202" s="5" t="s">
        <v>125</v>
      </c>
      <c r="D202" s="5" t="s">
        <v>368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4" min="7" style="0" width="7.5"/>
  </cols>
  <sheetData>
    <row r="1" customFormat="false" ht="16.15" hidden="false" customHeight="false" outlineLevel="0" collapsed="false">
      <c r="A1" s="1" t="s">
        <v>467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468</v>
      </c>
    </row>
    <row r="5" customFormat="false" ht="15" hidden="false" customHeight="false" outlineLevel="0" collapsed="false">
      <c r="A5" s="10" t="s">
        <v>469</v>
      </c>
    </row>
    <row r="6" customFormat="false" ht="42" hidden="false" customHeight="true" outlineLevel="0" collapsed="false">
      <c r="A6" s="3" t="s">
        <v>470</v>
      </c>
      <c r="B6" s="3" t="s">
        <v>471</v>
      </c>
      <c r="C6" s="3" t="s">
        <v>472</v>
      </c>
      <c r="D6" s="3" t="s">
        <v>473</v>
      </c>
      <c r="E6" s="3" t="s">
        <v>474</v>
      </c>
      <c r="F6" s="3" t="s">
        <v>475</v>
      </c>
      <c r="G6" s="3" t="s">
        <v>118</v>
      </c>
      <c r="H6" s="3" t="s">
        <v>476</v>
      </c>
      <c r="I6" s="3" t="s">
        <v>119</v>
      </c>
      <c r="J6" s="3" t="s">
        <v>120</v>
      </c>
      <c r="K6" s="3" t="s">
        <v>121</v>
      </c>
      <c r="L6" s="3" t="s">
        <v>122</v>
      </c>
      <c r="M6" s="3" t="s">
        <v>123</v>
      </c>
      <c r="N6" s="3" t="s">
        <v>124</v>
      </c>
      <c r="O6" s="3" t="s">
        <v>125</v>
      </c>
      <c r="P6" s="3" t="s">
        <v>126</v>
      </c>
      <c r="Q6" s="3" t="s">
        <v>127</v>
      </c>
      <c r="R6" s="3" t="s">
        <v>128</v>
      </c>
      <c r="S6" s="3" t="s">
        <v>129</v>
      </c>
      <c r="T6" s="3" t="s">
        <v>130</v>
      </c>
      <c r="U6" s="3" t="s">
        <v>131</v>
      </c>
      <c r="V6" s="3" t="s">
        <v>477</v>
      </c>
      <c r="W6" s="3" t="s">
        <v>134</v>
      </c>
    </row>
    <row r="7" customFormat="false" ht="15" hidden="false" customHeight="false" outlineLevel="0" collapsed="false">
      <c r="A7" s="4" t="s">
        <v>478</v>
      </c>
      <c r="B7" s="14" t="s">
        <v>479</v>
      </c>
      <c r="C7" s="8" t="n">
        <v>8</v>
      </c>
      <c r="D7" s="9" t="n">
        <v>75</v>
      </c>
      <c r="E7" s="8" t="n">
        <v>600</v>
      </c>
      <c r="F7" s="7" t="n">
        <f aca="false">IF(ISNUMBER(D7),C7*D7,E7)</f>
        <v>600</v>
      </c>
      <c r="G7" s="7"/>
      <c r="H7" s="8" t="n">
        <v>128</v>
      </c>
      <c r="I7" s="7"/>
      <c r="J7" s="8" t="n">
        <v>8</v>
      </c>
      <c r="K7" s="7"/>
      <c r="L7" s="8" t="n">
        <v>296</v>
      </c>
      <c r="M7" s="8" t="n">
        <v>8</v>
      </c>
      <c r="N7" s="7"/>
      <c r="O7" s="8" t="n">
        <v>160</v>
      </c>
      <c r="P7" s="7"/>
      <c r="Q7" s="7"/>
      <c r="R7" s="7"/>
      <c r="S7" s="7"/>
      <c r="T7" s="7"/>
      <c r="U7" s="7"/>
      <c r="V7" s="7" t="n">
        <f aca="false">SUM(G7:U7)</f>
        <v>600</v>
      </c>
      <c r="W7" s="12" t="str">
        <f aca="false">IF(AND(V7=E7,F7=E7),"OK","DIFF")</f>
        <v>OK</v>
      </c>
    </row>
    <row r="8" customFormat="false" ht="15" hidden="false" customHeight="false" outlineLevel="0" collapsed="false">
      <c r="A8" s="4" t="s">
        <v>480</v>
      </c>
      <c r="B8" s="14" t="s">
        <v>481</v>
      </c>
      <c r="C8" s="8" t="n">
        <v>3</v>
      </c>
      <c r="D8" s="9" t="n">
        <v>255</v>
      </c>
      <c r="E8" s="8" t="n">
        <v>765</v>
      </c>
      <c r="F8" s="7" t="n">
        <f aca="false">IF(ISNUMBER(D8),C8*D8,E8)</f>
        <v>765</v>
      </c>
      <c r="G8" s="7"/>
      <c r="H8" s="8" t="n">
        <v>504</v>
      </c>
      <c r="I8" s="8" t="n">
        <v>3</v>
      </c>
      <c r="J8" s="8" t="n">
        <v>3</v>
      </c>
      <c r="K8" s="7"/>
      <c r="L8" s="8" t="n">
        <v>15</v>
      </c>
      <c r="M8" s="7"/>
      <c r="N8" s="7"/>
      <c r="O8" s="8" t="n">
        <v>183</v>
      </c>
      <c r="P8" s="7"/>
      <c r="Q8" s="7"/>
      <c r="R8" s="8" t="n">
        <v>57</v>
      </c>
      <c r="S8" s="7"/>
      <c r="T8" s="7"/>
      <c r="U8" s="7"/>
      <c r="V8" s="7" t="n">
        <f aca="false">SUM(G8:U8)</f>
        <v>765</v>
      </c>
      <c r="W8" s="12" t="str">
        <f aca="false">IF(AND(V8=E8,F8=E8),"OK","DIFF")</f>
        <v>OK</v>
      </c>
    </row>
    <row r="9" customFormat="false" ht="15" hidden="false" customHeight="false" outlineLevel="0" collapsed="false">
      <c r="A9" s="4" t="s">
        <v>156</v>
      </c>
      <c r="B9" s="14" t="s">
        <v>481</v>
      </c>
      <c r="C9" s="8" t="n">
        <v>1</v>
      </c>
      <c r="D9" s="9" t="n">
        <v>106</v>
      </c>
      <c r="E9" s="8" t="n">
        <v>106</v>
      </c>
      <c r="F9" s="7" t="n">
        <f aca="false">IF(ISNUMBER(D9),C9*D9,E9)</f>
        <v>106</v>
      </c>
      <c r="G9" s="8" t="n">
        <v>1</v>
      </c>
      <c r="H9" s="8" t="n">
        <v>32</v>
      </c>
      <c r="I9" s="7"/>
      <c r="J9" s="7"/>
      <c r="K9" s="7"/>
      <c r="L9" s="8" t="n">
        <v>3</v>
      </c>
      <c r="M9" s="7"/>
      <c r="N9" s="7"/>
      <c r="O9" s="8" t="n">
        <v>46</v>
      </c>
      <c r="P9" s="7"/>
      <c r="Q9" s="7"/>
      <c r="R9" s="8" t="n">
        <v>24</v>
      </c>
      <c r="S9" s="7"/>
      <c r="T9" s="7"/>
      <c r="U9" s="7"/>
      <c r="V9" s="7" t="n">
        <f aca="false">SUM(G9:U9)</f>
        <v>106</v>
      </c>
      <c r="W9" s="12" t="str">
        <f aca="false">IF(AND(V9=E9,F9=E9),"OK","DIFF")</f>
        <v>OK</v>
      </c>
    </row>
    <row r="10" customFormat="false" ht="15" hidden="false" customHeight="false" outlineLevel="0" collapsed="false">
      <c r="A10" s="4" t="s">
        <v>482</v>
      </c>
      <c r="B10" s="14" t="s">
        <v>481</v>
      </c>
      <c r="C10" s="8" t="n">
        <v>1</v>
      </c>
      <c r="D10" s="9" t="n">
        <v>91</v>
      </c>
      <c r="E10" s="8" t="n">
        <v>91</v>
      </c>
      <c r="F10" s="7" t="n">
        <f aca="false">IF(ISNUMBER(D10),C10*D10,E10)</f>
        <v>91</v>
      </c>
      <c r="G10" s="7"/>
      <c r="H10" s="8" t="n">
        <v>40</v>
      </c>
      <c r="I10" s="7"/>
      <c r="J10" s="7"/>
      <c r="K10" s="7"/>
      <c r="L10" s="8" t="n">
        <v>21</v>
      </c>
      <c r="M10" s="7"/>
      <c r="N10" s="7"/>
      <c r="O10" s="8" t="n">
        <v>28</v>
      </c>
      <c r="P10" s="8" t="n">
        <v>1</v>
      </c>
      <c r="Q10" s="8" t="n">
        <v>1</v>
      </c>
      <c r="R10" s="7"/>
      <c r="S10" s="7"/>
      <c r="T10" s="7"/>
      <c r="U10" s="7"/>
      <c r="V10" s="7" t="n">
        <f aca="false">SUM(G10:U10)</f>
        <v>91</v>
      </c>
      <c r="W10" s="12" t="str">
        <f aca="false">IF(AND(V10=E10,F10=E10),"OK","DIFF")</f>
        <v>OK</v>
      </c>
    </row>
    <row r="11" customFormat="false" ht="15" hidden="false" customHeight="false" outlineLevel="0" collapsed="false">
      <c r="A11" s="4" t="s">
        <v>145</v>
      </c>
      <c r="B11" s="14" t="s">
        <v>481</v>
      </c>
      <c r="C11" s="8" t="n">
        <v>2</v>
      </c>
      <c r="D11" s="9" t="n">
        <v>55</v>
      </c>
      <c r="E11" s="8" t="n">
        <v>110</v>
      </c>
      <c r="F11" s="7" t="n">
        <f aca="false">IF(ISNUMBER(D11),C11*D11,E11)</f>
        <v>110</v>
      </c>
      <c r="G11" s="7"/>
      <c r="H11" s="8" t="n">
        <v>36</v>
      </c>
      <c r="I11" s="7"/>
      <c r="J11" s="7"/>
      <c r="K11" s="7"/>
      <c r="L11" s="8" t="n">
        <v>26</v>
      </c>
      <c r="M11" s="7"/>
      <c r="N11" s="7"/>
      <c r="O11" s="8" t="n">
        <v>38</v>
      </c>
      <c r="P11" s="8" t="n">
        <v>2</v>
      </c>
      <c r="Q11" s="7"/>
      <c r="R11" s="8" t="n">
        <v>8</v>
      </c>
      <c r="S11" s="7"/>
      <c r="T11" s="7"/>
      <c r="U11" s="7"/>
      <c r="V11" s="7" t="n">
        <f aca="false">SUM(G11:U11)</f>
        <v>110</v>
      </c>
      <c r="W11" s="12" t="str">
        <f aca="false">IF(AND(V11=E11,F11=E11),"OK","DIFF")</f>
        <v>OK</v>
      </c>
    </row>
    <row r="12" customFormat="false" ht="15" hidden="false" customHeight="false" outlineLevel="0" collapsed="false">
      <c r="A12" s="4" t="s">
        <v>483</v>
      </c>
      <c r="B12" s="14" t="s">
        <v>481</v>
      </c>
      <c r="C12" s="8" t="n">
        <v>2</v>
      </c>
      <c r="D12" s="9" t="n">
        <v>31</v>
      </c>
      <c r="E12" s="8" t="n">
        <v>62</v>
      </c>
      <c r="F12" s="7" t="n">
        <f aca="false">IF(ISNUMBER(D12),C12*D12,E12)</f>
        <v>62</v>
      </c>
      <c r="G12" s="7"/>
      <c r="H12" s="8" t="n">
        <v>30</v>
      </c>
      <c r="I12" s="7"/>
      <c r="J12" s="7"/>
      <c r="K12" s="7"/>
      <c r="L12" s="8" t="n">
        <v>4</v>
      </c>
      <c r="M12" s="7"/>
      <c r="N12" s="7"/>
      <c r="O12" s="8" t="n">
        <v>28</v>
      </c>
      <c r="P12" s="7"/>
      <c r="Q12" s="7"/>
      <c r="R12" s="7"/>
      <c r="S12" s="7"/>
      <c r="T12" s="7"/>
      <c r="U12" s="7"/>
      <c r="V12" s="7" t="n">
        <f aca="false">SUM(G12:U12)</f>
        <v>62</v>
      </c>
      <c r="W12" s="12" t="str">
        <f aca="false">IF(AND(V12=E12,F12=E12),"OK","DIFF")</f>
        <v>OK</v>
      </c>
    </row>
    <row r="13" customFormat="false" ht="15" hidden="false" customHeight="false" outlineLevel="0" collapsed="false">
      <c r="A13" s="4" t="s">
        <v>484</v>
      </c>
      <c r="B13" s="14" t="s">
        <v>481</v>
      </c>
      <c r="C13" s="8" t="n">
        <v>6</v>
      </c>
      <c r="D13" s="9" t="n">
        <v>26</v>
      </c>
      <c r="E13" s="8" t="n">
        <v>156</v>
      </c>
      <c r="F13" s="7" t="n">
        <f aca="false">IF(ISNUMBER(D13),C13*D13,E13)</f>
        <v>156</v>
      </c>
      <c r="G13" s="7"/>
      <c r="H13" s="8" t="n">
        <v>36</v>
      </c>
      <c r="I13" s="7"/>
      <c r="J13" s="7"/>
      <c r="K13" s="7"/>
      <c r="L13" s="8" t="n">
        <v>72</v>
      </c>
      <c r="M13" s="7"/>
      <c r="N13" s="7"/>
      <c r="O13" s="8" t="n">
        <v>48</v>
      </c>
      <c r="P13" s="7"/>
      <c r="Q13" s="7"/>
      <c r="R13" s="7"/>
      <c r="S13" s="7"/>
      <c r="T13" s="7"/>
      <c r="U13" s="7"/>
      <c r="V13" s="7" t="n">
        <f aca="false">SUM(G13:U13)</f>
        <v>156</v>
      </c>
      <c r="W13" s="12" t="str">
        <f aca="false">IF(AND(V13=E13,F13=E13),"OK","DIFF")</f>
        <v>OK</v>
      </c>
    </row>
    <row r="14" customFormat="false" ht="15" hidden="false" customHeight="false" outlineLevel="0" collapsed="false">
      <c r="A14" s="4" t="s">
        <v>154</v>
      </c>
      <c r="B14" s="14" t="s">
        <v>485</v>
      </c>
      <c r="C14" s="8" t="n">
        <v>1</v>
      </c>
      <c r="D14" s="9" t="n">
        <v>107</v>
      </c>
      <c r="E14" s="8" t="n">
        <v>107</v>
      </c>
      <c r="F14" s="7" t="n">
        <f aca="false">IF(ISNUMBER(D14),C14*D14,E14)</f>
        <v>107</v>
      </c>
      <c r="G14" s="8" t="n">
        <v>1</v>
      </c>
      <c r="H14" s="8" t="n">
        <v>71</v>
      </c>
      <c r="I14" s="7"/>
      <c r="J14" s="7"/>
      <c r="K14" s="7"/>
      <c r="L14" s="8" t="n">
        <v>4</v>
      </c>
      <c r="M14" s="7"/>
      <c r="N14" s="7"/>
      <c r="O14" s="8" t="n">
        <v>23</v>
      </c>
      <c r="P14" s="7"/>
      <c r="Q14" s="7"/>
      <c r="R14" s="8" t="n">
        <v>8</v>
      </c>
      <c r="S14" s="7"/>
      <c r="T14" s="7"/>
      <c r="U14" s="7"/>
      <c r="V14" s="7" t="n">
        <f aca="false">SUM(G14:U14)</f>
        <v>107</v>
      </c>
      <c r="W14" s="12" t="str">
        <f aca="false">IF(AND(V14=E14,F14=E14),"OK","DIFF")</f>
        <v>OK</v>
      </c>
    </row>
    <row r="15" customFormat="false" ht="15" hidden="false" customHeight="false" outlineLevel="0" collapsed="false">
      <c r="A15" s="4" t="s">
        <v>486</v>
      </c>
      <c r="B15" s="14" t="s">
        <v>485</v>
      </c>
      <c r="C15" s="8" t="n">
        <v>1</v>
      </c>
      <c r="D15" s="9" t="n">
        <v>58</v>
      </c>
      <c r="E15" s="8" t="n">
        <v>58</v>
      </c>
      <c r="F15" s="7" t="n">
        <f aca="false">IF(ISNUMBER(D15),C15*D15,E15)</f>
        <v>58</v>
      </c>
      <c r="G15" s="7"/>
      <c r="H15" s="8" t="n">
        <v>19</v>
      </c>
      <c r="I15" s="7"/>
      <c r="J15" s="7"/>
      <c r="K15" s="7"/>
      <c r="L15" s="8" t="n">
        <v>4</v>
      </c>
      <c r="M15" s="8" t="n">
        <v>1</v>
      </c>
      <c r="N15" s="7"/>
      <c r="O15" s="8" t="n">
        <v>34</v>
      </c>
      <c r="P15" s="7"/>
      <c r="Q15" s="7"/>
      <c r="R15" s="7"/>
      <c r="S15" s="7"/>
      <c r="T15" s="7"/>
      <c r="U15" s="7"/>
      <c r="V15" s="7" t="n">
        <f aca="false">SUM(G15:U15)</f>
        <v>58</v>
      </c>
      <c r="W15" s="12" t="str">
        <f aca="false">IF(AND(V15=E15,F15=E15),"OK","DIFF")</f>
        <v>OK</v>
      </c>
    </row>
    <row r="16" customFormat="false" ht="15" hidden="false" customHeight="false" outlineLevel="0" collapsed="false">
      <c r="A16" s="4" t="s">
        <v>487</v>
      </c>
      <c r="B16" s="14" t="s">
        <v>485</v>
      </c>
      <c r="C16" s="8" t="n">
        <v>1</v>
      </c>
      <c r="D16" s="9" t="n">
        <v>5</v>
      </c>
      <c r="E16" s="8" t="n">
        <v>5</v>
      </c>
      <c r="F16" s="7" t="n">
        <f aca="false">IF(ISNUMBER(D16),C16*D16,E16)</f>
        <v>5</v>
      </c>
      <c r="G16" s="7"/>
      <c r="H16" s="8" t="n">
        <v>2</v>
      </c>
      <c r="I16" s="7"/>
      <c r="J16" s="7"/>
      <c r="K16" s="7"/>
      <c r="L16" s="8" t="n">
        <v>1</v>
      </c>
      <c r="M16" s="7"/>
      <c r="N16" s="7"/>
      <c r="O16" s="8" t="n">
        <v>1</v>
      </c>
      <c r="P16" s="7"/>
      <c r="Q16" s="8" t="n">
        <v>1</v>
      </c>
      <c r="R16" s="7"/>
      <c r="S16" s="7"/>
      <c r="T16" s="7"/>
      <c r="U16" s="7"/>
      <c r="V16" s="7" t="n">
        <f aca="false">SUM(G16:U16)</f>
        <v>5</v>
      </c>
      <c r="W16" s="12" t="str">
        <f aca="false">IF(AND(V16=E16,F16=E16),"OK","DIFF")</f>
        <v>OK</v>
      </c>
    </row>
    <row r="17" customFormat="false" ht="15" hidden="false" customHeight="false" outlineLevel="0" collapsed="false">
      <c r="A17" s="4" t="s">
        <v>488</v>
      </c>
      <c r="B17" s="14" t="s">
        <v>485</v>
      </c>
      <c r="C17" s="8" t="n">
        <v>6</v>
      </c>
      <c r="D17" s="9" t="n">
        <v>5</v>
      </c>
      <c r="E17" s="8" t="n">
        <v>30</v>
      </c>
      <c r="F17" s="7" t="n">
        <f aca="false">IF(ISNUMBER(D17),C17*D17,E17)</f>
        <v>30</v>
      </c>
      <c r="G17" s="7"/>
      <c r="H17" s="8" t="n">
        <v>12</v>
      </c>
      <c r="I17" s="7"/>
      <c r="J17" s="7"/>
      <c r="K17" s="7"/>
      <c r="L17" s="8" t="n">
        <v>6</v>
      </c>
      <c r="M17" s="7"/>
      <c r="N17" s="7"/>
      <c r="O17" s="8" t="n">
        <v>6</v>
      </c>
      <c r="P17" s="7"/>
      <c r="Q17" s="8" t="n">
        <v>6</v>
      </c>
      <c r="R17" s="7"/>
      <c r="S17" s="7"/>
      <c r="T17" s="7"/>
      <c r="U17" s="7"/>
      <c r="V17" s="7" t="n">
        <f aca="false">SUM(G17:U17)</f>
        <v>30</v>
      </c>
      <c r="W17" s="12" t="str">
        <f aca="false">IF(AND(V17=E17,F17=E17),"OK","DIFF")</f>
        <v>OK</v>
      </c>
    </row>
    <row r="18" customFormat="false" ht="15" hidden="false" customHeight="false" outlineLevel="0" collapsed="false">
      <c r="A18" s="4" t="s">
        <v>489</v>
      </c>
      <c r="B18" s="14" t="s">
        <v>485</v>
      </c>
      <c r="C18" s="8" t="n">
        <v>8</v>
      </c>
      <c r="D18" s="9" t="n">
        <v>6</v>
      </c>
      <c r="E18" s="8" t="n">
        <v>48</v>
      </c>
      <c r="F18" s="7" t="n">
        <f aca="false">IF(ISNUMBER(D18),C18*D18,E18)</f>
        <v>48</v>
      </c>
      <c r="G18" s="7"/>
      <c r="H18" s="8" t="n">
        <v>32</v>
      </c>
      <c r="I18" s="7"/>
      <c r="J18" s="7"/>
      <c r="K18" s="7"/>
      <c r="L18" s="7"/>
      <c r="M18" s="7"/>
      <c r="N18" s="7"/>
      <c r="O18" s="8" t="n">
        <v>8</v>
      </c>
      <c r="P18" s="7"/>
      <c r="Q18" s="8" t="n">
        <v>8</v>
      </c>
      <c r="R18" s="7"/>
      <c r="S18" s="7"/>
      <c r="T18" s="7"/>
      <c r="U18" s="7"/>
      <c r="V18" s="7" t="n">
        <f aca="false">SUM(G18:U18)</f>
        <v>48</v>
      </c>
      <c r="W18" s="12" t="str">
        <f aca="false">IF(AND(V18=E18,F18=E18),"OK","DIFF")</f>
        <v>OK</v>
      </c>
    </row>
    <row r="19" customFormat="false" ht="15" hidden="false" customHeight="false" outlineLevel="0" collapsed="false">
      <c r="A19" s="4" t="s">
        <v>490</v>
      </c>
      <c r="B19" s="14" t="s">
        <v>485</v>
      </c>
      <c r="C19" s="8" t="n">
        <v>20</v>
      </c>
      <c r="D19" s="9" t="n">
        <v>1</v>
      </c>
      <c r="E19" s="8" t="n">
        <v>20</v>
      </c>
      <c r="F19" s="7" t="n">
        <f aca="false">IF(ISNUMBER(D19),C19*D19,E19)</f>
        <v>20</v>
      </c>
      <c r="G19" s="7"/>
      <c r="H19" s="7"/>
      <c r="I19" s="7"/>
      <c r="J19" s="7"/>
      <c r="K19" s="7"/>
      <c r="L19" s="7"/>
      <c r="M19" s="7"/>
      <c r="N19" s="7"/>
      <c r="O19" s="8" t="n">
        <v>20</v>
      </c>
      <c r="P19" s="7"/>
      <c r="Q19" s="7"/>
      <c r="R19" s="7"/>
      <c r="S19" s="7"/>
      <c r="T19" s="7"/>
      <c r="U19" s="7"/>
      <c r="V19" s="7" t="n">
        <f aca="false">SUM(G19:U19)</f>
        <v>20</v>
      </c>
      <c r="W19" s="12" t="str">
        <f aca="false">IF(AND(V19=E19,F19=E19),"OK","DIFF")</f>
        <v>OK</v>
      </c>
    </row>
    <row r="20" customFormat="false" ht="15" hidden="false" customHeight="false" outlineLevel="0" collapsed="false">
      <c r="A20" s="4" t="s">
        <v>491</v>
      </c>
      <c r="B20" s="14" t="s">
        <v>492</v>
      </c>
      <c r="C20" s="8" t="n">
        <v>1</v>
      </c>
      <c r="D20" s="9" t="n">
        <v>390</v>
      </c>
      <c r="E20" s="8" t="n">
        <v>390</v>
      </c>
      <c r="F20" s="7" t="n">
        <f aca="false">IF(ISNUMBER(D20),C20*D20,E20)</f>
        <v>390</v>
      </c>
      <c r="G20" s="7"/>
      <c r="H20" s="8" t="n">
        <v>281</v>
      </c>
      <c r="I20" s="8" t="n">
        <v>1</v>
      </c>
      <c r="J20" s="7"/>
      <c r="K20" s="7"/>
      <c r="L20" s="8" t="n">
        <v>18</v>
      </c>
      <c r="M20" s="8" t="n">
        <v>1</v>
      </c>
      <c r="N20" s="8" t="n">
        <v>9</v>
      </c>
      <c r="O20" s="8" t="n">
        <v>80</v>
      </c>
      <c r="P20" s="7"/>
      <c r="Q20" s="7"/>
      <c r="R20" s="7"/>
      <c r="S20" s="7"/>
      <c r="T20" s="7"/>
      <c r="U20" s="7"/>
      <c r="V20" s="7" t="n">
        <f aca="false">SUM(G20:U20)</f>
        <v>390</v>
      </c>
      <c r="W20" s="12" t="str">
        <f aca="false">IF(AND(V20=E20,F20=E20),"OK","DIFF")</f>
        <v>OK</v>
      </c>
    </row>
    <row r="21" customFormat="false" ht="15" hidden="false" customHeight="false" outlineLevel="0" collapsed="false">
      <c r="A21" s="4" t="s">
        <v>147</v>
      </c>
      <c r="B21" s="14" t="s">
        <v>492</v>
      </c>
      <c r="C21" s="8" t="n">
        <v>1</v>
      </c>
      <c r="D21" s="9" t="n">
        <v>277</v>
      </c>
      <c r="E21" s="8" t="n">
        <v>277</v>
      </c>
      <c r="F21" s="7" t="n">
        <f aca="false">IF(ISNUMBER(D21),C21*D21,E21)</f>
        <v>277</v>
      </c>
      <c r="G21" s="7"/>
      <c r="H21" s="8" t="n">
        <v>225</v>
      </c>
      <c r="I21" s="7"/>
      <c r="J21" s="7"/>
      <c r="K21" s="7"/>
      <c r="L21" s="8" t="n">
        <v>2</v>
      </c>
      <c r="M21" s="7"/>
      <c r="N21" s="7"/>
      <c r="O21" s="8" t="n">
        <v>50</v>
      </c>
      <c r="P21" s="7"/>
      <c r="Q21" s="7"/>
      <c r="R21" s="7"/>
      <c r="S21" s="7"/>
      <c r="T21" s="7"/>
      <c r="U21" s="7"/>
      <c r="V21" s="7" t="n">
        <f aca="false">SUM(G21:U21)</f>
        <v>277</v>
      </c>
      <c r="W21" s="12" t="str">
        <f aca="false">IF(AND(V21=E21,F21=E21),"OK","DIFF")</f>
        <v>OK</v>
      </c>
    </row>
    <row r="22" customFormat="false" ht="15" hidden="false" customHeight="false" outlineLevel="0" collapsed="false">
      <c r="A22" s="4" t="s">
        <v>153</v>
      </c>
      <c r="B22" s="14" t="s">
        <v>492</v>
      </c>
      <c r="C22" s="8" t="n">
        <v>1</v>
      </c>
      <c r="D22" s="9" t="n">
        <v>108</v>
      </c>
      <c r="E22" s="8" t="n">
        <v>108</v>
      </c>
      <c r="F22" s="7" t="n">
        <f aca="false">IF(ISNUMBER(D22),C22*D22,E22)</f>
        <v>108</v>
      </c>
      <c r="G22" s="7"/>
      <c r="H22" s="8" t="n">
        <v>62</v>
      </c>
      <c r="I22" s="7"/>
      <c r="J22" s="7"/>
      <c r="K22" s="7"/>
      <c r="L22" s="8" t="n">
        <v>3</v>
      </c>
      <c r="M22" s="7"/>
      <c r="N22" s="7"/>
      <c r="O22" s="8" t="n">
        <v>42</v>
      </c>
      <c r="P22" s="7"/>
      <c r="Q22" s="8" t="n">
        <v>1</v>
      </c>
      <c r="R22" s="7"/>
      <c r="S22" s="7"/>
      <c r="T22" s="7"/>
      <c r="U22" s="7"/>
      <c r="V22" s="7" t="n">
        <f aca="false">SUM(G22:U22)</f>
        <v>108</v>
      </c>
      <c r="W22" s="12" t="str">
        <f aca="false">IF(AND(V22=E22,F22=E22),"OK","DIFF")</f>
        <v>OK</v>
      </c>
    </row>
    <row r="23" customFormat="false" ht="15" hidden="false" customHeight="false" outlineLevel="0" collapsed="false">
      <c r="A23" s="4" t="s">
        <v>493</v>
      </c>
      <c r="B23" s="14" t="s">
        <v>492</v>
      </c>
      <c r="C23" s="8" t="n">
        <v>1</v>
      </c>
      <c r="D23" s="9" t="n">
        <v>4</v>
      </c>
      <c r="E23" s="8" t="n">
        <v>4</v>
      </c>
      <c r="F23" s="7" t="n">
        <f aca="false">IF(ISNUMBER(D23),C23*D23,E23)</f>
        <v>4</v>
      </c>
      <c r="G23" s="7"/>
      <c r="H23" s="8" t="n">
        <v>1</v>
      </c>
      <c r="I23" s="7"/>
      <c r="J23" s="7"/>
      <c r="K23" s="7"/>
      <c r="L23" s="8" t="n">
        <v>1</v>
      </c>
      <c r="M23" s="7"/>
      <c r="N23" s="7"/>
      <c r="O23" s="8" t="n">
        <v>2</v>
      </c>
      <c r="P23" s="7"/>
      <c r="Q23" s="7"/>
      <c r="R23" s="7"/>
      <c r="S23" s="7"/>
      <c r="T23" s="7"/>
      <c r="U23" s="7"/>
      <c r="V23" s="7" t="n">
        <f aca="false">SUM(G23:U23)</f>
        <v>4</v>
      </c>
      <c r="W23" s="12" t="str">
        <f aca="false">IF(AND(V23=E23,F23=E23),"OK","DIFF")</f>
        <v>OK</v>
      </c>
    </row>
    <row r="24" customFormat="false" ht="15" hidden="false" customHeight="false" outlineLevel="0" collapsed="false">
      <c r="A24" s="4" t="s">
        <v>494</v>
      </c>
      <c r="B24" s="14" t="s">
        <v>492</v>
      </c>
      <c r="C24" s="8" t="n">
        <v>1</v>
      </c>
      <c r="D24" s="9" t="n">
        <v>51</v>
      </c>
      <c r="E24" s="8" t="n">
        <v>51</v>
      </c>
      <c r="F24" s="7" t="n">
        <f aca="false">IF(ISNUMBER(D24),C24*D24,E24)</f>
        <v>51</v>
      </c>
      <c r="G24" s="7"/>
      <c r="H24" s="8" t="n">
        <v>31</v>
      </c>
      <c r="I24" s="7"/>
      <c r="J24" s="7"/>
      <c r="K24" s="7"/>
      <c r="L24" s="8" t="n">
        <v>17</v>
      </c>
      <c r="M24" s="7"/>
      <c r="N24" s="7"/>
      <c r="O24" s="8" t="n">
        <v>3</v>
      </c>
      <c r="P24" s="7"/>
      <c r="Q24" s="7"/>
      <c r="R24" s="7"/>
      <c r="S24" s="7"/>
      <c r="T24" s="7"/>
      <c r="U24" s="7"/>
      <c r="V24" s="7" t="n">
        <f aca="false">SUM(G24:U24)</f>
        <v>51</v>
      </c>
      <c r="W24" s="12" t="str">
        <f aca="false">IF(AND(V24=E24,F24=E24),"OK","DIFF")</f>
        <v>OK</v>
      </c>
    </row>
    <row r="25" customFormat="false" ht="15" hidden="false" customHeight="false" outlineLevel="0" collapsed="false">
      <c r="A25" s="4" t="s">
        <v>161</v>
      </c>
      <c r="B25" s="14" t="s">
        <v>492</v>
      </c>
      <c r="C25" s="8" t="n">
        <v>1</v>
      </c>
      <c r="D25" s="9" t="n">
        <v>36</v>
      </c>
      <c r="E25" s="8" t="n">
        <v>36</v>
      </c>
      <c r="F25" s="7" t="n">
        <f aca="false">IF(ISNUMBER(D25),C25*D25,E25)</f>
        <v>36</v>
      </c>
      <c r="G25" s="7"/>
      <c r="H25" s="8" t="n">
        <v>12</v>
      </c>
      <c r="I25" s="8" t="n">
        <v>2</v>
      </c>
      <c r="J25" s="7"/>
      <c r="K25" s="7"/>
      <c r="L25" s="8" t="n">
        <v>10</v>
      </c>
      <c r="M25" s="7"/>
      <c r="N25" s="8" t="n">
        <v>8</v>
      </c>
      <c r="O25" s="8" t="n">
        <v>4</v>
      </c>
      <c r="P25" s="7"/>
      <c r="Q25" s="7"/>
      <c r="R25" s="7"/>
      <c r="S25" s="7"/>
      <c r="T25" s="7"/>
      <c r="U25" s="7"/>
      <c r="V25" s="7" t="n">
        <f aca="false">SUM(G25:U25)</f>
        <v>36</v>
      </c>
      <c r="W25" s="12" t="str">
        <f aca="false">IF(AND(V25=E25,F25=E25),"OK","DIFF")</f>
        <v>OK</v>
      </c>
    </row>
    <row r="26" customFormat="false" ht="15" hidden="false" customHeight="false" outlineLevel="0" collapsed="false">
      <c r="A26" s="4" t="s">
        <v>495</v>
      </c>
      <c r="B26" s="14" t="s">
        <v>492</v>
      </c>
      <c r="C26" s="8" t="n">
        <v>4</v>
      </c>
      <c r="D26" s="9" t="n">
        <v>37</v>
      </c>
      <c r="E26" s="8" t="n">
        <v>148</v>
      </c>
      <c r="F26" s="7" t="n">
        <f aca="false">IF(ISNUMBER(D26),C26*D26,E26)</f>
        <v>148</v>
      </c>
      <c r="G26" s="7"/>
      <c r="H26" s="8" t="n">
        <v>44</v>
      </c>
      <c r="I26" s="7"/>
      <c r="J26" s="7"/>
      <c r="K26" s="7"/>
      <c r="L26" s="8" t="n">
        <v>8</v>
      </c>
      <c r="M26" s="7"/>
      <c r="N26" s="7"/>
      <c r="O26" s="8" t="n">
        <v>96</v>
      </c>
      <c r="P26" s="7"/>
      <c r="Q26" s="7"/>
      <c r="R26" s="7"/>
      <c r="S26" s="7"/>
      <c r="T26" s="7"/>
      <c r="U26" s="7"/>
      <c r="V26" s="7" t="n">
        <f aca="false">SUM(G26:U26)</f>
        <v>148</v>
      </c>
      <c r="W26" s="12" t="str">
        <f aca="false">IF(AND(V26=E26,F26=E26),"OK","DIFF")</f>
        <v>OK</v>
      </c>
    </row>
    <row r="27" customFormat="false" ht="15" hidden="false" customHeight="false" outlineLevel="0" collapsed="false">
      <c r="A27" s="4" t="s">
        <v>496</v>
      </c>
      <c r="B27" s="14" t="s">
        <v>492</v>
      </c>
      <c r="C27" s="8" t="n">
        <v>1</v>
      </c>
      <c r="D27" s="9" t="n">
        <v>26</v>
      </c>
      <c r="E27" s="8" t="n">
        <v>26</v>
      </c>
      <c r="F27" s="7" t="n">
        <f aca="false">IF(ISNUMBER(D27),C27*D27,E27)</f>
        <v>26</v>
      </c>
      <c r="G27" s="7"/>
      <c r="H27" s="8" t="n">
        <v>5</v>
      </c>
      <c r="I27" s="7"/>
      <c r="J27" s="7"/>
      <c r="K27" s="7"/>
      <c r="L27" s="8" t="n">
        <v>1</v>
      </c>
      <c r="M27" s="7"/>
      <c r="N27" s="7"/>
      <c r="O27" s="8" t="n">
        <v>19</v>
      </c>
      <c r="P27" s="7"/>
      <c r="Q27" s="8" t="n">
        <v>1</v>
      </c>
      <c r="R27" s="7"/>
      <c r="S27" s="7"/>
      <c r="T27" s="7"/>
      <c r="U27" s="7"/>
      <c r="V27" s="7" t="n">
        <f aca="false">SUM(G27:U27)</f>
        <v>26</v>
      </c>
      <c r="W27" s="12" t="str">
        <f aca="false">IF(AND(V27=E27,F27=E27),"OK","DIFF")</f>
        <v>OK</v>
      </c>
    </row>
    <row r="28" customFormat="false" ht="15" hidden="false" customHeight="false" outlineLevel="0" collapsed="false">
      <c r="A28" s="4" t="s">
        <v>497</v>
      </c>
      <c r="B28" s="14" t="s">
        <v>492</v>
      </c>
      <c r="C28" s="8" t="n">
        <v>1</v>
      </c>
      <c r="D28" s="9" t="n">
        <v>20</v>
      </c>
      <c r="E28" s="8" t="n">
        <v>20</v>
      </c>
      <c r="F28" s="7" t="n">
        <f aca="false">IF(ISNUMBER(D28),C28*D28,E28)</f>
        <v>20</v>
      </c>
      <c r="G28" s="7"/>
      <c r="H28" s="8" t="n">
        <v>8</v>
      </c>
      <c r="I28" s="7"/>
      <c r="J28" s="7"/>
      <c r="K28" s="7"/>
      <c r="L28" s="8" t="n">
        <v>2</v>
      </c>
      <c r="M28" s="7"/>
      <c r="N28" s="7"/>
      <c r="O28" s="8" t="n">
        <v>10</v>
      </c>
      <c r="P28" s="7"/>
      <c r="Q28" s="7"/>
      <c r="R28" s="7"/>
      <c r="S28" s="7"/>
      <c r="T28" s="7"/>
      <c r="U28" s="7"/>
      <c r="V28" s="7" t="n">
        <f aca="false">SUM(G28:U28)</f>
        <v>20</v>
      </c>
      <c r="W28" s="12" t="str">
        <f aca="false">IF(AND(V28=E28,F28=E28),"OK","DIFF")</f>
        <v>OK</v>
      </c>
    </row>
    <row r="29" customFormat="false" ht="15" hidden="false" customHeight="false" outlineLevel="0" collapsed="false">
      <c r="A29" s="4" t="s">
        <v>498</v>
      </c>
      <c r="B29" s="14" t="s">
        <v>492</v>
      </c>
      <c r="C29" s="8" t="n">
        <v>3</v>
      </c>
      <c r="D29" s="9" t="n">
        <v>19</v>
      </c>
      <c r="E29" s="8" t="n">
        <v>57</v>
      </c>
      <c r="F29" s="7" t="n">
        <f aca="false">IF(ISNUMBER(D29),C29*D29,E29)</f>
        <v>57</v>
      </c>
      <c r="G29" s="7"/>
      <c r="H29" s="8" t="n">
        <v>42</v>
      </c>
      <c r="I29" s="7"/>
      <c r="J29" s="7"/>
      <c r="K29" s="7"/>
      <c r="L29" s="8" t="n">
        <v>6</v>
      </c>
      <c r="M29" s="7"/>
      <c r="N29" s="7"/>
      <c r="O29" s="8" t="n">
        <v>9</v>
      </c>
      <c r="P29" s="7"/>
      <c r="Q29" s="7"/>
      <c r="R29" s="7"/>
      <c r="S29" s="7"/>
      <c r="T29" s="7"/>
      <c r="U29" s="7"/>
      <c r="V29" s="7" t="n">
        <f aca="false">SUM(G29:U29)</f>
        <v>57</v>
      </c>
      <c r="W29" s="12" t="str">
        <f aca="false">IF(AND(V29=E29,F29=E29),"OK","DIFF")</f>
        <v>OK</v>
      </c>
    </row>
    <row r="30" customFormat="false" ht="15" hidden="false" customHeight="false" outlineLevel="0" collapsed="false">
      <c r="A30" s="4" t="s">
        <v>499</v>
      </c>
      <c r="B30" s="14" t="s">
        <v>492</v>
      </c>
      <c r="C30" s="8" t="n">
        <v>1</v>
      </c>
      <c r="D30" s="9" t="n">
        <v>20</v>
      </c>
      <c r="E30" s="8" t="n">
        <v>20</v>
      </c>
      <c r="F30" s="7" t="n">
        <f aca="false">IF(ISNUMBER(D30),C30*D30,E30)</f>
        <v>20</v>
      </c>
      <c r="G30" s="7"/>
      <c r="H30" s="8" t="n">
        <v>5</v>
      </c>
      <c r="I30" s="7"/>
      <c r="J30" s="7"/>
      <c r="K30" s="7"/>
      <c r="L30" s="8" t="n">
        <v>2</v>
      </c>
      <c r="M30" s="7"/>
      <c r="N30" s="7"/>
      <c r="O30" s="8" t="n">
        <v>13</v>
      </c>
      <c r="P30" s="7"/>
      <c r="Q30" s="7"/>
      <c r="R30" s="7"/>
      <c r="S30" s="7"/>
      <c r="T30" s="7"/>
      <c r="U30" s="7"/>
      <c r="V30" s="7" t="n">
        <f aca="false">SUM(G30:U30)</f>
        <v>20</v>
      </c>
      <c r="W30" s="12" t="str">
        <f aca="false">IF(AND(V30=E30,F30=E30),"OK","DIFF")</f>
        <v>OK</v>
      </c>
    </row>
    <row r="31" customFormat="false" ht="15" hidden="false" customHeight="false" outlineLevel="0" collapsed="false">
      <c r="A31" s="4" t="s">
        <v>500</v>
      </c>
      <c r="B31" s="14" t="s">
        <v>492</v>
      </c>
      <c r="C31" s="8" t="n">
        <v>1</v>
      </c>
      <c r="D31" s="9" t="n">
        <v>14</v>
      </c>
      <c r="E31" s="8" t="n">
        <v>14</v>
      </c>
      <c r="F31" s="7" t="n">
        <f aca="false">IF(ISNUMBER(D31),C31*D31,E31)</f>
        <v>14</v>
      </c>
      <c r="G31" s="7"/>
      <c r="H31" s="8" t="n">
        <v>3</v>
      </c>
      <c r="I31" s="7"/>
      <c r="J31" s="7"/>
      <c r="K31" s="7"/>
      <c r="L31" s="8" t="n">
        <v>4</v>
      </c>
      <c r="M31" s="7"/>
      <c r="N31" s="7"/>
      <c r="O31" s="8" t="n">
        <v>7</v>
      </c>
      <c r="P31" s="7"/>
      <c r="Q31" s="7"/>
      <c r="R31" s="7"/>
      <c r="S31" s="7"/>
      <c r="T31" s="7"/>
      <c r="U31" s="7"/>
      <c r="V31" s="7" t="n">
        <f aca="false">SUM(G31:U31)</f>
        <v>14</v>
      </c>
      <c r="W31" s="12" t="str">
        <f aca="false">IF(AND(V31=E31,F31=E31),"OK","DIFF")</f>
        <v>OK</v>
      </c>
    </row>
    <row r="32" customFormat="false" ht="15" hidden="false" customHeight="false" outlineLevel="0" collapsed="false">
      <c r="A32" s="4" t="s">
        <v>501</v>
      </c>
      <c r="B32" s="14" t="s">
        <v>492</v>
      </c>
      <c r="C32" s="8" t="n">
        <v>2</v>
      </c>
      <c r="D32" s="9" t="n">
        <v>11</v>
      </c>
      <c r="E32" s="8" t="n">
        <v>22</v>
      </c>
      <c r="F32" s="7" t="n">
        <f aca="false">IF(ISNUMBER(D32),C32*D32,E32)</f>
        <v>22</v>
      </c>
      <c r="G32" s="8" t="n">
        <v>12</v>
      </c>
      <c r="H32" s="8" t="n">
        <v>6</v>
      </c>
      <c r="I32" s="7"/>
      <c r="J32" s="7"/>
      <c r="K32" s="7"/>
      <c r="L32" s="7"/>
      <c r="M32" s="7"/>
      <c r="N32" s="7"/>
      <c r="O32" s="8" t="n">
        <v>4</v>
      </c>
      <c r="P32" s="7"/>
      <c r="Q32" s="7"/>
      <c r="R32" s="7"/>
      <c r="S32" s="7"/>
      <c r="T32" s="7"/>
      <c r="U32" s="7"/>
      <c r="V32" s="7" t="n">
        <f aca="false">SUM(G32:U32)</f>
        <v>22</v>
      </c>
      <c r="W32" s="12" t="str">
        <f aca="false">IF(AND(V32=E32,F32=E32),"OK","DIFF")</f>
        <v>OK</v>
      </c>
    </row>
    <row r="33" customFormat="false" ht="15" hidden="false" customHeight="false" outlineLevel="0" collapsed="false">
      <c r="A33" s="4" t="s">
        <v>502</v>
      </c>
      <c r="B33" s="14" t="s">
        <v>492</v>
      </c>
      <c r="C33" s="8" t="n">
        <v>1</v>
      </c>
      <c r="D33" s="9" t="n">
        <v>11</v>
      </c>
      <c r="E33" s="8" t="n">
        <v>11</v>
      </c>
      <c r="F33" s="7" t="n">
        <f aca="false">IF(ISNUMBER(D33),C33*D33,E33)</f>
        <v>11</v>
      </c>
      <c r="G33" s="7"/>
      <c r="H33" s="8" t="n">
        <v>8</v>
      </c>
      <c r="I33" s="7"/>
      <c r="J33" s="7"/>
      <c r="K33" s="7"/>
      <c r="L33" s="7"/>
      <c r="M33" s="7"/>
      <c r="N33" s="7"/>
      <c r="O33" s="8" t="n">
        <v>3</v>
      </c>
      <c r="P33" s="7"/>
      <c r="Q33" s="7"/>
      <c r="R33" s="7"/>
      <c r="S33" s="7"/>
      <c r="T33" s="7"/>
      <c r="U33" s="7"/>
      <c r="V33" s="7" t="n">
        <f aca="false">SUM(G33:U33)</f>
        <v>11</v>
      </c>
      <c r="W33" s="12" t="str">
        <f aca="false">IF(AND(V33=E33,F33=E33),"OK","DIFF")</f>
        <v>OK</v>
      </c>
    </row>
    <row r="34" customFormat="false" ht="15" hidden="false" customHeight="false" outlineLevel="0" collapsed="false">
      <c r="A34" s="4" t="s">
        <v>503</v>
      </c>
      <c r="B34" s="14" t="s">
        <v>492</v>
      </c>
      <c r="C34" s="8" t="n">
        <v>2</v>
      </c>
      <c r="D34" s="9" t="n">
        <v>9</v>
      </c>
      <c r="E34" s="8" t="n">
        <v>18</v>
      </c>
      <c r="F34" s="7" t="n">
        <f aca="false">IF(ISNUMBER(D34),C34*D34,E34)</f>
        <v>18</v>
      </c>
      <c r="G34" s="7"/>
      <c r="H34" s="8" t="n">
        <v>4</v>
      </c>
      <c r="I34" s="7"/>
      <c r="J34" s="7"/>
      <c r="K34" s="7"/>
      <c r="L34" s="8" t="n">
        <v>8</v>
      </c>
      <c r="M34" s="7"/>
      <c r="N34" s="7"/>
      <c r="O34" s="8" t="n">
        <v>4</v>
      </c>
      <c r="P34" s="7"/>
      <c r="Q34" s="7"/>
      <c r="R34" s="7"/>
      <c r="S34" s="8" t="n">
        <v>2</v>
      </c>
      <c r="T34" s="7"/>
      <c r="U34" s="7"/>
      <c r="V34" s="7" t="n">
        <f aca="false">SUM(G34:U34)</f>
        <v>18</v>
      </c>
      <c r="W34" s="12" t="str">
        <f aca="false">IF(AND(V34=E34,F34=E34),"OK","DIFF")</f>
        <v>OK</v>
      </c>
    </row>
    <row r="35" customFormat="false" ht="15" hidden="false" customHeight="false" outlineLevel="0" collapsed="false">
      <c r="A35" s="4" t="s">
        <v>504</v>
      </c>
      <c r="B35" s="14" t="s">
        <v>505</v>
      </c>
      <c r="C35" s="8" t="n">
        <v>1</v>
      </c>
      <c r="D35" s="9" t="n">
        <v>244</v>
      </c>
      <c r="E35" s="8" t="n">
        <v>244</v>
      </c>
      <c r="F35" s="7" t="n">
        <f aca="false">IF(ISNUMBER(D35),C35*D35,E35)</f>
        <v>244</v>
      </c>
      <c r="G35" s="7"/>
      <c r="H35" s="8" t="n">
        <v>244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 t="n">
        <f aca="false">SUM(G35:U35)</f>
        <v>244</v>
      </c>
      <c r="W35" s="12" t="str">
        <f aca="false">IF(AND(V35=E35,F35=E35),"OK","DIFF")</f>
        <v>OK</v>
      </c>
    </row>
    <row r="36" customFormat="false" ht="15" hidden="false" customHeight="false" outlineLevel="0" collapsed="false">
      <c r="A36" s="4" t="s">
        <v>506</v>
      </c>
      <c r="B36" s="14" t="s">
        <v>505</v>
      </c>
      <c r="C36" s="8" t="n">
        <v>1</v>
      </c>
      <c r="D36" s="9" t="n">
        <v>102</v>
      </c>
      <c r="E36" s="8" t="n">
        <v>102</v>
      </c>
      <c r="F36" s="7" t="n">
        <f aca="false">IF(ISNUMBER(D36),C36*D36,E36)</f>
        <v>102</v>
      </c>
      <c r="G36" s="7"/>
      <c r="H36" s="7"/>
      <c r="I36" s="7"/>
      <c r="J36" s="7"/>
      <c r="K36" s="7"/>
      <c r="L36" s="7"/>
      <c r="M36" s="7"/>
      <c r="N36" s="7"/>
      <c r="O36" s="8" t="n">
        <v>50</v>
      </c>
      <c r="P36" s="7"/>
      <c r="Q36" s="7"/>
      <c r="R36" s="7"/>
      <c r="S36" s="7"/>
      <c r="T36" s="8" t="n">
        <v>52</v>
      </c>
      <c r="U36" s="7"/>
      <c r="V36" s="7" t="n">
        <f aca="false">SUM(G36:U36)</f>
        <v>102</v>
      </c>
      <c r="W36" s="12" t="str">
        <f aca="false">IF(AND(V36=E36,F36=E36),"OK","DIFF")</f>
        <v>OK</v>
      </c>
    </row>
    <row r="37" customFormat="false" ht="15" hidden="false" customHeight="false" outlineLevel="0" collapsed="false">
      <c r="A37" s="4" t="s">
        <v>507</v>
      </c>
      <c r="B37" s="14" t="s">
        <v>505</v>
      </c>
      <c r="C37" s="8" t="n">
        <v>1</v>
      </c>
      <c r="D37" s="9" t="n">
        <v>86</v>
      </c>
      <c r="E37" s="8" t="n">
        <v>86</v>
      </c>
      <c r="F37" s="7" t="n">
        <f aca="false">IF(ISNUMBER(D37),C37*D37,E37)</f>
        <v>86</v>
      </c>
      <c r="G37" s="7"/>
      <c r="H37" s="8" t="n">
        <v>1</v>
      </c>
      <c r="I37" s="7"/>
      <c r="J37" s="7"/>
      <c r="K37" s="7"/>
      <c r="L37" s="7"/>
      <c r="M37" s="7"/>
      <c r="N37" s="7"/>
      <c r="O37" s="8" t="n">
        <v>85</v>
      </c>
      <c r="P37" s="7"/>
      <c r="Q37" s="7"/>
      <c r="R37" s="7"/>
      <c r="S37" s="7"/>
      <c r="T37" s="7"/>
      <c r="U37" s="7"/>
      <c r="V37" s="7" t="n">
        <f aca="false">SUM(G37:U37)</f>
        <v>86</v>
      </c>
      <c r="W37" s="12" t="str">
        <f aca="false">IF(AND(V37=E37,F37=E37),"OK","DIFF")</f>
        <v>OK</v>
      </c>
    </row>
    <row r="38" customFormat="false" ht="15" hidden="false" customHeight="false" outlineLevel="0" collapsed="false">
      <c r="A38" s="4" t="s">
        <v>508</v>
      </c>
      <c r="B38" s="14" t="s">
        <v>505</v>
      </c>
      <c r="C38" s="8" t="n">
        <v>1</v>
      </c>
      <c r="D38" s="9" t="n">
        <v>50</v>
      </c>
      <c r="E38" s="8" t="n">
        <v>50</v>
      </c>
      <c r="F38" s="7" t="n">
        <f aca="false">IF(ISNUMBER(D38),C38*D38,E38)</f>
        <v>50</v>
      </c>
      <c r="G38" s="7"/>
      <c r="H38" s="8" t="n">
        <v>7</v>
      </c>
      <c r="I38" s="7"/>
      <c r="J38" s="7"/>
      <c r="K38" s="8" t="n">
        <v>2</v>
      </c>
      <c r="L38" s="8" t="n">
        <v>3</v>
      </c>
      <c r="M38" s="7"/>
      <c r="N38" s="8" t="n">
        <v>34</v>
      </c>
      <c r="O38" s="8" t="n">
        <v>4</v>
      </c>
      <c r="P38" s="7"/>
      <c r="Q38" s="7"/>
      <c r="R38" s="7"/>
      <c r="S38" s="7"/>
      <c r="T38" s="7"/>
      <c r="U38" s="7"/>
      <c r="V38" s="7" t="n">
        <f aca="false">SUM(G38:U38)</f>
        <v>50</v>
      </c>
      <c r="W38" s="12" t="str">
        <f aca="false">IF(AND(V38=E38,F38=E38),"OK","DIFF")</f>
        <v>OK</v>
      </c>
    </row>
    <row r="39" customFormat="false" ht="15" hidden="false" customHeight="false" outlineLevel="0" collapsed="false">
      <c r="A39" s="4" t="s">
        <v>509</v>
      </c>
      <c r="B39" s="14" t="s">
        <v>505</v>
      </c>
      <c r="C39" s="8" t="n">
        <v>7</v>
      </c>
      <c r="D39" s="15" t="s">
        <v>510</v>
      </c>
      <c r="E39" s="8" t="n">
        <v>379</v>
      </c>
      <c r="F39" s="7" t="n">
        <f aca="false">IF(ISNUMBER(D39),C39*D39,E39)</f>
        <v>379</v>
      </c>
      <c r="G39" s="7"/>
      <c r="H39" s="8" t="n">
        <v>297</v>
      </c>
      <c r="I39" s="7"/>
      <c r="J39" s="7"/>
      <c r="K39" s="7"/>
      <c r="L39" s="7"/>
      <c r="M39" s="7"/>
      <c r="N39" s="7"/>
      <c r="O39" s="8" t="n">
        <v>82</v>
      </c>
      <c r="P39" s="7"/>
      <c r="Q39" s="7"/>
      <c r="R39" s="7"/>
      <c r="S39" s="7"/>
      <c r="T39" s="7"/>
      <c r="U39" s="7"/>
      <c r="V39" s="7" t="n">
        <f aca="false">SUM(G39:U39)</f>
        <v>379</v>
      </c>
      <c r="W39" s="12" t="str">
        <f aca="false">IF(AND(V39=E39,F39=E39),"OK","DIFF")</f>
        <v>OK</v>
      </c>
    </row>
    <row r="40" customFormat="false" ht="15" hidden="false" customHeight="false" outlineLevel="0" collapsed="false">
      <c r="A40" s="4" t="s">
        <v>511</v>
      </c>
      <c r="B40" s="14" t="s">
        <v>505</v>
      </c>
      <c r="C40" s="8" t="n">
        <v>5</v>
      </c>
      <c r="D40" s="15" t="s">
        <v>512</v>
      </c>
      <c r="E40" s="8" t="n">
        <v>264</v>
      </c>
      <c r="F40" s="7" t="n">
        <f aca="false">IF(ISNUMBER(D40),C40*D40,E40)</f>
        <v>264</v>
      </c>
      <c r="G40" s="7"/>
      <c r="H40" s="8" t="n">
        <v>45</v>
      </c>
      <c r="I40" s="7"/>
      <c r="J40" s="7"/>
      <c r="K40" s="7"/>
      <c r="L40" s="7"/>
      <c r="M40" s="7"/>
      <c r="N40" s="8" t="n">
        <v>219</v>
      </c>
      <c r="O40" s="7"/>
      <c r="P40" s="7"/>
      <c r="Q40" s="7"/>
      <c r="R40" s="7"/>
      <c r="S40" s="7"/>
      <c r="T40" s="7"/>
      <c r="U40" s="7"/>
      <c r="V40" s="7" t="n">
        <f aca="false">SUM(G40:U40)</f>
        <v>264</v>
      </c>
      <c r="W40" s="12" t="str">
        <f aca="false">IF(AND(V40=E40,F40=E40),"OK","DIFF")</f>
        <v>OK</v>
      </c>
    </row>
    <row r="41" customFormat="false" ht="15" hidden="false" customHeight="false" outlineLevel="0" collapsed="false">
      <c r="A41" s="4" t="s">
        <v>513</v>
      </c>
      <c r="B41" s="14" t="s">
        <v>505</v>
      </c>
      <c r="C41" s="8" t="n">
        <v>1</v>
      </c>
      <c r="D41" s="9" t="n">
        <v>51</v>
      </c>
      <c r="E41" s="8" t="n">
        <v>51</v>
      </c>
      <c r="F41" s="7" t="n">
        <f aca="false">IF(ISNUMBER(D41),C41*D41,E41)</f>
        <v>51</v>
      </c>
      <c r="G41" s="7"/>
      <c r="H41" s="8" t="n">
        <v>2</v>
      </c>
      <c r="I41" s="7"/>
      <c r="J41" s="7"/>
      <c r="K41" s="7"/>
      <c r="L41" s="7"/>
      <c r="M41" s="7"/>
      <c r="N41" s="7"/>
      <c r="O41" s="8" t="n">
        <v>49</v>
      </c>
      <c r="P41" s="7"/>
      <c r="Q41" s="7"/>
      <c r="R41" s="7"/>
      <c r="S41" s="7"/>
      <c r="T41" s="7"/>
      <c r="U41" s="7"/>
      <c r="V41" s="7" t="n">
        <f aca="false">SUM(G41:U41)</f>
        <v>51</v>
      </c>
      <c r="W41" s="12" t="str">
        <f aca="false">IF(AND(V41=E41,F41=E41),"OK","DIFF")</f>
        <v>OK</v>
      </c>
    </row>
    <row r="42" customFormat="false" ht="15" hidden="false" customHeight="false" outlineLevel="0" collapsed="false">
      <c r="A42" s="4" t="s">
        <v>514</v>
      </c>
      <c r="B42" s="14" t="s">
        <v>505</v>
      </c>
      <c r="C42" s="8" t="n">
        <v>1</v>
      </c>
      <c r="D42" s="9" t="n">
        <v>41</v>
      </c>
      <c r="E42" s="8" t="n">
        <v>41</v>
      </c>
      <c r="F42" s="7" t="n">
        <f aca="false">IF(ISNUMBER(D42),C42*D42,E42)</f>
        <v>41</v>
      </c>
      <c r="G42" s="7"/>
      <c r="H42" s="8" t="n">
        <v>3</v>
      </c>
      <c r="I42" s="7"/>
      <c r="J42" s="7"/>
      <c r="K42" s="7"/>
      <c r="L42" s="7"/>
      <c r="M42" s="7"/>
      <c r="N42" s="8" t="n">
        <v>37</v>
      </c>
      <c r="O42" s="8" t="n">
        <v>1</v>
      </c>
      <c r="P42" s="7"/>
      <c r="Q42" s="7"/>
      <c r="R42" s="7"/>
      <c r="S42" s="7"/>
      <c r="T42" s="7"/>
      <c r="U42" s="7"/>
      <c r="V42" s="7" t="n">
        <f aca="false">SUM(G42:U42)</f>
        <v>41</v>
      </c>
      <c r="W42" s="12" t="str">
        <f aca="false">IF(AND(V42=E42,F42=E42),"OK","DIFF")</f>
        <v>OK</v>
      </c>
    </row>
    <row r="43" customFormat="false" ht="15" hidden="false" customHeight="false" outlineLevel="0" collapsed="false">
      <c r="A43" s="4" t="s">
        <v>515</v>
      </c>
      <c r="B43" s="14" t="s">
        <v>505</v>
      </c>
      <c r="C43" s="8" t="n">
        <v>3</v>
      </c>
      <c r="D43" s="15" t="s">
        <v>516</v>
      </c>
      <c r="E43" s="8" t="n">
        <v>57</v>
      </c>
      <c r="F43" s="7" t="n">
        <f aca="false">IF(ISNUMBER(D43),C43*D43,E43)</f>
        <v>57</v>
      </c>
      <c r="G43" s="7"/>
      <c r="H43" s="7"/>
      <c r="I43" s="7"/>
      <c r="J43" s="7"/>
      <c r="K43" s="7"/>
      <c r="L43" s="7"/>
      <c r="M43" s="7"/>
      <c r="N43" s="8" t="n">
        <v>57</v>
      </c>
      <c r="O43" s="7"/>
      <c r="P43" s="7"/>
      <c r="Q43" s="7"/>
      <c r="R43" s="7"/>
      <c r="S43" s="7"/>
      <c r="T43" s="7"/>
      <c r="U43" s="7"/>
      <c r="V43" s="7" t="n">
        <f aca="false">SUM(G43:U43)</f>
        <v>57</v>
      </c>
      <c r="W43" s="12" t="str">
        <f aca="false">IF(AND(V43=E43,F43=E43),"OK","DIFF")</f>
        <v>OK</v>
      </c>
    </row>
    <row r="44" customFormat="false" ht="15" hidden="false" customHeight="false" outlineLevel="0" collapsed="false">
      <c r="A44" s="4" t="s">
        <v>163</v>
      </c>
      <c r="B44" s="14" t="s">
        <v>505</v>
      </c>
      <c r="C44" s="8" t="n">
        <v>1</v>
      </c>
      <c r="D44" s="9" t="n">
        <v>20</v>
      </c>
      <c r="E44" s="8" t="n">
        <v>20</v>
      </c>
      <c r="F44" s="7" t="n">
        <f aca="false">IF(ISNUMBER(D44),C44*D44,E44)</f>
        <v>20</v>
      </c>
      <c r="G44" s="7"/>
      <c r="H44" s="8" t="n">
        <v>17</v>
      </c>
      <c r="I44" s="7"/>
      <c r="J44" s="7"/>
      <c r="K44" s="7"/>
      <c r="L44" s="8" t="n">
        <v>2</v>
      </c>
      <c r="M44" s="7"/>
      <c r="N44" s="7"/>
      <c r="O44" s="8" t="n">
        <v>1</v>
      </c>
      <c r="P44" s="7"/>
      <c r="Q44" s="7"/>
      <c r="R44" s="7"/>
      <c r="S44" s="7"/>
      <c r="T44" s="7"/>
      <c r="U44" s="7"/>
      <c r="V44" s="7" t="n">
        <f aca="false">SUM(G44:U44)</f>
        <v>20</v>
      </c>
      <c r="W44" s="12" t="str">
        <f aca="false">IF(AND(V44=E44,F44=E44),"OK","DIFF")</f>
        <v>OK</v>
      </c>
    </row>
    <row r="45" customFormat="false" ht="15" hidden="false" customHeight="false" outlineLevel="0" collapsed="false">
      <c r="A45" s="4" t="s">
        <v>517</v>
      </c>
      <c r="B45" s="14" t="s">
        <v>505</v>
      </c>
      <c r="C45" s="8" t="n">
        <v>2</v>
      </c>
      <c r="D45" s="15" t="s">
        <v>518</v>
      </c>
      <c r="E45" s="8" t="n">
        <v>8</v>
      </c>
      <c r="F45" s="7" t="n">
        <f aca="false">IF(ISNUMBER(D45),C45*D45,E45)</f>
        <v>8</v>
      </c>
      <c r="G45" s="7"/>
      <c r="H45" s="8" t="n">
        <v>8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 t="n">
        <f aca="false">SUM(G45:U45)</f>
        <v>8</v>
      </c>
      <c r="W45" s="12" t="str">
        <f aca="false">IF(AND(V45=E45,F45=E45),"OK","DIFF")</f>
        <v>OK</v>
      </c>
    </row>
    <row r="46" customFormat="false" ht="15" hidden="false" customHeight="false" outlineLevel="0" collapsed="false">
      <c r="A46" s="4" t="s">
        <v>519</v>
      </c>
      <c r="B46" s="14" t="s">
        <v>505</v>
      </c>
      <c r="C46" s="8" t="n">
        <v>2</v>
      </c>
      <c r="D46" s="9" t="n">
        <v>3</v>
      </c>
      <c r="E46" s="8" t="n">
        <v>6</v>
      </c>
      <c r="F46" s="7" t="n">
        <f aca="false">IF(ISNUMBER(D46),C46*D46,E46)</f>
        <v>6</v>
      </c>
      <c r="G46" s="7"/>
      <c r="H46" s="8" t="n">
        <v>6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 t="n">
        <f aca="false">SUM(G46:U46)</f>
        <v>6</v>
      </c>
      <c r="W46" s="12" t="str">
        <f aca="false">IF(AND(V46=E46,F46=E46),"OK","DIFF")</f>
        <v>OK</v>
      </c>
    </row>
    <row r="47" customFormat="false" ht="15" hidden="false" customHeight="false" outlineLevel="0" collapsed="false">
      <c r="A47" s="4" t="s">
        <v>520</v>
      </c>
      <c r="B47" s="14" t="s">
        <v>505</v>
      </c>
      <c r="C47" s="8" t="n">
        <v>6</v>
      </c>
      <c r="D47" s="9" t="n">
        <v>2</v>
      </c>
      <c r="E47" s="8" t="n">
        <v>12</v>
      </c>
      <c r="F47" s="7" t="n">
        <f aca="false">IF(ISNUMBER(D47),C47*D47,E47)</f>
        <v>12</v>
      </c>
      <c r="G47" s="7"/>
      <c r="H47" s="8" t="n">
        <v>12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 t="n">
        <f aca="false">SUM(G47:U47)</f>
        <v>12</v>
      </c>
      <c r="W47" s="12" t="str">
        <f aca="false">IF(AND(V47=E47,F47=E47),"OK","DIFF")</f>
        <v>OK</v>
      </c>
    </row>
    <row r="48" customFormat="false" ht="15" hidden="false" customHeight="false" outlineLevel="0" collapsed="false">
      <c r="A48" s="4" t="s">
        <v>521</v>
      </c>
      <c r="B48" s="14" t="s">
        <v>522</v>
      </c>
      <c r="C48" s="8" t="n">
        <v>4</v>
      </c>
      <c r="D48" s="9" t="n">
        <v>18</v>
      </c>
      <c r="E48" s="8" t="n">
        <v>72</v>
      </c>
      <c r="F48" s="7" t="n">
        <f aca="false">IF(ISNUMBER(D48),C48*D48,E48)</f>
        <v>72</v>
      </c>
      <c r="G48" s="7"/>
      <c r="H48" s="7"/>
      <c r="I48" s="7"/>
      <c r="J48" s="7"/>
      <c r="K48" s="7"/>
      <c r="L48" s="8" t="n">
        <v>56</v>
      </c>
      <c r="M48" s="7"/>
      <c r="N48" s="7"/>
      <c r="O48" s="8" t="n">
        <v>16</v>
      </c>
      <c r="P48" s="7"/>
      <c r="Q48" s="7"/>
      <c r="R48" s="7"/>
      <c r="S48" s="7"/>
      <c r="T48" s="7"/>
      <c r="U48" s="7"/>
      <c r="V48" s="7" t="n">
        <f aca="false">SUM(G48:U48)</f>
        <v>72</v>
      </c>
      <c r="W48" s="12" t="str">
        <f aca="false">IF(AND(V48=E48,F48=E48),"OK","DIFF")</f>
        <v>OK</v>
      </c>
    </row>
    <row r="49" customFormat="false" ht="15" hidden="false" customHeight="false" outlineLevel="0" collapsed="false">
      <c r="A49" s="4" t="s">
        <v>523</v>
      </c>
      <c r="B49" s="14" t="s">
        <v>522</v>
      </c>
      <c r="C49" s="8" t="n">
        <v>26</v>
      </c>
      <c r="D49" s="15" t="s">
        <v>524</v>
      </c>
      <c r="E49" s="8" t="n">
        <v>193</v>
      </c>
      <c r="F49" s="7" t="n">
        <f aca="false">IF(ISNUMBER(D49),C49*D49,E49)</f>
        <v>193</v>
      </c>
      <c r="G49" s="7"/>
      <c r="H49" s="7"/>
      <c r="I49" s="7"/>
      <c r="J49" s="7"/>
      <c r="K49" s="7"/>
      <c r="L49" s="7"/>
      <c r="M49" s="7"/>
      <c r="N49" s="7"/>
      <c r="O49" s="8" t="n">
        <v>26</v>
      </c>
      <c r="P49" s="7"/>
      <c r="Q49" s="8" t="n">
        <v>167</v>
      </c>
      <c r="R49" s="7"/>
      <c r="S49" s="7"/>
      <c r="T49" s="7"/>
      <c r="U49" s="7"/>
      <c r="V49" s="7" t="n">
        <f aca="false">SUM(G49:U49)</f>
        <v>193</v>
      </c>
      <c r="W49" s="12" t="str">
        <f aca="false">IF(AND(V49=E49,F49=E49),"OK","DIFF")</f>
        <v>OK</v>
      </c>
    </row>
    <row r="50" customFormat="false" ht="15" hidden="false" customHeight="false" outlineLevel="0" collapsed="false">
      <c r="A50" s="4" t="s">
        <v>525</v>
      </c>
      <c r="B50" s="14" t="s">
        <v>522</v>
      </c>
      <c r="C50" s="8" t="n">
        <v>8</v>
      </c>
      <c r="D50" s="9" t="n">
        <v>12</v>
      </c>
      <c r="E50" s="8" t="n">
        <v>96</v>
      </c>
      <c r="F50" s="7" t="n">
        <f aca="false">IF(ISNUMBER(D50),C50*D50,E50)</f>
        <v>96</v>
      </c>
      <c r="G50" s="7"/>
      <c r="H50" s="7"/>
      <c r="I50" s="7"/>
      <c r="J50" s="7"/>
      <c r="K50" s="7"/>
      <c r="L50" s="8" t="n">
        <v>48</v>
      </c>
      <c r="M50" s="7"/>
      <c r="N50" s="7"/>
      <c r="O50" s="8" t="n">
        <v>24</v>
      </c>
      <c r="P50" s="7"/>
      <c r="Q50" s="8" t="n">
        <v>24</v>
      </c>
      <c r="R50" s="7"/>
      <c r="S50" s="7"/>
      <c r="T50" s="7"/>
      <c r="U50" s="7"/>
      <c r="V50" s="7" t="n">
        <f aca="false">SUM(G50:U50)</f>
        <v>96</v>
      </c>
      <c r="W50" s="12" t="str">
        <f aca="false">IF(AND(V50=E50,F50=E50),"OK","DIFF")</f>
        <v>OK</v>
      </c>
    </row>
    <row r="51" customFormat="false" ht="15" hidden="false" customHeight="false" outlineLevel="0" collapsed="false">
      <c r="A51" s="4" t="s">
        <v>526</v>
      </c>
      <c r="B51" s="14" t="s">
        <v>522</v>
      </c>
      <c r="C51" s="8" t="n">
        <v>14</v>
      </c>
      <c r="D51" s="15" t="s">
        <v>527</v>
      </c>
      <c r="E51" s="8" t="n">
        <v>88</v>
      </c>
      <c r="F51" s="7" t="n">
        <f aca="false">IF(ISNUMBER(D51),C51*D51,E51)</f>
        <v>88</v>
      </c>
      <c r="G51" s="7"/>
      <c r="H51" s="7"/>
      <c r="I51" s="7"/>
      <c r="J51" s="7"/>
      <c r="K51" s="7"/>
      <c r="L51" s="8" t="n">
        <v>88</v>
      </c>
      <c r="M51" s="7"/>
      <c r="N51" s="7"/>
      <c r="O51" s="7"/>
      <c r="P51" s="7"/>
      <c r="Q51" s="7"/>
      <c r="R51" s="7"/>
      <c r="S51" s="7"/>
      <c r="T51" s="7"/>
      <c r="U51" s="7"/>
      <c r="V51" s="7" t="n">
        <f aca="false">SUM(G51:U51)</f>
        <v>88</v>
      </c>
      <c r="W51" s="12" t="str">
        <f aca="false">IF(AND(V51=E51,F51=E51),"OK","DIFF")</f>
        <v>OK</v>
      </c>
    </row>
    <row r="52" customFormat="false" ht="15" hidden="false" customHeight="false" outlineLevel="0" collapsed="false">
      <c r="A52" s="4" t="s">
        <v>528</v>
      </c>
      <c r="B52" s="14" t="s">
        <v>522</v>
      </c>
      <c r="C52" s="8" t="n">
        <v>43</v>
      </c>
      <c r="D52" s="9" t="n">
        <v>2</v>
      </c>
      <c r="E52" s="8" t="n">
        <v>86</v>
      </c>
      <c r="F52" s="7" t="n">
        <f aca="false">IF(ISNUMBER(D52),C52*D52,E52)</f>
        <v>86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8" t="n">
        <v>86</v>
      </c>
      <c r="R52" s="7"/>
      <c r="S52" s="7"/>
      <c r="T52" s="7"/>
      <c r="U52" s="7"/>
      <c r="V52" s="7" t="n">
        <f aca="false">SUM(G52:U52)</f>
        <v>86</v>
      </c>
      <c r="W52" s="12" t="str">
        <f aca="false">IF(AND(V52=E52,F52=E52),"OK","DIFF")</f>
        <v>OK</v>
      </c>
    </row>
    <row r="53" customFormat="false" ht="15" hidden="false" customHeight="false" outlineLevel="0" collapsed="false">
      <c r="A53" s="4" t="s">
        <v>165</v>
      </c>
      <c r="B53" s="14" t="s">
        <v>529</v>
      </c>
      <c r="C53" s="8" t="n">
        <v>1</v>
      </c>
      <c r="D53" s="9" t="n">
        <v>47</v>
      </c>
      <c r="E53" s="8" t="n">
        <v>47</v>
      </c>
      <c r="F53" s="7" t="n">
        <f aca="false">IF(ISNUMBER(D53),C53*D53,E53)</f>
        <v>47</v>
      </c>
      <c r="G53" s="7"/>
      <c r="H53" s="8" t="n">
        <v>40</v>
      </c>
      <c r="I53" s="7"/>
      <c r="J53" s="7"/>
      <c r="K53" s="7"/>
      <c r="L53" s="8" t="n">
        <v>2</v>
      </c>
      <c r="M53" s="7"/>
      <c r="N53" s="7"/>
      <c r="O53" s="8" t="n">
        <v>5</v>
      </c>
      <c r="P53" s="7"/>
      <c r="Q53" s="7"/>
      <c r="R53" s="7"/>
      <c r="S53" s="7"/>
      <c r="T53" s="7"/>
      <c r="U53" s="7"/>
      <c r="V53" s="7" t="n">
        <f aca="false">SUM(G53:U53)</f>
        <v>47</v>
      </c>
      <c r="W53" s="12" t="str">
        <f aca="false">IF(AND(V53=E53,F53=E53),"OK","DIFF")</f>
        <v>OK</v>
      </c>
    </row>
    <row r="54" customFormat="false" ht="15" hidden="false" customHeight="false" outlineLevel="0" collapsed="false">
      <c r="A54" s="4" t="s">
        <v>164</v>
      </c>
      <c r="B54" s="14" t="s">
        <v>529</v>
      </c>
      <c r="C54" s="8" t="n">
        <v>1</v>
      </c>
      <c r="D54" s="9" t="n">
        <v>15</v>
      </c>
      <c r="E54" s="8" t="n">
        <v>15</v>
      </c>
      <c r="F54" s="7" t="n">
        <f aca="false">IF(ISNUMBER(D54),C54*D54,E54)</f>
        <v>15</v>
      </c>
      <c r="G54" s="7"/>
      <c r="H54" s="8" t="n">
        <v>1</v>
      </c>
      <c r="I54" s="7"/>
      <c r="J54" s="7"/>
      <c r="K54" s="7"/>
      <c r="L54" s="7"/>
      <c r="M54" s="7"/>
      <c r="N54" s="7"/>
      <c r="O54" s="8" t="n">
        <v>14</v>
      </c>
      <c r="P54" s="7"/>
      <c r="Q54" s="7"/>
      <c r="R54" s="7"/>
      <c r="S54" s="7"/>
      <c r="T54" s="7"/>
      <c r="U54" s="7"/>
      <c r="V54" s="7" t="n">
        <f aca="false">SUM(G54:U54)</f>
        <v>15</v>
      </c>
      <c r="W54" s="12" t="str">
        <f aca="false">IF(AND(V54=E54,F54=E54),"OK","DIFF")</f>
        <v>OK</v>
      </c>
    </row>
    <row r="55" customFormat="false" ht="15" hidden="false" customHeight="false" outlineLevel="0" collapsed="false">
      <c r="A55" s="4" t="s">
        <v>530</v>
      </c>
      <c r="B55" s="14" t="s">
        <v>529</v>
      </c>
      <c r="C55" s="8" t="n">
        <v>7</v>
      </c>
      <c r="D55" s="15" t="s">
        <v>531</v>
      </c>
      <c r="E55" s="8" t="n">
        <v>41</v>
      </c>
      <c r="F55" s="7" t="n">
        <f aca="false">IF(ISNUMBER(D55),C55*D55,E55)</f>
        <v>41</v>
      </c>
      <c r="G55" s="8" t="n">
        <v>10</v>
      </c>
      <c r="H55" s="8" t="n">
        <v>13</v>
      </c>
      <c r="I55" s="7"/>
      <c r="J55" s="7"/>
      <c r="K55" s="7"/>
      <c r="L55" s="7"/>
      <c r="M55" s="7"/>
      <c r="N55" s="7"/>
      <c r="O55" s="8" t="n">
        <v>18</v>
      </c>
      <c r="P55" s="7"/>
      <c r="Q55" s="7"/>
      <c r="R55" s="7"/>
      <c r="S55" s="7"/>
      <c r="T55" s="7"/>
      <c r="U55" s="7"/>
      <c r="V55" s="7" t="n">
        <f aca="false">SUM(G55:U55)</f>
        <v>41</v>
      </c>
      <c r="W55" s="12" t="str">
        <f aca="false">IF(AND(V55=E55,F55=E55),"OK","DIFF")</f>
        <v>OK</v>
      </c>
    </row>
    <row r="56" customFormat="false" ht="15" hidden="false" customHeight="false" outlineLevel="0" collapsed="false">
      <c r="A56" s="4" t="s">
        <v>532</v>
      </c>
      <c r="B56" s="14" t="s">
        <v>529</v>
      </c>
      <c r="C56" s="8" t="n">
        <v>13</v>
      </c>
      <c r="D56" s="15" t="s">
        <v>533</v>
      </c>
      <c r="E56" s="8" t="n">
        <v>46</v>
      </c>
      <c r="F56" s="7" t="n">
        <f aca="false">IF(ISNUMBER(D56),C56*D56,E56)</f>
        <v>46</v>
      </c>
      <c r="G56" s="7"/>
      <c r="H56" s="7"/>
      <c r="I56" s="7"/>
      <c r="J56" s="7"/>
      <c r="K56" s="7"/>
      <c r="L56" s="8" t="n">
        <v>46</v>
      </c>
      <c r="M56" s="7"/>
      <c r="N56" s="7"/>
      <c r="O56" s="7"/>
      <c r="P56" s="7"/>
      <c r="Q56" s="7"/>
      <c r="R56" s="7"/>
      <c r="S56" s="7"/>
      <c r="T56" s="7"/>
      <c r="U56" s="7"/>
      <c r="V56" s="7" t="n">
        <f aca="false">SUM(G56:U56)</f>
        <v>46</v>
      </c>
      <c r="W56" s="12" t="str">
        <f aca="false">IF(AND(V56=E56,F56=E56),"OK","DIFF")</f>
        <v>OK</v>
      </c>
    </row>
    <row r="57" customFormat="false" ht="15" hidden="false" customHeight="false" outlineLevel="0" collapsed="false">
      <c r="A57" s="4" t="s">
        <v>534</v>
      </c>
      <c r="B57" s="14" t="s">
        <v>529</v>
      </c>
      <c r="C57" s="8" t="n">
        <v>2</v>
      </c>
      <c r="D57" s="9" t="n">
        <v>4</v>
      </c>
      <c r="E57" s="8" t="n">
        <v>8</v>
      </c>
      <c r="F57" s="7" t="n">
        <f aca="false">IF(ISNUMBER(D57),C57*D57,E57)</f>
        <v>8</v>
      </c>
      <c r="G57" s="7"/>
      <c r="H57" s="8" t="n">
        <v>4</v>
      </c>
      <c r="I57" s="7"/>
      <c r="J57" s="7"/>
      <c r="K57" s="7"/>
      <c r="L57" s="8" t="n">
        <v>2</v>
      </c>
      <c r="M57" s="7"/>
      <c r="N57" s="7"/>
      <c r="O57" s="8" t="n">
        <v>2</v>
      </c>
      <c r="P57" s="7"/>
      <c r="Q57" s="7"/>
      <c r="R57" s="7"/>
      <c r="S57" s="7"/>
      <c r="T57" s="7"/>
      <c r="U57" s="7"/>
      <c r="V57" s="7" t="n">
        <f aca="false">SUM(G57:U57)</f>
        <v>8</v>
      </c>
      <c r="W57" s="12" t="str">
        <f aca="false">IF(AND(V57=E57,F57=E57),"OK","DIFF")</f>
        <v>OK</v>
      </c>
    </row>
    <row r="58" customFormat="false" ht="15" hidden="false" customHeight="false" outlineLevel="0" collapsed="false">
      <c r="A58" s="4" t="s">
        <v>535</v>
      </c>
      <c r="B58" s="14" t="s">
        <v>529</v>
      </c>
      <c r="C58" s="8" t="n">
        <v>1</v>
      </c>
      <c r="D58" s="9" t="n">
        <v>4</v>
      </c>
      <c r="E58" s="8" t="n">
        <v>4</v>
      </c>
      <c r="F58" s="7" t="n">
        <f aca="false">IF(ISNUMBER(D58),C58*D58,E58)</f>
        <v>4</v>
      </c>
      <c r="G58" s="7"/>
      <c r="H58" s="8" t="n">
        <v>3</v>
      </c>
      <c r="I58" s="7"/>
      <c r="J58" s="7"/>
      <c r="K58" s="7"/>
      <c r="L58" s="7"/>
      <c r="M58" s="7"/>
      <c r="N58" s="7"/>
      <c r="O58" s="8" t="n">
        <v>1</v>
      </c>
      <c r="P58" s="7"/>
      <c r="Q58" s="7"/>
      <c r="R58" s="7"/>
      <c r="S58" s="7"/>
      <c r="T58" s="7"/>
      <c r="U58" s="7"/>
      <c r="V58" s="7" t="n">
        <f aca="false">SUM(G58:U58)</f>
        <v>4</v>
      </c>
      <c r="W58" s="12" t="str">
        <f aca="false">IF(AND(V58=E58,F58=E58),"OK","DIFF")</f>
        <v>OK</v>
      </c>
    </row>
    <row r="59" customFormat="false" ht="15" hidden="false" customHeight="false" outlineLevel="0" collapsed="false">
      <c r="A59" s="4" t="s">
        <v>536</v>
      </c>
      <c r="B59" s="14" t="s">
        <v>529</v>
      </c>
      <c r="C59" s="8" t="n">
        <v>1</v>
      </c>
      <c r="D59" s="9" t="n">
        <v>2</v>
      </c>
      <c r="E59" s="8" t="n">
        <v>2</v>
      </c>
      <c r="F59" s="7" t="n">
        <f aca="false">IF(ISNUMBER(D59),C59*D59,E59)</f>
        <v>2</v>
      </c>
      <c r="G59" s="7"/>
      <c r="H59" s="7"/>
      <c r="I59" s="7"/>
      <c r="J59" s="7"/>
      <c r="K59" s="7"/>
      <c r="L59" s="8" t="n">
        <v>1</v>
      </c>
      <c r="M59" s="7"/>
      <c r="N59" s="7"/>
      <c r="O59" s="8" t="n">
        <v>1</v>
      </c>
      <c r="P59" s="7"/>
      <c r="Q59" s="7"/>
      <c r="R59" s="7"/>
      <c r="S59" s="7"/>
      <c r="T59" s="7"/>
      <c r="U59" s="7"/>
      <c r="V59" s="7" t="n">
        <f aca="false">SUM(G59:U59)</f>
        <v>2</v>
      </c>
      <c r="W59" s="12" t="str">
        <f aca="false">IF(AND(V59=E59,F59=E59),"OK","DIFF")</f>
        <v>OK</v>
      </c>
    </row>
    <row r="60" customFormat="false" ht="15" hidden="false" customHeight="false" outlineLevel="0" collapsed="false">
      <c r="A60" s="4" t="s">
        <v>537</v>
      </c>
      <c r="B60" s="14" t="s">
        <v>529</v>
      </c>
      <c r="C60" s="8" t="n">
        <v>1</v>
      </c>
      <c r="D60" s="9" t="n">
        <v>1</v>
      </c>
      <c r="E60" s="8" t="n">
        <v>1</v>
      </c>
      <c r="F60" s="7" t="n">
        <f aca="false">IF(ISNUMBER(D60),C60*D60,E60)</f>
        <v>1</v>
      </c>
      <c r="G60" s="7"/>
      <c r="H60" s="7"/>
      <c r="I60" s="7"/>
      <c r="J60" s="7"/>
      <c r="K60" s="7"/>
      <c r="L60" s="8" t="n">
        <v>1</v>
      </c>
      <c r="M60" s="7"/>
      <c r="N60" s="7"/>
      <c r="O60" s="7"/>
      <c r="P60" s="7"/>
      <c r="Q60" s="7"/>
      <c r="R60" s="7"/>
      <c r="S60" s="7"/>
      <c r="T60" s="7"/>
      <c r="U60" s="7"/>
      <c r="V60" s="7" t="n">
        <f aca="false">SUM(G60:U60)</f>
        <v>1</v>
      </c>
      <c r="W60" s="12" t="str">
        <f aca="false">IF(AND(V60=E60,F60=E60),"OK","DIFF")</f>
        <v>OK</v>
      </c>
    </row>
    <row r="61" customFormat="false" ht="15" hidden="false" customHeight="false" outlineLevel="0" collapsed="false">
      <c r="A61" s="4" t="s">
        <v>538</v>
      </c>
      <c r="B61" s="14" t="s">
        <v>529</v>
      </c>
      <c r="C61" s="8" t="n">
        <v>1</v>
      </c>
      <c r="D61" s="9" t="n">
        <v>1</v>
      </c>
      <c r="E61" s="8" t="n">
        <v>1</v>
      </c>
      <c r="F61" s="7" t="n">
        <f aca="false">IF(ISNUMBER(D61),C61*D61,E61)</f>
        <v>1</v>
      </c>
      <c r="G61" s="7"/>
      <c r="H61" s="7"/>
      <c r="I61" s="7"/>
      <c r="J61" s="7"/>
      <c r="K61" s="7"/>
      <c r="L61" s="8" t="n">
        <v>1</v>
      </c>
      <c r="M61" s="7"/>
      <c r="N61" s="7"/>
      <c r="O61" s="7"/>
      <c r="P61" s="7"/>
      <c r="Q61" s="7"/>
      <c r="R61" s="7"/>
      <c r="S61" s="7"/>
      <c r="T61" s="7"/>
      <c r="U61" s="7"/>
      <c r="V61" s="7" t="n">
        <f aca="false">SUM(G61:U61)</f>
        <v>1</v>
      </c>
      <c r="W61" s="12" t="str">
        <f aca="false">IF(AND(V61=E61,F61=E61),"OK","DIFF")</f>
        <v>OK</v>
      </c>
    </row>
    <row r="62" customFormat="false" ht="15" hidden="false" customHeight="false" outlineLevel="0" collapsed="false">
      <c r="A62" s="4" t="s">
        <v>131</v>
      </c>
      <c r="B62" s="14" t="s">
        <v>539</v>
      </c>
      <c r="C62" s="8" t="n">
        <v>1</v>
      </c>
      <c r="D62" s="9" t="n">
        <v>1</v>
      </c>
      <c r="E62" s="8" t="n">
        <v>1</v>
      </c>
      <c r="F62" s="7" t="n">
        <f aca="false">IF(ISNUMBER(D62),C62*D62,E62)</f>
        <v>1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 t="n">
        <v>1</v>
      </c>
      <c r="V62" s="7" t="n">
        <f aca="false">SUM(G62:U62)</f>
        <v>1</v>
      </c>
      <c r="W62" s="12" t="str">
        <f aca="false">IF(AND(V62=E62,F62=E62),"OK","DIFF")</f>
        <v>OK</v>
      </c>
    </row>
    <row r="63" customFormat="false" ht="15" hidden="false" customHeight="false" outlineLevel="0" collapsed="false">
      <c r="A63" s="4" t="s">
        <v>540</v>
      </c>
      <c r="B63" s="14" t="s">
        <v>539</v>
      </c>
      <c r="C63" s="8" t="n">
        <v>1</v>
      </c>
      <c r="D63" s="9" t="n">
        <v>1</v>
      </c>
      <c r="E63" s="8" t="n">
        <v>1</v>
      </c>
      <c r="F63" s="7" t="n">
        <f aca="false">IF(ISNUMBER(D63),C63*D63,E63)</f>
        <v>1</v>
      </c>
      <c r="G63" s="7"/>
      <c r="H63" s="7"/>
      <c r="I63" s="7"/>
      <c r="J63" s="7"/>
      <c r="K63" s="7"/>
      <c r="L63" s="7"/>
      <c r="M63" s="7"/>
      <c r="N63" s="7"/>
      <c r="O63" s="8" t="n">
        <v>1</v>
      </c>
      <c r="P63" s="7"/>
      <c r="Q63" s="7"/>
      <c r="R63" s="7"/>
      <c r="S63" s="7"/>
      <c r="T63" s="7"/>
      <c r="U63" s="7"/>
      <c r="V63" s="7" t="n">
        <f aca="false">SUM(G63:U63)</f>
        <v>1</v>
      </c>
      <c r="W63" s="12" t="str">
        <f aca="false">IF(AND(V63=E63,F63=E63),"OK","DIFF")</f>
        <v>OK</v>
      </c>
    </row>
    <row r="64" customFormat="false" ht="15" hidden="false" customHeight="false" outlineLevel="0" collapsed="false">
      <c r="A64" s="4" t="s">
        <v>541</v>
      </c>
      <c r="B64" s="14" t="s">
        <v>539</v>
      </c>
      <c r="C64" s="8" t="n">
        <v>1</v>
      </c>
      <c r="D64" s="9" t="n">
        <v>21</v>
      </c>
      <c r="E64" s="8" t="n">
        <v>21</v>
      </c>
      <c r="F64" s="7" t="n">
        <f aca="false">IF(ISNUMBER(D64),C64*D64,E64)</f>
        <v>21</v>
      </c>
      <c r="G64" s="7"/>
      <c r="H64" s="7"/>
      <c r="I64" s="7"/>
      <c r="J64" s="7"/>
      <c r="K64" s="7"/>
      <c r="L64" s="8" t="n">
        <v>21</v>
      </c>
      <c r="M64" s="7"/>
      <c r="N64" s="7"/>
      <c r="O64" s="7"/>
      <c r="P64" s="7"/>
      <c r="Q64" s="7"/>
      <c r="R64" s="7"/>
      <c r="S64" s="7"/>
      <c r="T64" s="7"/>
      <c r="U64" s="7"/>
      <c r="V64" s="7" t="n">
        <f aca="false">SUM(G64:U64)</f>
        <v>21</v>
      </c>
      <c r="W64" s="12" t="str">
        <f aca="false">IF(AND(V64=E64,F64=E64),"OK","DIFF")</f>
        <v>OK</v>
      </c>
    </row>
    <row r="65" customFormat="false" ht="15" hidden="false" customHeight="false" outlineLevel="0" collapsed="false">
      <c r="A65" s="4" t="s">
        <v>542</v>
      </c>
      <c r="B65" s="14" t="s">
        <v>539</v>
      </c>
      <c r="C65" s="8" t="n">
        <v>1</v>
      </c>
      <c r="D65" s="9" t="n">
        <v>12</v>
      </c>
      <c r="E65" s="8" t="n">
        <v>12</v>
      </c>
      <c r="F65" s="7" t="n">
        <f aca="false">IF(ISNUMBER(D65),C65*D65,E65)</f>
        <v>12</v>
      </c>
      <c r="G65" s="7"/>
      <c r="H65" s="7"/>
      <c r="I65" s="7"/>
      <c r="J65" s="7"/>
      <c r="K65" s="7"/>
      <c r="L65" s="8" t="n">
        <v>3</v>
      </c>
      <c r="M65" s="7"/>
      <c r="N65" s="7"/>
      <c r="O65" s="8" t="n">
        <v>9</v>
      </c>
      <c r="P65" s="7"/>
      <c r="Q65" s="7"/>
      <c r="R65" s="7"/>
      <c r="S65" s="7"/>
      <c r="T65" s="7"/>
      <c r="U65" s="7"/>
      <c r="V65" s="7" t="n">
        <f aca="false">SUM(G65:U65)</f>
        <v>12</v>
      </c>
      <c r="W65" s="12" t="str">
        <f aca="false">IF(AND(V65=E65,F65=E65),"OK","DIFF")</f>
        <v>OK</v>
      </c>
    </row>
    <row r="66" customFormat="false" ht="15" hidden="false" customHeight="false" outlineLevel="0" collapsed="false">
      <c r="A66" s="4" t="s">
        <v>543</v>
      </c>
      <c r="B66" s="14" t="s">
        <v>539</v>
      </c>
      <c r="C66" s="8" t="n">
        <v>1</v>
      </c>
      <c r="D66" s="9" t="n">
        <v>7</v>
      </c>
      <c r="E66" s="8" t="n">
        <v>7</v>
      </c>
      <c r="F66" s="7" t="n">
        <f aca="false">IF(ISNUMBER(D66),C66*D66,E66)</f>
        <v>7</v>
      </c>
      <c r="G66" s="7"/>
      <c r="H66" s="8" t="n">
        <v>7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 t="n">
        <f aca="false">SUM(G66:U66)</f>
        <v>7</v>
      </c>
      <c r="W66" s="12" t="str">
        <f aca="false">IF(AND(V66=E66,F66=E66),"OK","DIFF")</f>
        <v>OK</v>
      </c>
    </row>
    <row r="67" customFormat="false" ht="15" hidden="false" customHeight="false" outlineLevel="0" collapsed="false">
      <c r="A67" s="4" t="s">
        <v>544</v>
      </c>
      <c r="B67" s="14" t="s">
        <v>539</v>
      </c>
      <c r="C67" s="8" t="n">
        <v>1</v>
      </c>
      <c r="D67" s="9" t="n">
        <v>50</v>
      </c>
      <c r="E67" s="8" t="n">
        <v>50</v>
      </c>
      <c r="F67" s="7" t="n">
        <f aca="false">IF(ISNUMBER(D67),C67*D67,E67)</f>
        <v>50</v>
      </c>
      <c r="G67" s="7"/>
      <c r="H67" s="8" t="n">
        <v>50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 t="n">
        <f aca="false">SUM(G67:U67)</f>
        <v>50</v>
      </c>
      <c r="W67" s="12" t="str">
        <f aca="false">IF(AND(V67=E67,F67=E67),"OK","DIFF")</f>
        <v>OK</v>
      </c>
    </row>
    <row r="68" customFormat="false" ht="15" hidden="false" customHeight="false" outlineLevel="0" collapsed="false">
      <c r="A68" s="4" t="s">
        <v>545</v>
      </c>
      <c r="B68" s="14" t="s">
        <v>539</v>
      </c>
      <c r="C68" s="8" t="n">
        <v>1</v>
      </c>
      <c r="D68" s="9" t="n">
        <v>4</v>
      </c>
      <c r="E68" s="8" t="n">
        <v>4</v>
      </c>
      <c r="F68" s="7" t="n">
        <f aca="false">IF(ISNUMBER(D68),C68*D68,E68)</f>
        <v>4</v>
      </c>
      <c r="G68" s="7"/>
      <c r="H68" s="8" t="n">
        <v>4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 t="n">
        <f aca="false">SUM(G68:U68)</f>
        <v>4</v>
      </c>
      <c r="W68" s="12" t="str">
        <f aca="false">IF(AND(V68=E68,F68=E68),"OK","DIFF")</f>
        <v>OK</v>
      </c>
    </row>
    <row r="69" customFormat="false" ht="15" hidden="false" customHeight="false" outlineLevel="0" collapsed="false">
      <c r="A69" s="4" t="s">
        <v>546</v>
      </c>
      <c r="C69" s="7" t="n">
        <f aca="false">SUM(C7:C68)</f>
        <v>244</v>
      </c>
      <c r="E69" s="7" t="n">
        <f aca="false">SUM(E7:E68)</f>
        <v>5476</v>
      </c>
      <c r="F69" s="7" t="n">
        <f aca="false">SUM(F7:F68)</f>
        <v>5476</v>
      </c>
      <c r="G69" s="7" t="n">
        <f aca="false">SUM(G7:G68)</f>
        <v>24</v>
      </c>
      <c r="H69" s="7" t="n">
        <f aca="false">SUM(H7:H68)</f>
        <v>2443</v>
      </c>
      <c r="I69" s="7" t="n">
        <f aca="false">SUM(I7:I68)</f>
        <v>6</v>
      </c>
      <c r="J69" s="7" t="n">
        <f aca="false">SUM(J7:J68)</f>
        <v>11</v>
      </c>
      <c r="K69" s="7" t="n">
        <f aca="false">SUM(K7:K68)</f>
        <v>2</v>
      </c>
      <c r="L69" s="7" t="n">
        <f aca="false">SUM(L7:L68)</f>
        <v>808</v>
      </c>
      <c r="M69" s="7" t="n">
        <f aca="false">SUM(M7:M68)</f>
        <v>10</v>
      </c>
      <c r="N69" s="7" t="n">
        <f aca="false">SUM(N7:N68)</f>
        <v>364</v>
      </c>
      <c r="O69" s="7" t="n">
        <f aca="false">SUM(O7:O68)</f>
        <v>1358</v>
      </c>
      <c r="P69" s="7" t="n">
        <f aca="false">SUM(P7:P68)</f>
        <v>3</v>
      </c>
      <c r="Q69" s="7" t="n">
        <f aca="false">SUM(Q7:Q68)</f>
        <v>295</v>
      </c>
      <c r="R69" s="7" t="n">
        <f aca="false">SUM(R7:R68)</f>
        <v>97</v>
      </c>
      <c r="S69" s="7" t="n">
        <f aca="false">SUM(S7:S68)</f>
        <v>2</v>
      </c>
      <c r="T69" s="7" t="n">
        <f aca="false">SUM(T7:T68)</f>
        <v>52</v>
      </c>
      <c r="U69" s="7" t="n">
        <f aca="false">SUM(U7:U68)</f>
        <v>1</v>
      </c>
      <c r="V69" s="7" t="n">
        <f aca="false">SUM(V7:V68)</f>
        <v>5476</v>
      </c>
    </row>
    <row r="70" customFormat="false" ht="15" hidden="false" customHeight="false" outlineLevel="0" collapsed="false">
      <c r="A70" s="4" t="s">
        <v>547</v>
      </c>
      <c r="E70" s="8" t="n">
        <v>5476</v>
      </c>
      <c r="F70" s="12" t="str">
        <f aca="false">IF(E69=E70,"OK","DIFF")</f>
        <v>OK</v>
      </c>
    </row>
    <row r="73" customFormat="false" ht="15" hidden="false" customHeight="false" outlineLevel="0" collapsed="false">
      <c r="A73" s="10" t="s">
        <v>548</v>
      </c>
    </row>
    <row r="74" customFormat="false" ht="30" hidden="false" customHeight="true" outlineLevel="0" collapsed="false">
      <c r="A74" s="3" t="s">
        <v>3</v>
      </c>
      <c r="B74" s="3" t="s">
        <v>471</v>
      </c>
      <c r="C74" s="3" t="s">
        <v>190</v>
      </c>
      <c r="D74" s="3" t="s">
        <v>191</v>
      </c>
      <c r="E74" s="3" t="s">
        <v>192</v>
      </c>
      <c r="F74" s="3" t="s">
        <v>549</v>
      </c>
      <c r="G74" s="3" t="s">
        <v>550</v>
      </c>
      <c r="H74" s="3" t="s">
        <v>551</v>
      </c>
    </row>
    <row r="75" customFormat="false" ht="15" hidden="false" customHeight="false" outlineLevel="0" collapsed="false">
      <c r="A75" s="4" t="s">
        <v>118</v>
      </c>
      <c r="B75" s="14" t="s">
        <v>552</v>
      </c>
      <c r="C75" s="8" t="n">
        <v>0</v>
      </c>
      <c r="D75" s="8" t="n">
        <v>70</v>
      </c>
      <c r="E75" s="8" t="n">
        <v>144</v>
      </c>
      <c r="F75" s="16"/>
      <c r="G75" s="17" t="n">
        <f aca="false">0.2126*IF(C75/255&lt;=0.04045,C75/255/12.92,((C75/255+0.055)/1.055)^2.4)+0.7152*IF(D75/255&lt;=0.04045,D75/255/12.92,((D75/255+0.055)/1.055)^2.4)+0.0722*IF(E75/255&lt;=0.04045,E75/255/12.92,((E75/255+0.055)/1.055)^2.4)</f>
        <v>0.0639393438094786</v>
      </c>
      <c r="H75" s="18" t="n">
        <f aca="false">IF(G75&gt;0.008856,116*G75^(1/3)-16,903.3*G75)</f>
        <v>30.3853367872801</v>
      </c>
    </row>
    <row r="76" customFormat="false" ht="15" hidden="false" customHeight="false" outlineLevel="0" collapsed="false">
      <c r="A76" s="4" t="s">
        <v>476</v>
      </c>
      <c r="B76" s="14" t="s">
        <v>552</v>
      </c>
      <c r="C76" s="8" t="n">
        <v>0</v>
      </c>
      <c r="D76" s="8" t="n">
        <v>109</v>
      </c>
      <c r="E76" s="8" t="n">
        <v>178</v>
      </c>
      <c r="F76" s="19"/>
      <c r="G76" s="17" t="n">
        <f aca="false">0.2126*IF(C76/255&lt;=0.04045,C76/255/12.92,((C76/255+0.055)/1.055)^2.4)+0.7152*IF(D76/255&lt;=0.04045,D76/255/12.92,((D76/255+0.055)/1.055)^2.4)+0.0722*IF(E76/255&lt;=0.04045,E76/255/12.92,((E76/255+0.055)/1.055)^2.4)</f>
        <v>0.141516310151718</v>
      </c>
      <c r="H76" s="18" t="n">
        <f aca="false">IF(G76&gt;0.008856,116*G76^(1/3)-16,903.3*G76)</f>
        <v>44.4496078759266</v>
      </c>
    </row>
    <row r="77" customFormat="false" ht="15" hidden="false" customHeight="false" outlineLevel="0" collapsed="false">
      <c r="A77" s="4" t="s">
        <v>119</v>
      </c>
      <c r="B77" s="14" t="s">
        <v>552</v>
      </c>
      <c r="C77" s="8" t="n">
        <v>0</v>
      </c>
      <c r="D77" s="8" t="n">
        <v>118</v>
      </c>
      <c r="E77" s="8" t="n">
        <v>133</v>
      </c>
      <c r="F77" s="20"/>
      <c r="G77" s="17" t="n">
        <f aca="false">0.2126*IF(C77/255&lt;=0.04045,C77/255/12.92,((C77/255+0.055)/1.055)^2.4)+0.7152*IF(D77/255&lt;=0.04045,D77/255/12.92,((D77/255+0.055)/1.055)^2.4)+0.0722*IF(E77/255&lt;=0.04045,E77/255/12.92,((E77/255+0.055)/1.055)^2.4)</f>
        <v>0.146503219519525</v>
      </c>
      <c r="H77" s="18" t="n">
        <f aca="false">IF(G77&gt;0.008856,116*G77^(1/3)-16,903.3*G77)</f>
        <v>45.151490292489</v>
      </c>
    </row>
    <row r="78" customFormat="false" ht="15" hidden="false" customHeight="false" outlineLevel="0" collapsed="false">
      <c r="A78" s="4" t="s">
        <v>120</v>
      </c>
      <c r="B78" s="14" t="s">
        <v>552</v>
      </c>
      <c r="C78" s="8" t="n">
        <v>80</v>
      </c>
      <c r="D78" s="8" t="n">
        <v>101</v>
      </c>
      <c r="E78" s="8" t="n">
        <v>147</v>
      </c>
      <c r="F78" s="21"/>
      <c r="G78" s="17" t="n">
        <f aca="false">0.2126*IF(C78/255&lt;=0.04045,C78/255/12.92,((C78/255+0.055)/1.055)^2.4)+0.7152*IF(D78/255&lt;=0.04045,D78/255/12.92,((D78/255+0.055)/1.055)^2.4)+0.0722*IF(E78/255&lt;=0.04045,E78/255/12.92,((E78/255+0.055)/1.055)^2.4)</f>
        <v>0.131194182844631</v>
      </c>
      <c r="H78" s="18" t="n">
        <f aca="false">IF(G78&gt;0.008856,116*G78^(1/3)-16,903.3*G78)</f>
        <v>42.9426307446423</v>
      </c>
    </row>
    <row r="79" customFormat="false" ht="15" hidden="false" customHeight="false" outlineLevel="0" collapsed="false">
      <c r="A79" s="4" t="s">
        <v>121</v>
      </c>
      <c r="B79" s="14" t="s">
        <v>552</v>
      </c>
      <c r="C79" s="8" t="n">
        <v>0</v>
      </c>
      <c r="D79" s="8" t="n">
        <v>88</v>
      </c>
      <c r="E79" s="8" t="n">
        <v>80</v>
      </c>
      <c r="F79" s="22"/>
      <c r="G79" s="17" t="n">
        <f aca="false">0.2126*IF(C79/255&lt;=0.04045,C79/255/12.92,((C79/255+0.055)/1.055)^2.4)+0.7152*IF(D79/255&lt;=0.04045,D79/255/12.92,((D79/255+0.055)/1.055)^2.4)+0.0722*IF(E79/255&lt;=0.04045,E79/255/12.92,((E79/255+0.055)/1.055)^2.4)</f>
        <v>0.0755863417025646</v>
      </c>
      <c r="H79" s="18" t="n">
        <f aca="false">IF(G79&gt;0.008856,116*G79^(1/3)-16,903.3*G79)</f>
        <v>33.0462451676777</v>
      </c>
    </row>
    <row r="80" customFormat="false" ht="15" hidden="false" customHeight="false" outlineLevel="0" collapsed="false">
      <c r="A80" s="4" t="s">
        <v>122</v>
      </c>
      <c r="B80" s="14" t="s">
        <v>553</v>
      </c>
      <c r="C80" s="8" t="n">
        <v>255</v>
      </c>
      <c r="D80" s="8" t="n">
        <v>160</v>
      </c>
      <c r="E80" s="8" t="n">
        <v>50</v>
      </c>
      <c r="F80" s="23"/>
      <c r="G80" s="17" t="n">
        <f aca="false">0.2126*IF(C80/255&lt;=0.04045,C80/255/12.92,((C80/255+0.055)/1.055)^2.4)+0.7152*IF(D80/255&lt;=0.04045,D80/255/12.92,((D80/255+0.055)/1.055)^2.4)+0.0722*IF(E80/255&lt;=0.04045,E80/255/12.92,((E80/255+0.055)/1.055)^2.4)</f>
        <v>0.466319008750586</v>
      </c>
      <c r="H80" s="18" t="n">
        <f aca="false">IF(G80&gt;0.008856,116*G80^(1/3)-16,903.3*G80)</f>
        <v>73.953699455642</v>
      </c>
    </row>
    <row r="81" customFormat="false" ht="15" hidden="false" customHeight="false" outlineLevel="0" collapsed="false">
      <c r="A81" s="4" t="s">
        <v>123</v>
      </c>
      <c r="B81" s="14" t="s">
        <v>553</v>
      </c>
      <c r="C81" s="8" t="n">
        <v>255</v>
      </c>
      <c r="D81" s="8" t="n">
        <v>220</v>
      </c>
      <c r="E81" s="8" t="n">
        <v>69</v>
      </c>
      <c r="F81" s="24"/>
      <c r="G81" s="17" t="n">
        <f aca="false">0.2126*IF(C81/255&lt;=0.04045,C81/255/12.92,((C81/255+0.055)/1.055)^2.4)+0.7152*IF(D81/255&lt;=0.04045,D81/255/12.92,((D81/255+0.055)/1.055)^2.4)+0.0722*IF(E81/255&lt;=0.04045,E81/255/12.92,((E81/255+0.055)/1.055)^2.4)</f>
        <v>0.728760702957602</v>
      </c>
      <c r="H81" s="18" t="n">
        <f aca="false">IF(G81&gt;0.008856,116*G81^(1/3)-16,903.3*G81)</f>
        <v>88.3885755165657</v>
      </c>
    </row>
    <row r="82" customFormat="false" ht="15" hidden="false" customHeight="false" outlineLevel="0" collapsed="false">
      <c r="A82" s="4" t="s">
        <v>124</v>
      </c>
      <c r="B82" s="14" t="s">
        <v>553</v>
      </c>
      <c r="C82" s="8" t="n">
        <v>255</v>
      </c>
      <c r="D82" s="8" t="n">
        <v>200</v>
      </c>
      <c r="E82" s="8" t="n">
        <v>120</v>
      </c>
      <c r="F82" s="25"/>
      <c r="G82" s="17" t="n">
        <f aca="false">0.2126*IF(C82/255&lt;=0.04045,C82/255/12.92,((C82/255+0.055)/1.055)^2.4)+0.7152*IF(D82/255&lt;=0.04045,D82/255/12.92,((D82/255+0.055)/1.055)^2.4)+0.0722*IF(E82/255&lt;=0.04045,E82/255/12.92,((E82/255+0.055)/1.055)^2.4)</f>
        <v>0.639246190755395</v>
      </c>
      <c r="H82" s="18" t="n">
        <f aca="false">IF(G82&gt;0.008856,116*G82^(1/3)-16,903.3*G82)</f>
        <v>83.9265067394829</v>
      </c>
    </row>
    <row r="83" customFormat="false" ht="15" hidden="false" customHeight="false" outlineLevel="0" collapsed="false">
      <c r="A83" s="4" t="s">
        <v>125</v>
      </c>
      <c r="B83" s="14" t="s">
        <v>554</v>
      </c>
      <c r="C83" s="8" t="n">
        <v>87</v>
      </c>
      <c r="D83" s="8" t="n">
        <v>180</v>
      </c>
      <c r="E83" s="8" t="n">
        <v>93</v>
      </c>
      <c r="F83" s="26"/>
      <c r="G83" s="17" t="n">
        <f aca="false">0.2126*IF(C83/255&lt;=0.04045,C83/255/12.92,((C83/255+0.055)/1.055)^2.4)+0.7152*IF(D83/255&lt;=0.04045,D83/255/12.92,((D83/255+0.055)/1.055)^2.4)+0.0722*IF(E83/255&lt;=0.04045,E83/255/12.92,((E83/255+0.055)/1.055)^2.4)</f>
        <v>0.354590666702562</v>
      </c>
      <c r="H83" s="18" t="n">
        <f aca="false">IF(G83&gt;0.008856,116*G83^(1/3)-16,903.3*G83)</f>
        <v>66.1045243168514</v>
      </c>
    </row>
    <row r="84" customFormat="false" ht="15" hidden="false" customHeight="false" outlineLevel="0" collapsed="false">
      <c r="A84" s="4" t="s">
        <v>126</v>
      </c>
      <c r="B84" s="14" t="s">
        <v>554</v>
      </c>
      <c r="C84" s="8" t="n">
        <v>148</v>
      </c>
      <c r="D84" s="8" t="n">
        <v>180</v>
      </c>
      <c r="E84" s="8" t="n">
        <v>70</v>
      </c>
      <c r="F84" s="27"/>
      <c r="G84" s="17" t="n">
        <f aca="false">0.2126*IF(C84/255&lt;=0.04045,C84/255/12.92,((C84/255+0.055)/1.055)^2.4)+0.7152*IF(D84/255&lt;=0.04045,D84/255/12.92,((D84/255+0.055)/1.055)^2.4)+0.0722*IF(E84/255&lt;=0.04045,E84/255/12.92,((E84/255+0.055)/1.055)^2.4)</f>
        <v>0.393806125265871</v>
      </c>
      <c r="H84" s="18" t="n">
        <f aca="false">IF(G84&gt;0.008856,116*G84^(1/3)-16,903.3*G84)</f>
        <v>69.0260776135904</v>
      </c>
    </row>
    <row r="85" customFormat="false" ht="15" hidden="false" customHeight="false" outlineLevel="0" collapsed="false">
      <c r="A85" s="4" t="s">
        <v>127</v>
      </c>
      <c r="B85" s="14" t="s">
        <v>554</v>
      </c>
      <c r="C85" s="8" t="n">
        <v>51</v>
      </c>
      <c r="D85" s="8" t="n">
        <v>174</v>
      </c>
      <c r="E85" s="8" t="n">
        <v>141</v>
      </c>
      <c r="F85" s="28"/>
      <c r="G85" s="17" t="n">
        <f aca="false">0.2126*IF(C85/255&lt;=0.04045,C85/255/12.92,((C85/255+0.055)/1.055)^2.4)+0.7152*IF(D85/255&lt;=0.04045,D85/255/12.92,((D85/255+0.055)/1.055)^2.4)+0.0722*IF(E85/255&lt;=0.04045,E85/255/12.92,((E85/255+0.055)/1.055)^2.4)</f>
        <v>0.328989985613775</v>
      </c>
      <c r="H85" s="18" t="n">
        <f aca="false">IF(G85&gt;0.008856,116*G85^(1/3)-16,903.3*G85)</f>
        <v>64.0790444045019</v>
      </c>
    </row>
    <row r="86" customFormat="false" ht="15" hidden="false" customHeight="false" outlineLevel="0" collapsed="false">
      <c r="A86" s="4" t="s">
        <v>128</v>
      </c>
      <c r="B86" s="14" t="s">
        <v>555</v>
      </c>
      <c r="C86" s="8" t="n">
        <v>210</v>
      </c>
      <c r="D86" s="8" t="n">
        <v>71</v>
      </c>
      <c r="E86" s="8" t="n">
        <v>144</v>
      </c>
      <c r="F86" s="29"/>
      <c r="G86" s="17" t="n">
        <f aca="false">0.2126*IF(C86/255&lt;=0.04045,C86/255/12.92,((C86/255+0.055)/1.055)^2.4)+0.7152*IF(D86/255&lt;=0.04045,D86/255/12.92,((D86/255+0.055)/1.055)^2.4)+0.0722*IF(E86/255&lt;=0.04045,E86/255/12.92,((E86/255+0.055)/1.055)^2.4)</f>
        <v>0.202217310835517</v>
      </c>
      <c r="H86" s="18" t="n">
        <f aca="false">IF(G86&gt;0.008856,116*G86^(1/3)-16,903.3*G86)</f>
        <v>52.0869843882549</v>
      </c>
    </row>
    <row r="87" customFormat="false" ht="15" hidden="false" customHeight="false" outlineLevel="0" collapsed="false">
      <c r="A87" s="4" t="s">
        <v>129</v>
      </c>
      <c r="B87" s="14" t="s">
        <v>555</v>
      </c>
      <c r="C87" s="8" t="n">
        <v>130</v>
      </c>
      <c r="D87" s="8" t="n">
        <v>104</v>
      </c>
      <c r="E87" s="8" t="n">
        <v>192</v>
      </c>
      <c r="F87" s="30"/>
      <c r="G87" s="17" t="n">
        <f aca="false">0.2126*IF(C87/255&lt;=0.04045,C87/255/12.92,((C87/255+0.055)/1.055)^2.4)+0.7152*IF(D87/255&lt;=0.04045,D87/255/12.92,((D87/255+0.055)/1.055)^2.4)+0.0722*IF(E87/255&lt;=0.04045,E87/255/12.92,((E87/255+0.055)/1.055)^2.4)</f>
        <v>0.184522266872723</v>
      </c>
      <c r="H87" s="18" t="n">
        <f aca="false">IF(G87&gt;0.008856,116*G87^(1/3)-16,903.3*G87)</f>
        <v>50.0400788305999</v>
      </c>
    </row>
    <row r="88" customFormat="false" ht="15" hidden="false" customHeight="false" outlineLevel="0" collapsed="false">
      <c r="A88" s="4" t="s">
        <v>130</v>
      </c>
      <c r="B88" s="14" t="s">
        <v>555</v>
      </c>
      <c r="C88" s="8" t="n">
        <v>189</v>
      </c>
      <c r="D88" s="8" t="n">
        <v>107</v>
      </c>
      <c r="E88" s="8" t="n">
        <v>186</v>
      </c>
      <c r="F88" s="31"/>
      <c r="G88" s="17" t="n">
        <f aca="false">0.2126*IF(C88/255&lt;=0.04045,C88/255/12.92,((C88/255+0.055)/1.055)^2.4)+0.7152*IF(D88/255&lt;=0.04045,D88/255/12.92,((D88/255+0.055)/1.055)^2.4)+0.0722*IF(E88/255&lt;=0.04045,E88/255/12.92,((E88/255+0.055)/1.055)^2.4)</f>
        <v>0.248793775171853</v>
      </c>
      <c r="H88" s="18" t="n">
        <f aca="false">IF(G88&gt;0.008856,116*G88^(1/3)-16,903.3*G88)</f>
        <v>56.9577041839816</v>
      </c>
    </row>
    <row r="89" customFormat="false" ht="15" hidden="false" customHeight="false" outlineLevel="0" collapsed="false">
      <c r="A89" s="4" t="s">
        <v>556</v>
      </c>
      <c r="B89" s="14" t="s">
        <v>557</v>
      </c>
      <c r="C89" s="8" t="n">
        <v>149</v>
      </c>
      <c r="D89" s="8" t="n">
        <v>147</v>
      </c>
      <c r="E89" s="8" t="n">
        <v>142</v>
      </c>
      <c r="F89" s="32"/>
      <c r="G89" s="17" t="n">
        <f aca="false">0.2126*IF(C89/255&lt;=0.04045,C89/255/12.92,((C89/255+0.055)/1.055)^2.4)+0.7152*IF(D89/255&lt;=0.04045,D89/255/12.92,((D89/255+0.055)/1.055)^2.4)+0.0722*IF(E89/255&lt;=0.04045,E89/255/12.92,((E89/255+0.055)/1.055)^2.4)</f>
        <v>0.292099919953439</v>
      </c>
      <c r="H89" s="18" t="n">
        <f aca="false">IF(G89&gt;0.008856,116*G89^(1/3)-16,903.3*G89)</f>
        <v>60.9665113638781</v>
      </c>
    </row>
    <row r="90" customFormat="false" ht="15" hidden="false" customHeight="false" outlineLevel="0" collapsed="false">
      <c r="A90" s="4" t="s">
        <v>131</v>
      </c>
      <c r="B90" s="14" t="s">
        <v>557</v>
      </c>
      <c r="C90" s="8" t="n">
        <v>175</v>
      </c>
      <c r="D90" s="8" t="n">
        <v>137</v>
      </c>
      <c r="E90" s="8" t="n">
        <v>103</v>
      </c>
      <c r="F90" s="33"/>
      <c r="G90" s="17" t="n">
        <f aca="false">0.2126*IF(C90/255&lt;=0.04045,C90/255/12.92,((C90/255+0.055)/1.055)^2.4)+0.7152*IF(D90/255&lt;=0.04045,D90/255/12.92,((D90/255+0.055)/1.055)^2.4)+0.0722*IF(E90/255&lt;=0.04045,E90/255/12.92,((E90/255+0.055)/1.055)^2.4)</f>
        <v>0.279845531220085</v>
      </c>
      <c r="H90" s="18" t="n">
        <f aca="false">IF(G90&gt;0.008856,116*G90^(1/3)-16,903.3*G90)</f>
        <v>59.8747805426296</v>
      </c>
    </row>
    <row r="92" customFormat="false" ht="15" hidden="false" customHeight="false" outlineLevel="0" collapsed="false">
      <c r="A92" s="2" t="s">
        <v>558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560</v>
      </c>
    </row>
    <row r="5" customFormat="false" ht="15" hidden="false" customHeight="false" outlineLevel="0" collapsed="false">
      <c r="A5" s="4" t="s">
        <v>179</v>
      </c>
      <c r="B5" s="5" t="s">
        <v>561</v>
      </c>
      <c r="C5" s="5"/>
      <c r="D5" s="5"/>
      <c r="E5" s="5"/>
      <c r="F5" s="5"/>
      <c r="G5" s="5"/>
      <c r="H5" s="5"/>
      <c r="I5" s="5"/>
      <c r="K5" s="4" t="s">
        <v>562</v>
      </c>
      <c r="L5" s="4"/>
      <c r="M5" s="5" t="s">
        <v>563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564</v>
      </c>
      <c r="C6" s="3" t="s">
        <v>565</v>
      </c>
      <c r="D6" s="3" t="s">
        <v>566</v>
      </c>
      <c r="E6" s="3" t="s">
        <v>567</v>
      </c>
    </row>
    <row r="7" customFormat="false" ht="15" hidden="false" customHeight="false" outlineLevel="0" collapsed="false">
      <c r="A7" s="4" t="s">
        <v>568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569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570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571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572</v>
      </c>
    </row>
    <row r="12" customFormat="false" ht="15" hidden="false" customHeight="false" outlineLevel="0" collapsed="false">
      <c r="B12" s="10" t="s">
        <v>573</v>
      </c>
      <c r="G12" s="10" t="s">
        <v>574</v>
      </c>
      <c r="L12" s="10" t="s">
        <v>575</v>
      </c>
      <c r="Q12" s="10" t="s">
        <v>576</v>
      </c>
    </row>
    <row r="13" customFormat="false" ht="15" hidden="false" customHeight="false" outlineLevel="0" collapsed="false">
      <c r="B13" s="12" t="n">
        <f aca="false">$B$7</f>
        <v>0.025</v>
      </c>
      <c r="C13" s="34" t="n">
        <v>0</v>
      </c>
      <c r="D13" s="34" t="n">
        <v>0</v>
      </c>
      <c r="E13" s="34" t="n">
        <v>0</v>
      </c>
      <c r="G13" s="34" t="n">
        <v>1</v>
      </c>
      <c r="H13" s="34" t="n">
        <v>0</v>
      </c>
      <c r="I13" s="34" t="n">
        <v>0</v>
      </c>
      <c r="J13" s="34" t="n">
        <v>0</v>
      </c>
      <c r="L13" s="12" t="n">
        <f aca="false">COS(RADIANS($C$8))</f>
        <v>0.707106781186548</v>
      </c>
      <c r="M13" s="34" t="n">
        <v>0</v>
      </c>
      <c r="N13" s="12" t="n">
        <f aca="false">SIN(RADIANS($C$8))</f>
        <v>-0.707106781186548</v>
      </c>
      <c r="O13" s="34" t="n">
        <v>0</v>
      </c>
      <c r="Q13" s="12" t="n">
        <f aca="false">COS(RADIANS($D$8))</f>
        <v>1</v>
      </c>
      <c r="R13" s="12" t="n">
        <f aca="false">-SIN(RADIANS($D$8))</f>
        <v>-0</v>
      </c>
      <c r="S13" s="34" t="n">
        <v>0</v>
      </c>
      <c r="T13" s="34" t="n">
        <v>0</v>
      </c>
    </row>
    <row r="14" customFormat="false" ht="15" hidden="false" customHeight="false" outlineLevel="0" collapsed="false">
      <c r="B14" s="34" t="n">
        <v>0</v>
      </c>
      <c r="C14" s="12" t="n">
        <f aca="false">$C$7</f>
        <v>0.018</v>
      </c>
      <c r="D14" s="34" t="n">
        <v>0</v>
      </c>
      <c r="E14" s="34" t="n">
        <v>0</v>
      </c>
      <c r="G14" s="34" t="n">
        <v>0</v>
      </c>
      <c r="H14" s="12" t="n">
        <f aca="false">COS(RADIANS($B$8))</f>
        <v>1</v>
      </c>
      <c r="I14" s="12" t="n">
        <f aca="false">-SIN(RADIANS($B$8))</f>
        <v>-0</v>
      </c>
      <c r="J14" s="34" t="n">
        <v>0</v>
      </c>
      <c r="L14" s="34" t="n">
        <v>0</v>
      </c>
      <c r="M14" s="34" t="n">
        <v>1</v>
      </c>
      <c r="N14" s="34" t="n">
        <v>0</v>
      </c>
      <c r="O14" s="34" t="n">
        <v>0</v>
      </c>
      <c r="Q14" s="12" t="n">
        <f aca="false">SIN(RADIANS($D$8))</f>
        <v>0</v>
      </c>
      <c r="R14" s="12" t="n">
        <f aca="false">COS(RADIANS($D$8))</f>
        <v>1</v>
      </c>
      <c r="S14" s="34" t="n">
        <v>0</v>
      </c>
      <c r="T14" s="34" t="n">
        <v>0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12" t="n">
        <f aca="false">$D$7</f>
        <v>0.22</v>
      </c>
      <c r="E15" s="34" t="n">
        <v>0</v>
      </c>
      <c r="G15" s="34" t="n">
        <v>0</v>
      </c>
      <c r="H15" s="12" t="n">
        <f aca="false">SIN(RADIANS($B$8))</f>
        <v>0</v>
      </c>
      <c r="I15" s="12" t="n">
        <f aca="false">COS(RADIANS($B$8))</f>
        <v>1</v>
      </c>
      <c r="J15" s="34" t="n">
        <v>0</v>
      </c>
      <c r="L15" s="12" t="n">
        <f aca="false">-SIN(RADIANS($C$8))</f>
        <v>0.707106781186548</v>
      </c>
      <c r="M15" s="34" t="n">
        <v>0</v>
      </c>
      <c r="N15" s="12" t="n">
        <f aca="false">COS(RADIANS($C$8))</f>
        <v>0.707106781186548</v>
      </c>
      <c r="O15" s="34" t="n">
        <v>0</v>
      </c>
      <c r="Q15" s="34" t="n">
        <v>0</v>
      </c>
      <c r="R15" s="34" t="n">
        <v>0</v>
      </c>
      <c r="S15" s="34" t="n">
        <v>1</v>
      </c>
      <c r="T15" s="34" t="n">
        <v>0</v>
      </c>
    </row>
    <row r="16" customFormat="false" ht="15" hidden="false" customHeight="false" outlineLevel="0" collapsed="false">
      <c r="B16" s="34" t="n">
        <v>0</v>
      </c>
      <c r="C16" s="34" t="n">
        <v>0</v>
      </c>
      <c r="D16" s="34" t="n">
        <v>0</v>
      </c>
      <c r="E16" s="34" t="n">
        <v>1</v>
      </c>
      <c r="G16" s="34" t="n">
        <v>0</v>
      </c>
      <c r="H16" s="34" t="n">
        <v>0</v>
      </c>
      <c r="I16" s="34" t="n">
        <v>0</v>
      </c>
      <c r="J16" s="34" t="n">
        <v>1</v>
      </c>
      <c r="L16" s="34" t="n">
        <v>0</v>
      </c>
      <c r="M16" s="34" t="n">
        <v>0</v>
      </c>
      <c r="N16" s="34" t="n">
        <v>0</v>
      </c>
      <c r="O16" s="34" t="n">
        <v>1</v>
      </c>
      <c r="Q16" s="34" t="n">
        <v>0</v>
      </c>
      <c r="R16" s="34" t="n">
        <v>0</v>
      </c>
      <c r="S16" s="34" t="n">
        <v>0</v>
      </c>
      <c r="T16" s="34" t="n">
        <v>1</v>
      </c>
    </row>
    <row r="18" customFormat="false" ht="15" hidden="false" customHeight="false" outlineLevel="0" collapsed="false">
      <c r="B18" s="10" t="s">
        <v>577</v>
      </c>
      <c r="G18" s="10" t="s">
        <v>578</v>
      </c>
      <c r="L18" s="10" t="s">
        <v>579</v>
      </c>
      <c r="Q18" s="10" t="s">
        <v>580</v>
      </c>
    </row>
    <row r="19" customFormat="false" ht="15" hidden="false" customHeight="false" outlineLevel="0" collapsed="false">
      <c r="B19" s="34" t="n">
        <v>1</v>
      </c>
      <c r="C19" s="34" t="n">
        <v>0</v>
      </c>
      <c r="D19" s="3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34" t="n">
        <v>0</v>
      </c>
      <c r="C20" s="34" t="n">
        <v>1</v>
      </c>
      <c r="D20" s="3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34" t="n">
        <v>0</v>
      </c>
      <c r="C21" s="34" t="n">
        <v>0</v>
      </c>
      <c r="D21" s="3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34" t="n">
        <v>0</v>
      </c>
      <c r="C22" s="34" t="n">
        <v>0</v>
      </c>
      <c r="D22" s="34" t="n">
        <v>0</v>
      </c>
      <c r="E22" s="3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581</v>
      </c>
      <c r="G24" s="10" t="s">
        <v>582</v>
      </c>
      <c r="L24" s="10" t="s">
        <v>583</v>
      </c>
      <c r="Q24" s="10" t="s">
        <v>584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35" t="n">
        <v>0.01767767</v>
      </c>
      <c r="H25" s="9" t="n">
        <v>0</v>
      </c>
      <c r="I25" s="35" t="n">
        <v>-0.155563489</v>
      </c>
      <c r="J25" s="3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3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3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3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35" t="n">
        <v>0.01767767</v>
      </c>
      <c r="H27" s="9" t="n">
        <v>0</v>
      </c>
      <c r="I27" s="35" t="n">
        <v>0.155563489</v>
      </c>
      <c r="J27" s="3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35" t="n">
        <v>8.7E-008</v>
      </c>
      <c r="R27" s="9" t="n">
        <v>0</v>
      </c>
      <c r="S27" s="9" t="n">
        <v>-1</v>
      </c>
      <c r="T27" s="3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585</v>
      </c>
      <c r="G30" s="10" t="s">
        <v>586</v>
      </c>
      <c r="L30" s="10" t="s">
        <v>587</v>
      </c>
      <c r="Q30" s="10" t="s">
        <v>588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35" t="n">
        <v>-0.017677672</v>
      </c>
      <c r="H31" s="9" t="n">
        <v>0</v>
      </c>
      <c r="I31" s="35" t="n">
        <v>0.155563474</v>
      </c>
      <c r="J31" s="3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35" t="n">
        <v>0.017999999</v>
      </c>
      <c r="I32" s="9" t="n">
        <v>0</v>
      </c>
      <c r="J32" s="3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35" t="n">
        <v>-0.017677669</v>
      </c>
      <c r="H33" s="9" t="n">
        <v>0</v>
      </c>
      <c r="I33" s="35" t="n">
        <v>-0.155563504</v>
      </c>
      <c r="J33" s="3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589</v>
      </c>
      <c r="G36" s="10" t="s">
        <v>590</v>
      </c>
      <c r="Q36" s="10" t="s">
        <v>591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592</v>
      </c>
      <c r="H37" s="3"/>
      <c r="I37" s="3"/>
      <c r="J37" s="3"/>
      <c r="L37" s="3" t="s">
        <v>564</v>
      </c>
      <c r="M37" s="3" t="s">
        <v>565</v>
      </c>
      <c r="N37" s="3" t="s">
        <v>566</v>
      </c>
      <c r="O37" s="3" t="s">
        <v>567</v>
      </c>
      <c r="Q37" s="3" t="s">
        <v>134</v>
      </c>
      <c r="R37" s="3"/>
      <c r="S37" s="3"/>
      <c r="T37" s="3" t="s">
        <v>593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594</v>
      </c>
      <c r="H38" s="4"/>
      <c r="I38" s="4"/>
      <c r="J38" s="4"/>
      <c r="L38" s="17" t="n">
        <f aca="false">B10</f>
        <v>0.5</v>
      </c>
      <c r="M38" s="17" t="n">
        <f aca="false">C10</f>
        <v>0.5</v>
      </c>
      <c r="N38" s="17" t="n">
        <f aca="false">D10</f>
        <v>0.5</v>
      </c>
      <c r="O38" s="17" t="n">
        <f aca="false">E10</f>
        <v>1</v>
      </c>
      <c r="Q38" s="4" t="s">
        <v>595</v>
      </c>
      <c r="R38" s="4"/>
      <c r="S38" s="4"/>
      <c r="T38" s="36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596</v>
      </c>
      <c r="H39" s="4"/>
      <c r="I39" s="4"/>
      <c r="J39" s="4"/>
      <c r="L39" s="17" t="n">
        <f aca="false">B31*L38+C31*M38+D31*N38+E31*O38</f>
        <v>0.175008894401956</v>
      </c>
      <c r="M39" s="17" t="n">
        <f aca="false">B32*L38+C32*M38+D32*N38+E32*O38</f>
        <v>7.509</v>
      </c>
      <c r="N39" s="17" t="n">
        <f aca="false">B33*L38+C33*M38+D33*N38+E33*O38</f>
        <v>12.3073134040789</v>
      </c>
      <c r="O39" s="17" t="n">
        <f aca="false">B34*L38+C34*M38+D34*N38+E34*O38</f>
        <v>1</v>
      </c>
      <c r="Q39" s="4" t="s">
        <v>597</v>
      </c>
      <c r="R39" s="4"/>
      <c r="S39" s="4"/>
      <c r="T39" s="36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598</v>
      </c>
      <c r="H40" s="4"/>
      <c r="I40" s="4"/>
      <c r="J40" s="4"/>
      <c r="L40" s="17" t="n">
        <f aca="false">Q31*L39+R31*M39+S31*N39+T31*O39</f>
        <v>-6.37346650406892</v>
      </c>
      <c r="M40" s="17" t="n">
        <f aca="false">Q32*L39+R32*M39+S32*N39+T32*O39</f>
        <v>1.1972726421969</v>
      </c>
      <c r="N40" s="17" t="n">
        <f aca="false">Q33*L39+R33*M39+S33*N39+T33*O39</f>
        <v>-21.571937589427</v>
      </c>
      <c r="O40" s="17" t="n">
        <f aca="false">Q34*L39+R34*M39+S34*N39+T34*O39</f>
        <v>1</v>
      </c>
      <c r="Q40" s="4" t="s">
        <v>599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600</v>
      </c>
      <c r="H41" s="4"/>
      <c r="I41" s="4"/>
      <c r="J41" s="4"/>
      <c r="L41" s="17" t="n">
        <f aca="false">B37*L40+C37*M40+D37*N40+E37*O40</f>
        <v>-7.68821795190656</v>
      </c>
      <c r="M41" s="17" t="n">
        <f aca="false">B38*L40+C38*M40+D38*N40+E38*O40</f>
        <v>2.56755946692802</v>
      </c>
      <c r="N41" s="17" t="n">
        <f aca="false">B39*L40+C39*M40+D39*N40+E39*O40</f>
        <v>21.4755248779659</v>
      </c>
      <c r="O41" s="17" t="n">
        <f aca="false">B40*L40+C40*M40+D40*N40+E40*O40</f>
        <v>21.571937589427</v>
      </c>
      <c r="Q41" s="4" t="s">
        <v>601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602</v>
      </c>
      <c r="H42" s="4"/>
      <c r="I42" s="4"/>
      <c r="J42" s="4"/>
      <c r="L42" s="17" t="n">
        <f aca="false">L41/O41</f>
        <v>-0.356399044825476</v>
      </c>
      <c r="M42" s="17" t="n">
        <f aca="false">M41/O41</f>
        <v>0.119023126980789</v>
      </c>
      <c r="N42" s="17" t="n">
        <f aca="false">N41/O41</f>
        <v>0.995530642017604</v>
      </c>
      <c r="O42" s="17" t="n">
        <f aca="false">O41/O41</f>
        <v>1</v>
      </c>
    </row>
    <row r="43" customFormat="false" ht="15" hidden="false" customHeight="false" outlineLevel="0" collapsed="false">
      <c r="G43" s="4" t="s">
        <v>603</v>
      </c>
      <c r="H43" s="4"/>
      <c r="I43" s="4"/>
      <c r="J43" s="4"/>
      <c r="L43" s="17" t="n">
        <f aca="false">(L42*0.5+0.5)*View_Projection!$B$12</f>
        <v>617.856916967543</v>
      </c>
      <c r="M43" s="17" t="n">
        <f aca="false">(1-(M42*0.5+0.5))*View_Projection!$B$13</f>
        <v>475.727511430374</v>
      </c>
      <c r="N43" s="17" t="n">
        <f aca="false">N42*0.5+0.5</f>
        <v>0.997765321008802</v>
      </c>
      <c r="O43" s="14" t="s">
        <v>22</v>
      </c>
    </row>
    <row r="44" customFormat="false" ht="15" hidden="false" customHeight="false" outlineLevel="0" collapsed="false">
      <c r="G44" s="2" t="s">
        <v>604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606</v>
      </c>
    </row>
    <row r="5" customFormat="false" ht="15" hidden="false" customHeight="false" outlineLevel="0" collapsed="false">
      <c r="A5" s="10" t="s">
        <v>607</v>
      </c>
    </row>
    <row r="6" customFormat="false" ht="15" hidden="false" customHeight="false" outlineLevel="0" collapsed="false">
      <c r="A6" s="3"/>
      <c r="B6" s="3" t="s">
        <v>564</v>
      </c>
      <c r="C6" s="3" t="s">
        <v>565</v>
      </c>
      <c r="D6" s="3" t="s">
        <v>566</v>
      </c>
    </row>
    <row r="7" customFormat="false" ht="15" hidden="false" customHeight="false" outlineLevel="0" collapsed="false">
      <c r="A7" s="4" t="s">
        <v>608</v>
      </c>
      <c r="B7" s="13" t="n">
        <v>0.35</v>
      </c>
      <c r="C7" s="13" t="n">
        <v>3.8571</v>
      </c>
      <c r="D7" s="13" t="n">
        <v>1.245</v>
      </c>
    </row>
    <row r="8" customFormat="false" ht="15" hidden="false" customHeight="false" outlineLevel="0" collapsed="false">
      <c r="A8" s="4" t="s">
        <v>609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4" t="s">
        <v>10</v>
      </c>
      <c r="B9" s="13" t="n">
        <v>-1.675</v>
      </c>
      <c r="C9" s="13" t="n">
        <v>-1.82145</v>
      </c>
      <c r="D9" s="13" t="n">
        <v>4.2625</v>
      </c>
    </row>
    <row r="11" customFormat="false" ht="15" hidden="false" customHeight="false" outlineLevel="0" collapsed="false">
      <c r="B11" s="10" t="s">
        <v>610</v>
      </c>
      <c r="G11" s="10" t="s">
        <v>611</v>
      </c>
      <c r="L11" s="10" t="s">
        <v>612</v>
      </c>
      <c r="Q11" s="10" t="s">
        <v>613</v>
      </c>
    </row>
    <row r="12" customFormat="false" ht="15" hidden="false" customHeight="false" outlineLevel="0" collapsed="false">
      <c r="B12" s="12" t="n">
        <f aca="false">(COS(RADIANS($C$8))*COS(RADIANS($D$8))+SIN(RADIANS($C$8))*SIN(RADIANS($B$8))*SIN(RADIANS($D$8)))*$B$7</f>
        <v>0.35</v>
      </c>
      <c r="C12" s="12" t="n">
        <f aca="false">(-COS(RADIANS($C$8))*SIN(RADIANS($D$8))+SIN(RADIANS($C$8))*SIN(RADIANS($B$8))*COS(RADIANS($D$8)))*$C$7</f>
        <v>0</v>
      </c>
      <c r="D12" s="12" t="n">
        <f aca="false">(SIN(RADIANS($C$8))*COS(RADIANS($B$8)))*$D$7</f>
        <v>0</v>
      </c>
      <c r="E12" s="12" t="n">
        <f aca="false">$B$9</f>
        <v>-1.675</v>
      </c>
      <c r="G12" s="9" t="n">
        <v>1</v>
      </c>
      <c r="H12" s="9" t="n">
        <v>0</v>
      </c>
      <c r="I12" s="9" t="n">
        <v>0</v>
      </c>
      <c r="J12" s="9" t="n">
        <v>0</v>
      </c>
      <c r="L12" s="12" t="n">
        <f aca="false">G12*B12+H12*B13+I12*B14+J12*B15</f>
        <v>0.35</v>
      </c>
      <c r="M12" s="12" t="n">
        <f aca="false">G12*C12+H12*C13+I12*C14+J12*C15</f>
        <v>0</v>
      </c>
      <c r="N12" s="12" t="n">
        <f aca="false">G12*D12+H12*D13+I12*D14+J12*D15</f>
        <v>0</v>
      </c>
      <c r="O12" s="12" t="n">
        <f aca="false">G12*E12+H12*E13+I12*E14+J12*E15</f>
        <v>-1.675</v>
      </c>
      <c r="Q12" s="35" t="n">
        <v>0.35</v>
      </c>
      <c r="R12" s="9" t="n">
        <v>0</v>
      </c>
      <c r="S12" s="9" t="n">
        <v>0</v>
      </c>
      <c r="T12" s="35" t="n">
        <v>-1.6749999</v>
      </c>
    </row>
    <row r="13" customFormat="false" ht="15" hidden="false" customHeight="false" outlineLevel="0" collapsed="false">
      <c r="B13" s="12" t="n">
        <f aca="false">(COS(RADIANS($B$8))*SIN(RADIANS($D$8)))*$B$7</f>
        <v>0</v>
      </c>
      <c r="C13" s="12" t="n">
        <f aca="false">(COS(RADIANS($B$8))*COS(RADIANS($D$8)))*$C$7</f>
        <v>3.8571</v>
      </c>
      <c r="D13" s="12" t="n">
        <f aca="false">(-SIN(RADIANS($B$8)))*$D$7</f>
        <v>-0</v>
      </c>
      <c r="E13" s="12" t="n">
        <f aca="false">$C$9</f>
        <v>-1.82145</v>
      </c>
      <c r="G13" s="9" t="n">
        <v>0</v>
      </c>
      <c r="H13" s="9" t="n">
        <v>1</v>
      </c>
      <c r="I13" s="9" t="n">
        <v>0</v>
      </c>
      <c r="J13" s="9" t="n">
        <v>0</v>
      </c>
      <c r="L13" s="12" t="n">
        <f aca="false">G13*B12+H13*B13+I13*B14+J13*B15</f>
        <v>0</v>
      </c>
      <c r="M13" s="12" t="n">
        <f aca="false">G13*C12+H13*C13+I13*C14+J13*C15</f>
        <v>3.8571</v>
      </c>
      <c r="N13" s="12" t="n">
        <f aca="false">G13*D12+H13*D13+I13*D14+J13*D15</f>
        <v>0</v>
      </c>
      <c r="O13" s="12" t="n">
        <f aca="false">G13*E12+H13*E13+I13*E14+J13*E15</f>
        <v>-1.82145</v>
      </c>
      <c r="Q13" s="9" t="n">
        <v>0</v>
      </c>
      <c r="R13" s="35" t="n">
        <v>3.8571</v>
      </c>
      <c r="S13" s="9" t="n">
        <v>0</v>
      </c>
      <c r="T13" s="35" t="n">
        <v>-1.82145</v>
      </c>
    </row>
    <row r="14" customFormat="false" ht="15" hidden="false" customHeight="false" outlineLevel="0" collapsed="false">
      <c r="B14" s="12" t="n">
        <f aca="false">(-SIN(RADIANS($C$8))*COS(RADIANS($D$8))+COS(RADIANS($C$8))*SIN(RADIANS($B$8))*SIN(RADIANS($D$8)))*$B$7</f>
        <v>0</v>
      </c>
      <c r="C14" s="12" t="n">
        <f aca="false">(SIN(RADIANS($C$8))*SIN(RADIANS($D$8))+COS(RADIANS($C$8))*SIN(RADIANS($B$8))*COS(RADIANS($D$8)))*$C$7</f>
        <v>0</v>
      </c>
      <c r="D14" s="12" t="n">
        <f aca="false">(COS(RADIANS($C$8))*COS(RADIANS($B$8)))*$D$7</f>
        <v>1.245</v>
      </c>
      <c r="E14" s="12" t="n">
        <f aca="false">$D$9</f>
        <v>4.2625</v>
      </c>
      <c r="G14" s="9" t="n">
        <v>0</v>
      </c>
      <c r="H14" s="9" t="n">
        <v>0</v>
      </c>
      <c r="I14" s="9" t="n">
        <v>1</v>
      </c>
      <c r="J14" s="9" t="n">
        <v>0</v>
      </c>
      <c r="L14" s="12" t="n">
        <f aca="false">G14*B12+H14*B13+I14*B14+J14*B15</f>
        <v>0</v>
      </c>
      <c r="M14" s="12" t="n">
        <f aca="false">G14*C12+H14*C13+I14*C14+J14*C15</f>
        <v>0</v>
      </c>
      <c r="N14" s="12" t="n">
        <f aca="false">G14*D12+H14*D13+I14*D14+J14*D15</f>
        <v>1.245</v>
      </c>
      <c r="O14" s="12" t="n">
        <f aca="false">G14*E12+H14*E13+I14*E14+J14*E15</f>
        <v>4.2625</v>
      </c>
      <c r="Q14" s="9" t="n">
        <v>0</v>
      </c>
      <c r="R14" s="9" t="n">
        <v>0</v>
      </c>
      <c r="S14" s="35" t="n">
        <v>1.2449999</v>
      </c>
      <c r="T14" s="35" t="n">
        <v>4.2624998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34" t="n">
        <v>0</v>
      </c>
      <c r="E15" s="34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2" t="n">
        <f aca="false">G15*B12+H15*B13+I15*B14+J15*B15</f>
        <v>0</v>
      </c>
      <c r="M15" s="12" t="n">
        <f aca="false">G15*C12+H15*C13+I15*C14+J15*C15</f>
        <v>0</v>
      </c>
      <c r="N15" s="12" t="n">
        <f aca="false">G15*D12+H15*D13+I15*D14+J15*D15</f>
        <v>0</v>
      </c>
      <c r="O15" s="12" t="n">
        <f aca="false">G15*E12+H15*E13+I15*E14+J15*E15</f>
        <v>1</v>
      </c>
      <c r="Q15" s="9" t="n">
        <v>0</v>
      </c>
      <c r="R15" s="9" t="n">
        <v>0</v>
      </c>
      <c r="S15" s="9" t="n">
        <v>0</v>
      </c>
      <c r="T15" s="9" t="n">
        <v>1</v>
      </c>
    </row>
    <row r="16" customFormat="false" ht="15" hidden="false" customHeight="false" outlineLevel="0" collapsed="false">
      <c r="Q16" s="4" t="s">
        <v>614</v>
      </c>
      <c r="R16" s="4"/>
      <c r="S16" s="4"/>
      <c r="T16" s="17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0" t="s">
        <v>615</v>
      </c>
    </row>
    <row r="18" customFormat="false" ht="15" hidden="false" customHeight="false" outlineLevel="0" collapsed="false">
      <c r="A18" s="3" t="s">
        <v>616</v>
      </c>
      <c r="B18" s="3" t="s">
        <v>564</v>
      </c>
      <c r="C18" s="3" t="s">
        <v>565</v>
      </c>
      <c r="D18" s="3" t="s">
        <v>566</v>
      </c>
      <c r="E18" s="3" t="s">
        <v>567</v>
      </c>
      <c r="F18" s="3"/>
      <c r="G18" s="3" t="s">
        <v>617</v>
      </c>
      <c r="H18" s="3" t="s">
        <v>618</v>
      </c>
      <c r="I18" s="3" t="s">
        <v>619</v>
      </c>
      <c r="L18" s="3" t="s">
        <v>620</v>
      </c>
      <c r="M18" s="13" t="n">
        <v>0.46</v>
      </c>
      <c r="N18" s="3" t="s">
        <v>621</v>
      </c>
      <c r="O18" s="13" t="n">
        <v>0.44</v>
      </c>
    </row>
    <row r="19" customFormat="false" ht="18" hidden="false" customHeight="true" outlineLevel="0" collapsed="false">
      <c r="A19" s="37" t="s">
        <v>622</v>
      </c>
      <c r="B19" s="38" t="n">
        <v>0.5</v>
      </c>
      <c r="C19" s="38" t="n">
        <v>-0.5</v>
      </c>
      <c r="D19" s="38" t="n">
        <v>0.5</v>
      </c>
      <c r="E19" s="38" t="n">
        <v>1</v>
      </c>
      <c r="G19" s="17" t="n">
        <f aca="false">L12*B19+M12*C19+N12*D19+O12*E19</f>
        <v>-1.5</v>
      </c>
      <c r="H19" s="17" t="n">
        <f aca="false">L13*B19+M13*C19+N13*D19+O13*E19</f>
        <v>-3.75</v>
      </c>
      <c r="I19" s="17" t="n">
        <f aca="false">L14*B19+M14*C19+N14*D19+O14*E19</f>
        <v>4.885</v>
      </c>
      <c r="L19" s="3" t="s">
        <v>623</v>
      </c>
      <c r="M19" s="3" t="s">
        <v>624</v>
      </c>
      <c r="N19" s="3" t="s">
        <v>625</v>
      </c>
      <c r="O19" s="3" t="s">
        <v>626</v>
      </c>
      <c r="P19" s="3" t="s">
        <v>627</v>
      </c>
      <c r="Q19" s="3" t="s">
        <v>628</v>
      </c>
      <c r="R19" s="3" t="s">
        <v>629</v>
      </c>
      <c r="S19" s="3" t="s">
        <v>630</v>
      </c>
    </row>
    <row r="20" customFormat="false" ht="15" hidden="false" customHeight="false" outlineLevel="0" collapsed="false">
      <c r="A20" s="37" t="s">
        <v>631</v>
      </c>
      <c r="B20" s="38" t="n">
        <v>0.5</v>
      </c>
      <c r="C20" s="38" t="n">
        <v>-0.5</v>
      </c>
      <c r="D20" s="38" t="n">
        <v>-0.5</v>
      </c>
      <c r="E20" s="38" t="n">
        <v>1</v>
      </c>
      <c r="G20" s="17" t="n">
        <f aca="false">L12*B20+M12*C20+N12*D20+O12*E20</f>
        <v>-1.5</v>
      </c>
      <c r="H20" s="17" t="n">
        <f aca="false">L13*B20+M13*C20+N13*D20+O13*E20</f>
        <v>-3.75</v>
      </c>
      <c r="I20" s="17" t="n">
        <f aca="false">L14*B20+M14*C20+N14*D20+O14*E20</f>
        <v>3.64</v>
      </c>
      <c r="L20" s="39" t="n">
        <v>0</v>
      </c>
      <c r="M20" s="38" t="n">
        <v>32.771</v>
      </c>
      <c r="N20" s="38" t="n">
        <v>26.1137</v>
      </c>
      <c r="O20" s="17" t="n">
        <f aca="false">$M$18*SIN(RADIANS(M20))+$O$18*SIN(RADIANS(M20-N20))</f>
        <v>0.29999947535178</v>
      </c>
      <c r="P20" s="17" t="n">
        <f aca="false">-$M$18*COS(RADIANS(M20))-$O$18*COS(RADIANS(M20-N20))</f>
        <v>-0.823819934556952</v>
      </c>
      <c r="Q20" s="13" t="n">
        <v>0.3</v>
      </c>
      <c r="R20" s="13" t="n">
        <v>-0.82382</v>
      </c>
      <c r="S20" s="40" t="n">
        <f aca="false">SQRT((O20-Q20)^2+(P20-R20)^2)</f>
        <v>5.28714050873849E-007</v>
      </c>
    </row>
    <row r="21" customFormat="false" ht="15" hidden="false" customHeight="false" outlineLevel="0" collapsed="false">
      <c r="A21" s="37" t="s">
        <v>632</v>
      </c>
      <c r="B21" s="38" t="n">
        <v>0.5</v>
      </c>
      <c r="C21" s="38" t="n">
        <v>0.5</v>
      </c>
      <c r="D21" s="38" t="n">
        <v>-0.5</v>
      </c>
      <c r="E21" s="38" t="n">
        <v>1</v>
      </c>
      <c r="G21" s="17" t="n">
        <f aca="false">L12*B21+M12*C21+N12*D21+O12*E21</f>
        <v>-1.5</v>
      </c>
      <c r="H21" s="17" t="n">
        <f aca="false">L13*B21+M13*C21+N13*D21+O13*E21</f>
        <v>0.1071</v>
      </c>
      <c r="I21" s="17" t="n">
        <f aca="false">L14*B21+M14*C21+N14*D21+O14*E21</f>
        <v>3.64</v>
      </c>
      <c r="L21" s="39" t="n">
        <v>0.125</v>
      </c>
      <c r="M21" s="38" t="n">
        <v>30.0534</v>
      </c>
      <c r="N21" s="38" t="n">
        <v>42.2385</v>
      </c>
      <c r="O21" s="17" t="n">
        <f aca="false">$M$18*SIN(RADIANS(M21))+$O$18*SIN(RADIANS(M21-N21))</f>
        <v>0.137500117112491</v>
      </c>
      <c r="P21" s="17" t="n">
        <f aca="false">-$M$18*COS(RADIANS(M21))-$O$18*COS(RADIANS(M21-N21))</f>
        <v>-0.828244310940064</v>
      </c>
      <c r="Q21" s="13" t="n">
        <v>0.1375</v>
      </c>
      <c r="R21" s="13" t="n">
        <v>-0.828244</v>
      </c>
      <c r="S21" s="40" t="n">
        <f aca="false">SQRT((O21-Q21)^2+(P21-R21)^2)</f>
        <v>3.32263538601799E-007</v>
      </c>
    </row>
    <row r="22" customFormat="false" ht="15" hidden="false" customHeight="false" outlineLevel="0" collapsed="false">
      <c r="A22" s="37" t="s">
        <v>633</v>
      </c>
      <c r="B22" s="38" t="n">
        <v>0.5</v>
      </c>
      <c r="C22" s="38" t="n">
        <v>0.5</v>
      </c>
      <c r="D22" s="38" t="n">
        <v>0.5</v>
      </c>
      <c r="E22" s="38" t="n">
        <v>1</v>
      </c>
      <c r="G22" s="17" t="n">
        <f aca="false">L12*B22+M12*C22+N12*D22+O12*E22</f>
        <v>-1.5</v>
      </c>
      <c r="H22" s="17" t="n">
        <f aca="false">L13*B22+M13*C22+N13*D22+O13*E22</f>
        <v>0.1071</v>
      </c>
      <c r="I22" s="17" t="n">
        <f aca="false">L14*B22+M14*C22+N14*D22+O14*E22</f>
        <v>4.885</v>
      </c>
      <c r="L22" s="39" t="n">
        <v>0.25</v>
      </c>
      <c r="M22" s="38" t="n">
        <v>15.7984</v>
      </c>
      <c r="N22" s="38" t="n">
        <v>35.7634</v>
      </c>
      <c r="O22" s="17" t="n">
        <f aca="false">$M$18*SIN(RADIANS(M22))+$O$18*SIN(RADIANS(M22-N22))</f>
        <v>-0.024999710456192</v>
      </c>
      <c r="P22" s="17" t="n">
        <f aca="false">-$M$18*COS(RADIANS(M22))-$O$18*COS(RADIANS(M22-N22))</f>
        <v>-0.856180378872142</v>
      </c>
      <c r="Q22" s="13" t="n">
        <v>-0.025</v>
      </c>
      <c r="R22" s="13" t="n">
        <v>-0.85618</v>
      </c>
      <c r="S22" s="40" t="n">
        <f aca="false">SQRT((O22-Q22)^2+(P22-R22)^2)</f>
        <v>4.7684349284949E-007</v>
      </c>
    </row>
    <row r="23" customFormat="false" ht="15" hidden="false" customHeight="false" outlineLevel="0" collapsed="false">
      <c r="A23" s="37" t="s">
        <v>634</v>
      </c>
      <c r="B23" s="38" t="n">
        <v>-0.5</v>
      </c>
      <c r="C23" s="38" t="n">
        <v>-0.5</v>
      </c>
      <c r="D23" s="38" t="n">
        <v>-0.5</v>
      </c>
      <c r="E23" s="38" t="n">
        <v>1</v>
      </c>
      <c r="G23" s="17" t="n">
        <f aca="false">L12*B23+M12*C23+N12*D23+O12*E23</f>
        <v>-1.85</v>
      </c>
      <c r="H23" s="17" t="n">
        <f aca="false">L13*B23+M13*C23+N13*D23+O13*E23</f>
        <v>-3.75</v>
      </c>
      <c r="I23" s="17" t="n">
        <f aca="false">L14*B23+M14*C23+N14*D23+O14*E23</f>
        <v>3.64</v>
      </c>
      <c r="L23" s="39" t="n">
        <v>0.375</v>
      </c>
      <c r="M23" s="38" t="n">
        <v>1.5555</v>
      </c>
      <c r="N23" s="38" t="n">
        <v>28.5892</v>
      </c>
      <c r="O23" s="17" t="n">
        <f aca="false">$M$18*SIN(RADIANS(M23))+$O$18*SIN(RADIANS(M23-N23))</f>
        <v>-0.187499555139458</v>
      </c>
      <c r="P23" s="17" t="n">
        <f aca="false">-$M$18*COS(RADIANS(M23))-$O$18*COS(RADIANS(M23-N23))</f>
        <v>-0.851755801029609</v>
      </c>
      <c r="Q23" s="13" t="n">
        <v>-0.1875</v>
      </c>
      <c r="R23" s="13" t="n">
        <v>-0.851756</v>
      </c>
      <c r="S23" s="40" t="n">
        <f aca="false">SQRT((O23-Q23)^2+(P23-R23)^2)</f>
        <v>4.87329579203418E-007</v>
      </c>
    </row>
    <row r="24" customFormat="false" ht="15" hidden="false" customHeight="false" outlineLevel="0" collapsed="false">
      <c r="A24" s="37" t="s">
        <v>635</v>
      </c>
      <c r="B24" s="38" t="n">
        <v>-0.5</v>
      </c>
      <c r="C24" s="38" t="n">
        <v>-0.5</v>
      </c>
      <c r="D24" s="38" t="n">
        <v>0.5</v>
      </c>
      <c r="E24" s="38" t="n">
        <v>1</v>
      </c>
      <c r="G24" s="17" t="n">
        <f aca="false">L12*B24+M12*C24+N12*D24+O12*E24</f>
        <v>-1.85</v>
      </c>
      <c r="H24" s="17" t="n">
        <f aca="false">L13*B24+M13*C24+N13*D24+O13*E24</f>
        <v>-3.75</v>
      </c>
      <c r="I24" s="17" t="n">
        <f aca="false">L14*B24+M14*C24+N14*D24+O14*E24</f>
        <v>4.885</v>
      </c>
      <c r="L24" s="39" t="n">
        <v>0.5</v>
      </c>
      <c r="M24" s="38" t="n">
        <v>-6.5205</v>
      </c>
      <c r="N24" s="38" t="n">
        <v>36.0684</v>
      </c>
      <c r="O24" s="17" t="n">
        <f aca="false">$M$18*SIN(RADIANS(M24))+$O$18*SIN(RADIANS(M24-N24))</f>
        <v>-0.349999676343599</v>
      </c>
      <c r="P24" s="17" t="n">
        <f aca="false">-$M$18*COS(RADIANS(M24))-$O$18*COS(RADIANS(M24-N24))</f>
        <v>-0.780964803292502</v>
      </c>
      <c r="Q24" s="13" t="n">
        <v>-0.35</v>
      </c>
      <c r="R24" s="13" t="n">
        <v>-0.780965</v>
      </c>
      <c r="S24" s="40" t="n">
        <f aca="false">SQRT((O24-Q24)^2+(P24-R24)^2)</f>
        <v>3.78744379874963E-007</v>
      </c>
    </row>
    <row r="25" customFormat="false" ht="15" hidden="false" customHeight="false" outlineLevel="0" collapsed="false">
      <c r="A25" s="37" t="s">
        <v>636</v>
      </c>
      <c r="B25" s="38" t="n">
        <v>-0.5</v>
      </c>
      <c r="C25" s="38" t="n">
        <v>0.5</v>
      </c>
      <c r="D25" s="38" t="n">
        <v>0.5</v>
      </c>
      <c r="E25" s="38" t="n">
        <v>1</v>
      </c>
      <c r="G25" s="17" t="n">
        <f aca="false">L12*B25+M12*C25+N12*D25+O12*E25</f>
        <v>-1.85</v>
      </c>
      <c r="H25" s="17" t="n">
        <f aca="false">L13*B25+M13*C25+N13*D25+O13*E25</f>
        <v>0.1071</v>
      </c>
      <c r="I25" s="17" t="n">
        <f aca="false">L14*B25+M14*C25+N14*D25+O14*E25</f>
        <v>4.885</v>
      </c>
      <c r="L25" s="39" t="n">
        <v>0.625</v>
      </c>
      <c r="M25" s="38" t="n">
        <v>-21.1388</v>
      </c>
      <c r="N25" s="38" t="n">
        <v>24.1828</v>
      </c>
      <c r="O25" s="17" t="n">
        <f aca="false">$M$18*SIN(RADIANS(M25))+$O$18*SIN(RADIANS(M25-N25))</f>
        <v>-0.478757537348272</v>
      </c>
      <c r="P25" s="17" t="n">
        <f aca="false">-$M$18*COS(RADIANS(M25))-$O$18*COS(RADIANS(M25-N25))</f>
        <v>-0.738422128936188</v>
      </c>
      <c r="Q25" s="13" t="n">
        <v>-0.478757</v>
      </c>
      <c r="R25" s="13" t="n">
        <v>-0.738423</v>
      </c>
      <c r="S25" s="40" t="n">
        <f aca="false">SQRT((O25-Q25)^2+(P25-R25)^2)</f>
        <v>1.02347219279572E-006</v>
      </c>
    </row>
    <row r="26" customFormat="false" ht="15" hidden="false" customHeight="false" outlineLevel="0" collapsed="false">
      <c r="A26" s="37" t="s">
        <v>637</v>
      </c>
      <c r="B26" s="38" t="n">
        <v>-0.5</v>
      </c>
      <c r="C26" s="38" t="n">
        <v>0.5</v>
      </c>
      <c r="D26" s="38" t="n">
        <v>-0.5</v>
      </c>
      <c r="E26" s="38" t="n">
        <v>1</v>
      </c>
      <c r="G26" s="17" t="n">
        <f aca="false">L12*B26+M12*C26+N12*D26+O12*E26</f>
        <v>-1.85</v>
      </c>
      <c r="H26" s="17" t="n">
        <f aca="false">L13*B26+M13*C26+N13*D26+O13*E26</f>
        <v>0.1071</v>
      </c>
      <c r="I26" s="17" t="n">
        <f aca="false">L14*B26+M14*C26+N14*D26+O14*E26</f>
        <v>3.64</v>
      </c>
      <c r="L26" s="39" t="n">
        <v>0.75</v>
      </c>
      <c r="M26" s="38" t="n">
        <v>8.2873</v>
      </c>
      <c r="N26" s="38" t="n">
        <v>59.2127</v>
      </c>
      <c r="O26" s="17" t="n">
        <f aca="false">$M$18*SIN(RADIANS(M26))+$O$18*SIN(RADIANS(M26-N26))</f>
        <v>-0.27528044724403</v>
      </c>
      <c r="P26" s="17" t="n">
        <f aca="false">-$M$18*COS(RADIANS(M26))-$O$18*COS(RADIANS(M26-N26))</f>
        <v>-0.732542524605074</v>
      </c>
      <c r="Q26" s="13" t="n">
        <v>-0.275281</v>
      </c>
      <c r="R26" s="13" t="n">
        <v>-0.732542</v>
      </c>
      <c r="S26" s="40" t="n">
        <f aca="false">SQRT((O26-Q26)^2+(P26-R26)^2)</f>
        <v>7.62069318733735E-007</v>
      </c>
    </row>
    <row r="27" customFormat="false" ht="15" hidden="false" customHeight="false" outlineLevel="0" collapsed="false">
      <c r="L27" s="39" t="n">
        <v>0.875</v>
      </c>
      <c r="M27" s="38" t="n">
        <v>41.894</v>
      </c>
      <c r="N27" s="38" t="n">
        <v>59.9294</v>
      </c>
      <c r="O27" s="17" t="n">
        <f aca="false">$M$18*SIN(RADIANS(M27))+$O$18*SIN(RADIANS(M27-N27))</f>
        <v>0.170941120902351</v>
      </c>
      <c r="P27" s="17" t="n">
        <f aca="false">-$M$18*COS(RADIANS(M27))-$O$18*COS(RADIANS(M27-N27))</f>
        <v>-0.760796259875709</v>
      </c>
      <c r="Q27" s="13" t="n">
        <v>0.170941</v>
      </c>
      <c r="R27" s="13" t="n">
        <v>-0.760796</v>
      </c>
      <c r="S27" s="40" t="n">
        <f aca="false">SQRT((O27-Q27)^2+(P27-R27)^2)</f>
        <v>2.86623032393082E-007</v>
      </c>
    </row>
    <row r="28" customFormat="false" ht="15" hidden="false" customHeight="false" outlineLevel="0" collapsed="false">
      <c r="L28" s="39" t="n">
        <v>1</v>
      </c>
      <c r="M28" s="38" t="n">
        <v>32.771</v>
      </c>
      <c r="N28" s="38" t="n">
        <v>26.1137</v>
      </c>
      <c r="O28" s="17" t="n">
        <f aca="false">$M$18*SIN(RADIANS(M28))+$O$18*SIN(RADIANS(M28-N28))</f>
        <v>0.29999947535178</v>
      </c>
      <c r="P28" s="17" t="n">
        <f aca="false">-$M$18*COS(RADIANS(M28))-$O$18*COS(RADIANS(M28-N28))</f>
        <v>-0.823819934556952</v>
      </c>
      <c r="Q28" s="13" t="n">
        <v>0.3</v>
      </c>
      <c r="R28" s="13" t="n">
        <v>-0.82382</v>
      </c>
      <c r="S28" s="40" t="n">
        <f aca="false">SQRT((O28-Q28)^2+(P28-R28)^2)</f>
        <v>5.28714050873849E-007</v>
      </c>
    </row>
    <row r="29" customFormat="false" ht="15" hidden="false" customHeight="false" outlineLevel="0" collapsed="false">
      <c r="A29" s="10" t="s">
        <v>638</v>
      </c>
    </row>
    <row r="30" customFormat="false" ht="15" hidden="false" customHeight="false" outlineLevel="0" collapsed="false">
      <c r="A30" s="4" t="s">
        <v>639</v>
      </c>
      <c r="B30" s="8" t="n">
        <v>0</v>
      </c>
      <c r="C30" s="4" t="s">
        <v>640</v>
      </c>
      <c r="D30" s="8" t="n">
        <v>50</v>
      </c>
    </row>
    <row r="31" customFormat="false" ht="15" hidden="false" customHeight="false" outlineLevel="0" collapsed="false">
      <c r="B31" s="10" t="s">
        <v>641</v>
      </c>
      <c r="G31" s="4" t="s">
        <v>642</v>
      </c>
      <c r="I31" s="4" t="s">
        <v>643</v>
      </c>
      <c r="K31" s="4" t="s">
        <v>644</v>
      </c>
      <c r="L31" s="4"/>
    </row>
    <row r="32" customFormat="false" ht="15" hidden="false" customHeight="false" outlineLevel="0" collapsed="false">
      <c r="B32" s="9" t="n">
        <v>-1</v>
      </c>
      <c r="C32" s="9" t="n">
        <v>0</v>
      </c>
      <c r="D32" s="35" t="n">
        <v>-1E-007</v>
      </c>
      <c r="G32" s="17" t="n">
        <f aca="false">SIN(RADIANS($B$30))*COS(RADIANS($D$30))</f>
        <v>0</v>
      </c>
      <c r="I32" s="17" t="n">
        <f aca="false">B32*G32+C32*G33+D32*G34</f>
        <v>-6.42787609686539E-008</v>
      </c>
      <c r="K32" s="17" t="n">
        <f aca="false">DEGREES(ASIN(-I33))</f>
        <v>50</v>
      </c>
    </row>
    <row r="33" customFormat="false" ht="15" hidden="false" customHeight="false" outlineLevel="0" collapsed="false">
      <c r="B33" s="9" t="n">
        <v>0</v>
      </c>
      <c r="C33" s="9" t="n">
        <v>1</v>
      </c>
      <c r="D33" s="9" t="n">
        <v>0</v>
      </c>
      <c r="G33" s="17" t="n">
        <f aca="false">-SIN(RADIANS($D$30))</f>
        <v>-0.766044443118978</v>
      </c>
      <c r="I33" s="17" t="n">
        <f aca="false">B33*G32+C33*G33+D33*G34</f>
        <v>-0.766044443118978</v>
      </c>
    </row>
    <row r="34" customFormat="false" ht="15" hidden="false" customHeight="false" outlineLevel="0" collapsed="false">
      <c r="B34" s="35" t="n">
        <v>1E-007</v>
      </c>
      <c r="C34" s="9" t="n">
        <v>0</v>
      </c>
      <c r="D34" s="9" t="n">
        <v>-1</v>
      </c>
      <c r="G34" s="17" t="n">
        <f aca="false">COS(RADIANS($B$30))*COS(RADIANS($D$30))</f>
        <v>0.642787609686539</v>
      </c>
      <c r="I34" s="17" t="n">
        <f aca="false">B34*G32+C34*G33+D34*G34</f>
        <v>-0.642787609686539</v>
      </c>
    </row>
    <row r="36" customFormat="false" ht="15" hidden="false" customHeight="false" outlineLevel="0" collapsed="false">
      <c r="A36" s="2" t="s">
        <v>645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647</v>
      </c>
    </row>
    <row r="4" customFormat="false" ht="15" hidden="false" customHeight="false" outlineLevel="0" collapsed="false">
      <c r="G4" s="10" t="s">
        <v>648</v>
      </c>
    </row>
    <row r="5" customFormat="false" ht="43.5" hidden="false" customHeight="true" outlineLevel="0" collapsed="false">
      <c r="A5" s="3" t="s">
        <v>649</v>
      </c>
      <c r="B5" s="3" t="s">
        <v>564</v>
      </c>
      <c r="C5" s="3" t="s">
        <v>565</v>
      </c>
      <c r="D5" s="3" t="s">
        <v>566</v>
      </c>
      <c r="G5" s="3" t="s">
        <v>650</v>
      </c>
      <c r="H5" s="3" t="s">
        <v>651</v>
      </c>
      <c r="I5" s="3" t="s">
        <v>652</v>
      </c>
      <c r="J5" s="3" t="s">
        <v>653</v>
      </c>
      <c r="K5" s="3" t="s">
        <v>654</v>
      </c>
      <c r="L5" s="3" t="s">
        <v>655</v>
      </c>
      <c r="M5" s="3" t="s">
        <v>656</v>
      </c>
    </row>
    <row r="6" customFormat="false" ht="15" hidden="false" customHeight="false" outlineLevel="0" collapsed="false">
      <c r="A6" s="4" t="s">
        <v>657</v>
      </c>
      <c r="B6" s="13" t="n">
        <v>0</v>
      </c>
      <c r="C6" s="13" t="n">
        <v>0.8</v>
      </c>
      <c r="D6" s="13" t="n">
        <v>0</v>
      </c>
      <c r="G6" s="13" t="n">
        <v>-0.05</v>
      </c>
      <c r="H6" s="17" t="n">
        <f aca="false">((-($B$15+$B$14)/($B$15-$B$14))*G6+(-2*$B$15*$B$14/($B$15-$B$14)))/(-G6)</f>
        <v>-1</v>
      </c>
      <c r="I6" s="17" t="n">
        <f aca="false">0.5*H6+0.5</f>
        <v>0</v>
      </c>
      <c r="J6" s="41" t="n">
        <f aca="false">(1/(2^24-1))*($B$15-$B$14)*G6^2/($B$15*$B$14)</f>
        <v>2.97998406370386E-009</v>
      </c>
      <c r="K6" s="6" t="s">
        <v>658</v>
      </c>
      <c r="L6" s="6" t="s">
        <v>658</v>
      </c>
      <c r="M6" s="6" t="s">
        <v>658</v>
      </c>
    </row>
    <row r="7" customFormat="false" ht="15" hidden="false" customHeight="false" outlineLevel="0" collapsed="false">
      <c r="A7" s="4" t="s">
        <v>659</v>
      </c>
      <c r="B7" s="13" t="n">
        <v>0</v>
      </c>
      <c r="C7" s="13" t="n">
        <v>1</v>
      </c>
      <c r="D7" s="13" t="n">
        <v>0</v>
      </c>
      <c r="G7" s="13" t="n">
        <v>-0.1</v>
      </c>
      <c r="H7" s="17" t="n">
        <f aca="false">((-($B$15+$B$14)/($B$15-$B$14))*G7+(-2*$B$15*$B$14/($B$15-$B$14)))/(-G7)</f>
        <v>8.33402783564918E-005</v>
      </c>
      <c r="I7" s="17" t="n">
        <f aca="false">0.5*H7+0.5</f>
        <v>0.500041670139178</v>
      </c>
      <c r="J7" s="41" t="n">
        <f aca="false">(1/(2^24-1))*($B$15-$B$14)*G7^2/($B$15*$B$14)</f>
        <v>1.19199362548154E-008</v>
      </c>
      <c r="K7" s="6" t="s">
        <v>658</v>
      </c>
      <c r="L7" s="6" t="s">
        <v>658</v>
      </c>
      <c r="M7" s="6" t="s">
        <v>658</v>
      </c>
    </row>
    <row r="8" customFormat="false" ht="15" hidden="false" customHeight="false" outlineLevel="0" collapsed="false">
      <c r="A8" s="4" t="s">
        <v>639</v>
      </c>
      <c r="B8" s="8" t="n">
        <v>32</v>
      </c>
      <c r="G8" s="13" t="n">
        <v>-0.5</v>
      </c>
      <c r="H8" s="17" t="n">
        <f aca="false">((-($B$15+$B$14)/($B$15-$B$14))*G8+(-2*$B$15*$B$14/($B$15-$B$14)))/(-G8)</f>
        <v>0.800150012501042</v>
      </c>
      <c r="I8" s="17" t="n">
        <f aca="false">0.5*H8+0.5</f>
        <v>0.900075006250521</v>
      </c>
      <c r="J8" s="41" t="n">
        <f aca="false">(1/(2^24-1))*($B$15-$B$14)*G8^2/($B$15*$B$14)</f>
        <v>2.97998406370386E-007</v>
      </c>
      <c r="K8" s="17" t="n">
        <f aca="false">((-($B$15+$B$16)/($B$15-$B$16))*G8+(-2*$B$15*$B$16/($B$15-$B$16)))/(-G8)</f>
        <v>-1</v>
      </c>
      <c r="L8" s="17" t="n">
        <f aca="false">0.5*K8+0.5</f>
        <v>0</v>
      </c>
      <c r="M8" s="41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640</v>
      </c>
      <c r="B9" s="8" t="n">
        <v>27</v>
      </c>
      <c r="G9" s="13" t="n">
        <v>-1</v>
      </c>
      <c r="H9" s="17" t="n">
        <f aca="false">((-($B$15+$B$14)/($B$15-$B$14))*G9+(-2*$B$15*$B$14/($B$15-$B$14)))/(-G9)</f>
        <v>0.900158346528877</v>
      </c>
      <c r="I9" s="17" t="n">
        <f aca="false">0.5*H9+0.5</f>
        <v>0.950079173264439</v>
      </c>
      <c r="J9" s="41" t="n">
        <f aca="false">(1/(2^24-1))*($B$15-$B$14)*G9^2/($B$15*$B$14)</f>
        <v>1.19199362548154E-006</v>
      </c>
      <c r="K9" s="17" t="n">
        <f aca="false">((-($B$15+$B$16)/($B$15-$B$16))*G9+(-2*$B$15*$B$16/($B$15-$B$16)))/(-G9)</f>
        <v>0.000834028356964112</v>
      </c>
      <c r="L9" s="17" t="n">
        <f aca="false">0.5*K9+0.5</f>
        <v>0.500417014178482</v>
      </c>
      <c r="M9" s="41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660</v>
      </c>
      <c r="B10" s="8" t="n">
        <v>34</v>
      </c>
      <c r="G10" s="13" t="n">
        <v>-2</v>
      </c>
      <c r="H10" s="17" t="n">
        <f aca="false">((-($B$15+$B$14)/($B$15-$B$14))*G10+(-2*$B$15*$B$14/($B$15-$B$14)))/(-G10)</f>
        <v>0.950162513542795</v>
      </c>
      <c r="I10" s="17" t="n">
        <f aca="false">0.5*H10+0.5</f>
        <v>0.975081256771398</v>
      </c>
      <c r="J10" s="41" t="n">
        <f aca="false">(1/(2^24-1))*($B$15-$B$14)*G10^2/($B$15*$B$14)</f>
        <v>4.76797450192617E-006</v>
      </c>
      <c r="K10" s="17" t="n">
        <f aca="false">((-($B$15+$B$16)/($B$15-$B$16))*G10+(-2*$B$15*$B$16/($B$15-$B$16)))/(-G10)</f>
        <v>0.501251042535446</v>
      </c>
      <c r="L10" s="17" t="n">
        <f aca="false">0.5*K10+0.5</f>
        <v>0.750625521267723</v>
      </c>
      <c r="M10" s="41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661</v>
      </c>
      <c r="B11" s="8" t="n">
        <v>50</v>
      </c>
      <c r="G11" s="13" t="n">
        <v>-5</v>
      </c>
      <c r="H11" s="17" t="n">
        <f aca="false">((-($B$15+$B$14)/($B$15-$B$14))*G11+(-2*$B$15*$B$14/($B$15-$B$14)))/(-G11)</f>
        <v>0.980165013751146</v>
      </c>
      <c r="I11" s="17" t="n">
        <f aca="false">0.5*H11+0.5</f>
        <v>0.990082506875573</v>
      </c>
      <c r="J11" s="41" t="n">
        <f aca="false">(1/(2^24-1))*($B$15-$B$14)*G11^2/($B$15*$B$14)</f>
        <v>2.97998406370386E-005</v>
      </c>
      <c r="K11" s="17" t="n">
        <f aca="false">((-($B$15+$B$16)/($B$15-$B$16))*G11+(-2*$B$15*$B$16/($B$15-$B$16)))/(-G11)</f>
        <v>0.801501251042535</v>
      </c>
      <c r="L11" s="17" t="n">
        <f aca="false">0.5*K11+0.5</f>
        <v>0.900750625521268</v>
      </c>
      <c r="M11" s="41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662</v>
      </c>
      <c r="B12" s="8" t="n">
        <v>1920</v>
      </c>
      <c r="G12" s="13" t="n">
        <v>-10</v>
      </c>
      <c r="H12" s="17" t="n">
        <f aca="false">((-($B$15+$B$14)/($B$15-$B$14))*G12+(-2*$B$15*$B$14/($B$15-$B$14)))/(-G12)</f>
        <v>0.990165847153929</v>
      </c>
      <c r="I12" s="17" t="n">
        <f aca="false">0.5*H12+0.5</f>
        <v>0.995082923576965</v>
      </c>
      <c r="J12" s="41" t="n">
        <f aca="false">(1/(2^24-1))*($B$15-$B$14)*G12^2/($B$15*$B$14)</f>
        <v>0.000119199362548154</v>
      </c>
      <c r="K12" s="17" t="n">
        <f aca="false">((-($B$15+$B$16)/($B$15-$B$16))*G12+(-2*$B$15*$B$16/($B$15-$B$16)))/(-G12)</f>
        <v>0.901584653878232</v>
      </c>
      <c r="L12" s="17" t="n">
        <f aca="false">0.5*K12+0.5</f>
        <v>0.950792326939116</v>
      </c>
      <c r="M12" s="41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663</v>
      </c>
      <c r="B13" s="8" t="n">
        <v>1080</v>
      </c>
      <c r="G13" s="13" t="n">
        <v>-34</v>
      </c>
      <c r="H13" s="17" t="n">
        <f aca="false">((-($B$15+$B$14)/($B$15-$B$14))*G13+(-2*$B$15*$B$14/($B$15-$B$14)))/(-G13)</f>
        <v>0.997225258967659</v>
      </c>
      <c r="I13" s="17" t="n">
        <f aca="false">0.5*H13+0.5</f>
        <v>0.99861262948383</v>
      </c>
      <c r="J13" s="41" t="n">
        <f aca="false">(1/(2^24-1))*($B$15-$B$14)*G13^2/($B$15*$B$14)</f>
        <v>0.00137794463105666</v>
      </c>
      <c r="K13" s="17" t="n">
        <f aca="false">((-($B$15+$B$16)/($B$15-$B$16))*G13+(-2*$B$15*$B$16/($B$15-$B$16)))/(-G13)</f>
        <v>0.972231761762253</v>
      </c>
      <c r="L13" s="17" t="n">
        <f aca="false">0.5*K13+0.5</f>
        <v>0.986115880881126</v>
      </c>
      <c r="M13" s="41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664</v>
      </c>
      <c r="B14" s="13" t="n">
        <v>0.05</v>
      </c>
      <c r="G14" s="13" t="n">
        <v>-50</v>
      </c>
      <c r="H14" s="17" t="n">
        <f aca="false">((-($B$15+$B$14)/($B$15-$B$14))*G14+(-2*$B$15*$B$14/($B$15-$B$14)))/(-G14)</f>
        <v>0.998166513876156</v>
      </c>
      <c r="I14" s="17" t="n">
        <f aca="false">0.5*H14+0.5</f>
        <v>0.999083256938078</v>
      </c>
      <c r="J14" s="41" t="n">
        <f aca="false">(1/(2^24-1))*($B$15-$B$14)*G14^2/($B$15*$B$14)</f>
        <v>0.00297998406370386</v>
      </c>
      <c r="K14" s="17" t="n">
        <f aca="false">((-($B$15+$B$16)/($B$15-$B$16))*G14+(-2*$B$15*$B$16/($B$15-$B$16)))/(-G14)</f>
        <v>0.981651376146789</v>
      </c>
      <c r="L14" s="17" t="n">
        <f aca="false">0.5*K14+0.5</f>
        <v>0.990825688073395</v>
      </c>
      <c r="M14" s="41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665</v>
      </c>
      <c r="B15" s="8" t="n">
        <v>600</v>
      </c>
      <c r="G15" s="13" t="n">
        <v>-100</v>
      </c>
      <c r="H15" s="17" t="n">
        <f aca="false">((-($B$15+$B$14)/($B$15-$B$14))*G15+(-2*$B$15*$B$14/($B$15-$B$14)))/(-G15)</f>
        <v>0.999166597216435</v>
      </c>
      <c r="I15" s="17" t="n">
        <f aca="false">0.5*H15+0.5</f>
        <v>0.999583298608217</v>
      </c>
      <c r="J15" s="41" t="n">
        <f aca="false">(1/(2^24-1))*($B$15-$B$14)*G15^2/($B$15*$B$14)</f>
        <v>0.0119199362548154</v>
      </c>
      <c r="K15" s="17" t="n">
        <f aca="false">((-($B$15+$B$16)/($B$15-$B$16))*G15+(-2*$B$15*$B$16/($B$15-$B$16)))/(-G15)</f>
        <v>0.991659716430359</v>
      </c>
      <c r="L15" s="17" t="n">
        <f aca="false">0.5*K15+0.5</f>
        <v>0.995829858215179</v>
      </c>
      <c r="M15" s="41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666</v>
      </c>
      <c r="B16" s="13" t="n">
        <v>0.5</v>
      </c>
      <c r="G16" s="13" t="n">
        <v>-200</v>
      </c>
      <c r="H16" s="17" t="n">
        <f aca="false">((-($B$15+$B$14)/($B$15-$B$14))*G16+(-2*$B$15*$B$14/($B$15-$B$14)))/(-G16)</f>
        <v>0.999666638886574</v>
      </c>
      <c r="I16" s="17" t="n">
        <f aca="false">0.5*H16+0.5</f>
        <v>0.999833319443287</v>
      </c>
      <c r="J16" s="41" t="n">
        <f aca="false">(1/(2^24-1))*($B$15-$B$14)*G16^2/($B$15*$B$14)</f>
        <v>0.0476797450192617</v>
      </c>
      <c r="K16" s="17" t="n">
        <f aca="false">((-($B$15+$B$16)/($B$15-$B$16))*G16+(-2*$B$15*$B$16/($B$15-$B$16)))/(-G16)</f>
        <v>0.996663886572143</v>
      </c>
      <c r="L16" s="17" t="n">
        <f aca="false">0.5*K16+0.5</f>
        <v>0.998331943286072</v>
      </c>
      <c r="M16" s="41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667</v>
      </c>
      <c r="B17" s="17" t="n">
        <f aca="false">B12/B13</f>
        <v>1.77777777777778</v>
      </c>
      <c r="G17" s="13" t="n">
        <v>-400</v>
      </c>
      <c r="H17" s="17" t="n">
        <f aca="false">((-($B$15+$B$14)/($B$15-$B$14))*G17+(-2*$B$15*$B$14/($B$15-$B$14)))/(-G17)</f>
        <v>0.999916659721643</v>
      </c>
      <c r="I17" s="17" t="n">
        <f aca="false">0.5*H17+0.5</f>
        <v>0.999958329860822</v>
      </c>
      <c r="J17" s="41" t="n">
        <f aca="false">(1/(2^24-1))*($B$15-$B$14)*G17^2/($B$15*$B$14)</f>
        <v>0.190718980077047</v>
      </c>
      <c r="K17" s="17" t="n">
        <f aca="false">((-($B$15+$B$16)/($B$15-$B$16))*G17+(-2*$B$15*$B$16/($B$15-$B$16)))/(-G17)</f>
        <v>0.999165971643036</v>
      </c>
      <c r="L17" s="17" t="n">
        <f aca="false">0.5*K17+0.5</f>
        <v>0.999582985821518</v>
      </c>
      <c r="M17" s="41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668</v>
      </c>
      <c r="B18" s="17" t="n">
        <f aca="false">B6+$B$10*COS(RADIANS($B$9))*SIN(RADIANS($B$8))</f>
        <v>16.0534917386461</v>
      </c>
      <c r="C18" s="17" t="n">
        <f aca="false">C6+$B$10*SIN(RADIANS($B$9))</f>
        <v>16.2356769911446</v>
      </c>
      <c r="D18" s="17" t="n">
        <f aca="false">D6+$B$10*COS(RADIANS($B$9))*COS(RADIANS($B$8))</f>
        <v>25.6909571410306</v>
      </c>
      <c r="G18" s="13" t="n">
        <v>-600</v>
      </c>
      <c r="H18" s="17" t="n">
        <f aca="false">((-($B$15+$B$14)/($B$15-$B$14))*G18+(-2*$B$15*$B$14/($B$15-$B$14)))/(-G18)</f>
        <v>1</v>
      </c>
      <c r="I18" s="17" t="n">
        <f aca="false">0.5*H18+0.5</f>
        <v>1</v>
      </c>
      <c r="J18" s="41" t="n">
        <f aca="false">(1/(2^24-1))*($B$15-$B$14)*G18^2/($B$15*$B$14)</f>
        <v>0.429117705173356</v>
      </c>
      <c r="K18" s="17" t="n">
        <f aca="false">((-($B$15+$B$16)/($B$15-$B$16))*G18+(-2*$B$15*$B$16/($B$15-$B$16)))/(-G18)</f>
        <v>1</v>
      </c>
      <c r="L18" s="17" t="n">
        <f aca="false">0.5*K18+0.5</f>
        <v>1</v>
      </c>
      <c r="M18" s="41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669</v>
      </c>
      <c r="B19" s="17" t="n">
        <f aca="false">B18-B6</f>
        <v>16.0534917386461</v>
      </c>
      <c r="C19" s="17" t="n">
        <f aca="false">C18-C6</f>
        <v>15.4356769911446</v>
      </c>
      <c r="D19" s="17" t="n">
        <f aca="false">D18-D6</f>
        <v>25.6909571410306</v>
      </c>
    </row>
    <row r="20" customFormat="false" ht="15" hidden="false" customHeight="false" outlineLevel="0" collapsed="false">
      <c r="A20" s="4" t="s">
        <v>670</v>
      </c>
      <c r="B20" s="17" t="n">
        <f aca="false">B19/SQRT(B19^2+C19^2+D19^2)</f>
        <v>0.472161521724885</v>
      </c>
      <c r="C20" s="17" t="n">
        <f aca="false">C19/SQRT(B19^2+C19^2+D19^2)</f>
        <v>0.453990499739547</v>
      </c>
      <c r="D20" s="17" t="n">
        <f aca="false">D19/SQRT(B19^2+C19^2+D19^2)</f>
        <v>0.7556163865009</v>
      </c>
      <c r="G20" s="10" t="s">
        <v>671</v>
      </c>
    </row>
    <row r="21" customFormat="false" ht="15" hidden="false" customHeight="false" outlineLevel="0" collapsed="false">
      <c r="A21" s="4" t="s">
        <v>672</v>
      </c>
      <c r="B21" s="17" t="n">
        <f aca="false">C7*D20-D7*C20</f>
        <v>0.7556163865009</v>
      </c>
      <c r="C21" s="17" t="n">
        <f aca="false">D7*B20-B7*D20</f>
        <v>0</v>
      </c>
      <c r="D21" s="17" t="n">
        <f aca="false">B7*C20-C7*B20</f>
        <v>-0.472161521724885</v>
      </c>
      <c r="G21" s="4" t="s">
        <v>673</v>
      </c>
      <c r="H21" s="4"/>
      <c r="I21" s="4"/>
      <c r="J21" s="41" t="n">
        <f aca="false">J15</f>
        <v>0.0119199362548154</v>
      </c>
      <c r="M21" s="41" t="n">
        <f aca="false">M15</f>
        <v>0.00119109955575662</v>
      </c>
    </row>
    <row r="22" customFormat="false" ht="15" hidden="false" customHeight="false" outlineLevel="0" collapsed="false">
      <c r="A22" s="4" t="s">
        <v>674</v>
      </c>
      <c r="B22" s="17" t="n">
        <f aca="false">B21/SQRT(B21^2+C21^2+D21^2)</f>
        <v>0.848048096156426</v>
      </c>
      <c r="C22" s="17" t="n">
        <f aca="false">C21/SQRT(B21^2+C21^2+D21^2)</f>
        <v>0</v>
      </c>
      <c r="D22" s="17" t="n">
        <f aca="false">D21/SQRT(B21^2+C21^2+D21^2)</f>
        <v>-0.529919264233205</v>
      </c>
      <c r="G22" s="4" t="s">
        <v>675</v>
      </c>
      <c r="H22" s="4"/>
      <c r="I22" s="4"/>
      <c r="J22" s="17" t="n">
        <f aca="false">J15/M15</f>
        <v>10.0075062552127</v>
      </c>
    </row>
    <row r="23" customFormat="false" ht="15" hidden="false" customHeight="false" outlineLevel="0" collapsed="false">
      <c r="A23" s="4" t="s">
        <v>676</v>
      </c>
      <c r="B23" s="17" t="n">
        <f aca="false">C20*D22-D20*C22</f>
        <v>-0.240578311590846</v>
      </c>
      <c r="C23" s="17" t="n">
        <f aca="false">D20*B22-B20*D22</f>
        <v>0.891006524188368</v>
      </c>
      <c r="D23" s="17" t="n">
        <f aca="false">B20*C22-C20*B22</f>
        <v>-0.385005778977227</v>
      </c>
      <c r="G23" s="4" t="s">
        <v>677</v>
      </c>
      <c r="H23" s="4"/>
      <c r="I23" s="4"/>
      <c r="J23" s="17" t="n">
        <f aca="false">I9</f>
        <v>0.950079173264439</v>
      </c>
      <c r="M23" s="17" t="n">
        <f aca="false">L9</f>
        <v>0.500417014178482</v>
      </c>
    </row>
    <row r="24" customFormat="false" ht="15" hidden="false" customHeight="false" outlineLevel="0" collapsed="false">
      <c r="A24" s="4" t="s">
        <v>678</v>
      </c>
      <c r="B24" s="17" t="n">
        <f aca="false">ABS(-(C20*D7-D20*C7)-B22*SQRT(B21^2+C21^2+D21^2))+ABS(-(D20*B7-B20*D7)-C22*SQRT(B21^2+C21^2+D21^2))+ABS(-(B20*C7-C20*B7)-D22*SQRT(B21^2+C21^2+D21^2))</f>
        <v>0</v>
      </c>
      <c r="G24" s="4" t="s">
        <v>679</v>
      </c>
      <c r="H24" s="4"/>
      <c r="I24" s="4"/>
      <c r="J24" s="17" t="n">
        <f aca="false">1-I12</f>
        <v>0.00491707642303529</v>
      </c>
      <c r="M24" s="17" t="n">
        <f aca="false">1-L12</f>
        <v>0.0492076730608841</v>
      </c>
    </row>
    <row r="25" customFormat="false" ht="15" hidden="false" customHeight="false" outlineLevel="0" collapsed="false">
      <c r="A25" s="4" t="s">
        <v>680</v>
      </c>
      <c r="B25" s="17" t="n">
        <f aca="false">B22*B23+C22*C23+D22*D23</f>
        <v>0</v>
      </c>
      <c r="C25" s="17" t="n">
        <f aca="false">B22*B20+C22*C20+D22*D20</f>
        <v>0</v>
      </c>
      <c r="D25" s="17" t="n">
        <f aca="false">B23*B20+C23*C20+D23*D20</f>
        <v>0</v>
      </c>
    </row>
    <row r="26" customFormat="false" ht="15" hidden="false" customHeight="false" outlineLevel="0" collapsed="false">
      <c r="G26" s="2" t="s">
        <v>681</v>
      </c>
    </row>
    <row r="27" customFormat="false" ht="15" hidden="false" customHeight="false" outlineLevel="0" collapsed="false">
      <c r="B27" s="10" t="s">
        <v>682</v>
      </c>
      <c r="G27" s="2" t="s">
        <v>683</v>
      </c>
    </row>
    <row r="28" customFormat="false" ht="15" hidden="false" customHeight="false" outlineLevel="0" collapsed="false">
      <c r="A28" s="4" t="s">
        <v>684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685</v>
      </c>
    </row>
    <row r="29" customFormat="false" ht="15" hidden="false" customHeight="false" outlineLevel="0" collapsed="false">
      <c r="A29" s="4" t="s">
        <v>686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687</v>
      </c>
    </row>
    <row r="30" customFormat="false" ht="15" hidden="false" customHeight="false" outlineLevel="0" collapsed="false">
      <c r="A30" s="4" t="s">
        <v>688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689</v>
      </c>
      <c r="B31" s="34" t="n">
        <v>0</v>
      </c>
      <c r="C31" s="34" t="n">
        <v>0</v>
      </c>
      <c r="D31" s="34" t="n">
        <v>0</v>
      </c>
      <c r="E31" s="34" t="n">
        <v>1</v>
      </c>
    </row>
    <row r="33" customFormat="false" ht="15" hidden="false" customHeight="false" outlineLevel="0" collapsed="false">
      <c r="A33" s="4" t="s">
        <v>690</v>
      </c>
      <c r="B33" s="17" t="n">
        <f aca="false">1/TAN(RADIANS($B$11)/2)</f>
        <v>2.14450692050956</v>
      </c>
    </row>
    <row r="34" customFormat="false" ht="15" hidden="false" customHeight="false" outlineLevel="0" collapsed="false">
      <c r="B34" s="10" t="s">
        <v>691</v>
      </c>
    </row>
    <row r="35" customFormat="false" ht="15" hidden="false" customHeight="false" outlineLevel="0" collapsed="false">
      <c r="A35" s="4" t="s">
        <v>692</v>
      </c>
      <c r="B35" s="12" t="n">
        <f aca="false">$B$33/$B$17</f>
        <v>1.20628514278663</v>
      </c>
      <c r="C35" s="34" t="n">
        <v>0</v>
      </c>
      <c r="D35" s="34" t="n">
        <v>0</v>
      </c>
      <c r="E35" s="34" t="n">
        <v>0</v>
      </c>
    </row>
    <row r="36" customFormat="false" ht="15" hidden="false" customHeight="false" outlineLevel="0" collapsed="false">
      <c r="A36" s="4" t="s">
        <v>693</v>
      </c>
      <c r="B36" s="34" t="n">
        <v>0</v>
      </c>
      <c r="C36" s="12" t="n">
        <f aca="false">$B$33</f>
        <v>2.14450692050956</v>
      </c>
      <c r="D36" s="34" t="n">
        <v>0</v>
      </c>
      <c r="E36" s="34" t="n">
        <v>0</v>
      </c>
    </row>
    <row r="37" customFormat="false" ht="15" hidden="false" customHeight="false" outlineLevel="0" collapsed="false">
      <c r="A37" s="4" t="s">
        <v>694</v>
      </c>
      <c r="B37" s="34" t="n">
        <v>0</v>
      </c>
      <c r="C37" s="3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689</v>
      </c>
      <c r="B38" s="34" t="n">
        <v>0</v>
      </c>
      <c r="C38" s="34" t="n">
        <v>0</v>
      </c>
      <c r="D38" s="34" t="n">
        <v>-1</v>
      </c>
      <c r="E38" s="34" t="n">
        <v>0</v>
      </c>
    </row>
    <row r="40" customFormat="false" ht="15" hidden="false" customHeight="false" outlineLevel="0" collapsed="false">
      <c r="A40" s="2" t="s">
        <v>695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696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697</v>
      </c>
    </row>
    <row r="5" customFormat="false" ht="15" hidden="false" customHeight="false" outlineLevel="0" collapsed="false">
      <c r="A5" s="4" t="s">
        <v>698</v>
      </c>
      <c r="B5" s="37" t="s">
        <v>699</v>
      </c>
      <c r="C5" s="8" t="n">
        <v>0</v>
      </c>
      <c r="D5" s="37" t="s">
        <v>700</v>
      </c>
      <c r="E5" s="8" t="n">
        <v>10</v>
      </c>
      <c r="F5" s="37" t="s">
        <v>701</v>
      </c>
      <c r="G5" s="8" t="n">
        <v>0</v>
      </c>
      <c r="H5" s="37" t="s">
        <v>702</v>
      </c>
      <c r="I5" s="8" t="n">
        <v>8</v>
      </c>
      <c r="K5" s="2" t="s">
        <v>703</v>
      </c>
    </row>
    <row r="7" customFormat="false" ht="15" hidden="false" customHeight="false" outlineLevel="0" collapsed="false">
      <c r="A7" s="10" t="s">
        <v>704</v>
      </c>
    </row>
    <row r="8" customFormat="false" ht="30" hidden="false" customHeight="true" outlineLevel="0" collapsed="false">
      <c r="A8" s="3" t="s">
        <v>705</v>
      </c>
      <c r="B8" s="3" t="s">
        <v>706</v>
      </c>
      <c r="C8" s="3" t="s">
        <v>707</v>
      </c>
      <c r="D8" s="3" t="s">
        <v>708</v>
      </c>
      <c r="E8" s="3" t="s">
        <v>709</v>
      </c>
      <c r="F8" s="3" t="s">
        <v>710</v>
      </c>
      <c r="G8" s="3" t="s">
        <v>711</v>
      </c>
      <c r="H8" s="3" t="s">
        <v>712</v>
      </c>
      <c r="I8" s="3" t="s">
        <v>713</v>
      </c>
      <c r="J8" s="3" t="s">
        <v>714</v>
      </c>
      <c r="K8" s="3" t="s">
        <v>715</v>
      </c>
      <c r="L8" s="3" t="s">
        <v>716</v>
      </c>
      <c r="M8" s="3" t="s">
        <v>717</v>
      </c>
      <c r="N8" s="3" t="s">
        <v>718</v>
      </c>
      <c r="O8" s="3" t="s">
        <v>719</v>
      </c>
      <c r="P8" s="3" t="s">
        <v>720</v>
      </c>
      <c r="Q8" s="3" t="s">
        <v>721</v>
      </c>
      <c r="R8" s="3" t="s">
        <v>722</v>
      </c>
      <c r="S8" s="3" t="s">
        <v>723</v>
      </c>
    </row>
    <row r="9" customFormat="false" ht="15" hidden="false" customHeight="false" outlineLevel="0" collapsed="false">
      <c r="A9" s="37" t="s">
        <v>718</v>
      </c>
      <c r="B9" s="8" t="n">
        <v>2</v>
      </c>
      <c r="C9" s="8" t="n">
        <v>2</v>
      </c>
      <c r="D9" s="8" t="n">
        <v>8</v>
      </c>
      <c r="E9" s="8" t="n">
        <v>6</v>
      </c>
      <c r="F9" s="34" t="n">
        <f aca="false">IF(C9&gt;$I$5,1,0)</f>
        <v>0</v>
      </c>
      <c r="G9" s="34" t="n">
        <f aca="false">IF(C9&lt;$G$5,1,0)</f>
        <v>0</v>
      </c>
      <c r="H9" s="34" t="n">
        <f aca="false">IF(B9&gt;$E$5,1,0)</f>
        <v>0</v>
      </c>
      <c r="I9" s="34" t="n">
        <f aca="false">IF(B9&lt;$C$5,1,0)</f>
        <v>0</v>
      </c>
      <c r="J9" s="34" t="n">
        <f aca="false">8*F9+4*G9+2*H9+I9</f>
        <v>0</v>
      </c>
      <c r="K9" s="34" t="n">
        <f aca="false">IF(E9&gt;$I$5,1,0)</f>
        <v>0</v>
      </c>
      <c r="L9" s="34" t="n">
        <f aca="false">IF(E9&lt;$G$5,1,0)</f>
        <v>0</v>
      </c>
      <c r="M9" s="34" t="n">
        <f aca="false">IF(D9&gt;$E$5,1,0)</f>
        <v>0</v>
      </c>
      <c r="N9" s="34" t="n">
        <f aca="false">IF(D9&lt;$C$5,1,0)</f>
        <v>0</v>
      </c>
      <c r="O9" s="3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34" t="n">
        <f aca="false">F9*K9+G9*L9+H9*M9+I9*N9</f>
        <v>0</v>
      </c>
      <c r="S9" s="17" t="str">
        <f aca="false">IF(J9+O9=0,"accept (both inside)",IF(R9&gt;0,"reject (same side)","clip (subdivide)"))</f>
        <v>accept (both inside)</v>
      </c>
      <c r="T9" s="17"/>
      <c r="U9" s="17"/>
    </row>
    <row r="10" customFormat="false" ht="15" hidden="false" customHeight="false" outlineLevel="0" collapsed="false">
      <c r="A10" s="37" t="s">
        <v>724</v>
      </c>
      <c r="B10" s="8" t="n">
        <v>-2</v>
      </c>
      <c r="C10" s="8" t="n">
        <v>-1</v>
      </c>
      <c r="D10" s="8" t="n">
        <v>-1</v>
      </c>
      <c r="E10" s="8" t="n">
        <v>9</v>
      </c>
      <c r="F10" s="34" t="n">
        <f aca="false">IF(C10&gt;$I$5,1,0)</f>
        <v>0</v>
      </c>
      <c r="G10" s="34" t="n">
        <f aca="false">IF(C10&lt;$G$5,1,0)</f>
        <v>1</v>
      </c>
      <c r="H10" s="34" t="n">
        <f aca="false">IF(B10&gt;$E$5,1,0)</f>
        <v>0</v>
      </c>
      <c r="I10" s="34" t="n">
        <f aca="false">IF(B10&lt;$C$5,1,0)</f>
        <v>1</v>
      </c>
      <c r="J10" s="34" t="n">
        <f aca="false">8*F10+4*G10+2*H10+I10</f>
        <v>5</v>
      </c>
      <c r="K10" s="34" t="n">
        <f aca="false">IF(E10&gt;$I$5,1,0)</f>
        <v>1</v>
      </c>
      <c r="L10" s="34" t="n">
        <f aca="false">IF(E10&lt;$G$5,1,0)</f>
        <v>0</v>
      </c>
      <c r="M10" s="34" t="n">
        <f aca="false">IF(D10&gt;$E$5,1,0)</f>
        <v>0</v>
      </c>
      <c r="N10" s="34" t="n">
        <f aca="false">IF(D10&lt;$C$5,1,0)</f>
        <v>1</v>
      </c>
      <c r="O10" s="3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34" t="n">
        <f aca="false">F10*K10+G10*L10+H10*M10+I10*N10</f>
        <v>1</v>
      </c>
      <c r="S10" s="17" t="str">
        <f aca="false">IF(J10+O10=0,"accept (both inside)",IF(R10&gt;0,"reject (same side)","clip (subdivide)"))</f>
        <v>reject (same side)</v>
      </c>
      <c r="T10" s="17"/>
      <c r="U10" s="17"/>
    </row>
    <row r="11" customFormat="false" ht="15" hidden="false" customHeight="false" outlineLevel="0" collapsed="false">
      <c r="A11" s="37" t="s">
        <v>725</v>
      </c>
      <c r="B11" s="8" t="n">
        <v>-3</v>
      </c>
      <c r="C11" s="8" t="n">
        <v>4</v>
      </c>
      <c r="D11" s="8" t="n">
        <v>6</v>
      </c>
      <c r="E11" s="8" t="n">
        <v>12</v>
      </c>
      <c r="F11" s="34" t="n">
        <f aca="false">IF(C11&gt;$I$5,1,0)</f>
        <v>0</v>
      </c>
      <c r="G11" s="34" t="n">
        <f aca="false">IF(C11&lt;$G$5,1,0)</f>
        <v>0</v>
      </c>
      <c r="H11" s="34" t="n">
        <f aca="false">IF(B11&gt;$E$5,1,0)</f>
        <v>0</v>
      </c>
      <c r="I11" s="34" t="n">
        <f aca="false">IF(B11&lt;$C$5,1,0)</f>
        <v>1</v>
      </c>
      <c r="J11" s="34" t="n">
        <f aca="false">8*F11+4*G11+2*H11+I11</f>
        <v>1</v>
      </c>
      <c r="K11" s="34" t="n">
        <f aca="false">IF(E11&gt;$I$5,1,0)</f>
        <v>1</v>
      </c>
      <c r="L11" s="34" t="n">
        <f aca="false">IF(E11&lt;$G$5,1,0)</f>
        <v>0</v>
      </c>
      <c r="M11" s="34" t="n">
        <f aca="false">IF(D11&gt;$E$5,1,0)</f>
        <v>0</v>
      </c>
      <c r="N11" s="34" t="n">
        <f aca="false">IF(D11&lt;$C$5,1,0)</f>
        <v>0</v>
      </c>
      <c r="O11" s="3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34" t="n">
        <f aca="false">F11*K11+G11*L11+H11*M11+I11*N11</f>
        <v>0</v>
      </c>
      <c r="S11" s="17" t="str">
        <f aca="false">IF(J11+O11=0,"accept (both inside)",IF(R11&gt;0,"reject (same side)","clip (subdivide)"))</f>
        <v>clip (subdivide)</v>
      </c>
      <c r="T11" s="17"/>
      <c r="U11" s="17"/>
    </row>
    <row r="12" customFormat="false" ht="15" hidden="false" customHeight="false" outlineLevel="0" collapsed="false">
      <c r="A12" s="37" t="s">
        <v>726</v>
      </c>
      <c r="B12" s="8" t="n">
        <v>-2</v>
      </c>
      <c r="C12" s="8" t="n">
        <v>3</v>
      </c>
      <c r="D12" s="8" t="n">
        <v>12</v>
      </c>
      <c r="E12" s="8" t="n">
        <v>5</v>
      </c>
      <c r="F12" s="34" t="n">
        <f aca="false">IF(C12&gt;$I$5,1,0)</f>
        <v>0</v>
      </c>
      <c r="G12" s="34" t="n">
        <f aca="false">IF(C12&lt;$G$5,1,0)</f>
        <v>0</v>
      </c>
      <c r="H12" s="34" t="n">
        <f aca="false">IF(B12&gt;$E$5,1,0)</f>
        <v>0</v>
      </c>
      <c r="I12" s="34" t="n">
        <f aca="false">IF(B12&lt;$C$5,1,0)</f>
        <v>1</v>
      </c>
      <c r="J12" s="34" t="n">
        <f aca="false">8*F12+4*G12+2*H12+I12</f>
        <v>1</v>
      </c>
      <c r="K12" s="34" t="n">
        <f aca="false">IF(E12&gt;$I$5,1,0)</f>
        <v>0</v>
      </c>
      <c r="L12" s="34" t="n">
        <f aca="false">IF(E12&lt;$G$5,1,0)</f>
        <v>0</v>
      </c>
      <c r="M12" s="34" t="n">
        <f aca="false">IF(D12&gt;$E$5,1,0)</f>
        <v>1</v>
      </c>
      <c r="N12" s="34" t="n">
        <f aca="false">IF(D12&lt;$C$5,1,0)</f>
        <v>0</v>
      </c>
      <c r="O12" s="3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34" t="n">
        <f aca="false">F12*K12+G12*L12+H12*M12+I12*N12</f>
        <v>0</v>
      </c>
      <c r="S12" s="17" t="str">
        <f aca="false">IF(J12+O12=0,"accept (both inside)",IF(R12&gt;0,"reject (same side)","clip (subdivide)"))</f>
        <v>clip (subdivide)</v>
      </c>
      <c r="T12" s="17"/>
      <c r="U12" s="17"/>
    </row>
    <row r="14" customFormat="false" ht="15" hidden="false" customHeight="false" outlineLevel="0" collapsed="false">
      <c r="A14" s="10" t="s">
        <v>727</v>
      </c>
    </row>
    <row r="15" customFormat="false" ht="43.5" hidden="false" customHeight="true" outlineLevel="0" collapsed="false">
      <c r="A15" s="3" t="s">
        <v>705</v>
      </c>
      <c r="B15" s="3" t="s">
        <v>728</v>
      </c>
      <c r="C15" s="3" t="s">
        <v>729</v>
      </c>
      <c r="D15" s="3" t="s">
        <v>730</v>
      </c>
      <c r="E15" s="3" t="s">
        <v>731</v>
      </c>
      <c r="F15" s="3" t="s">
        <v>732</v>
      </c>
      <c r="G15" s="3" t="s">
        <v>733</v>
      </c>
      <c r="H15" s="3" t="s">
        <v>734</v>
      </c>
      <c r="I15" s="3" t="s">
        <v>735</v>
      </c>
      <c r="J15" s="3" t="s">
        <v>736</v>
      </c>
      <c r="K15" s="3" t="s">
        <v>737</v>
      </c>
      <c r="L15" s="3" t="s">
        <v>738</v>
      </c>
      <c r="M15" s="3" t="s">
        <v>739</v>
      </c>
      <c r="N15" s="3" t="s">
        <v>740</v>
      </c>
      <c r="O15" s="3" t="s">
        <v>741</v>
      </c>
      <c r="P15" s="3" t="s">
        <v>742</v>
      </c>
      <c r="Q15" s="3" t="s">
        <v>743</v>
      </c>
      <c r="R15" s="3" t="s">
        <v>744</v>
      </c>
      <c r="S15" s="3" t="s">
        <v>745</v>
      </c>
    </row>
    <row r="16" customFormat="false" ht="15" hidden="false" customHeight="false" outlineLevel="0" collapsed="false">
      <c r="A16" s="42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7" t="n">
        <f aca="false">MAX(0,IF(D16&lt;0,H16/D16,0),IF(E16&lt;0,I16/E16,0),IF(F16&lt;0,J16/F16,0),IF(G16&lt;0,K16/G16,0))</f>
        <v>0</v>
      </c>
      <c r="M16" s="17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7" t="n">
        <f aca="false">IF(O16="yes",B9+L16*B16,"-")</f>
        <v>2</v>
      </c>
      <c r="Q16" s="17" t="n">
        <f aca="false">IF(O16="yes",C9+L16*C16,"-")</f>
        <v>2</v>
      </c>
      <c r="R16" s="17" t="n">
        <f aca="false">IF(O16="yes",B9+M16*B16,"-")</f>
        <v>8</v>
      </c>
      <c r="S16" s="17" t="n">
        <f aca="false">IF(O16="yes",C9+M16*C16,"-")</f>
        <v>6</v>
      </c>
    </row>
    <row r="17" customFormat="false" ht="15" hidden="false" customHeight="false" outlineLevel="0" collapsed="false">
      <c r="A17" s="42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7" t="n">
        <f aca="false">MAX(0,IF(D17&lt;0,H17/D17,0),IF(E17&lt;0,I17/E17,0),IF(F17&lt;0,J17/F17,0),IF(G17&lt;0,K17/G17,0))</f>
        <v>2</v>
      </c>
      <c r="M17" s="17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7" t="str">
        <f aca="false">IF(O17="yes",B10+L17*B17,"-")</f>
        <v>-</v>
      </c>
      <c r="Q17" s="17" t="str">
        <f aca="false">IF(O17="yes",C10+L17*C17,"-")</f>
        <v>-</v>
      </c>
      <c r="R17" s="17" t="str">
        <f aca="false">IF(O17="yes",B10+M17*B17,"-")</f>
        <v>-</v>
      </c>
      <c r="S17" s="17" t="str">
        <f aca="false">IF(O17="yes",C10+M17*C17,"-")</f>
        <v>-</v>
      </c>
    </row>
    <row r="18" customFormat="false" ht="15" hidden="false" customHeight="false" outlineLevel="0" collapsed="false">
      <c r="A18" s="42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7" t="n">
        <f aca="false">MAX(0,IF(D18&lt;0,H18/D18,0),IF(E18&lt;0,I18/E18,0),IF(F18&lt;0,J18/F18,0),IF(G18&lt;0,K18/G18,0))</f>
        <v>0.333333333333333</v>
      </c>
      <c r="M18" s="17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7" t="n">
        <f aca="false">IF(O18="yes",B11+L18*B18,"-")</f>
        <v>0</v>
      </c>
      <c r="Q18" s="17" t="n">
        <f aca="false">IF(O18="yes",C11+L18*C18,"-")</f>
        <v>6.66666666666667</v>
      </c>
      <c r="R18" s="17" t="n">
        <f aca="false">IF(O18="yes",B11+M18*B18,"-")</f>
        <v>1.5</v>
      </c>
      <c r="S18" s="17" t="n">
        <f aca="false">IF(O18="yes",C11+M18*C18,"-")</f>
        <v>8</v>
      </c>
    </row>
    <row r="19" customFormat="false" ht="15" hidden="false" customHeight="false" outlineLevel="0" collapsed="false">
      <c r="A19" s="42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7" t="n">
        <f aca="false">MAX(0,IF(D19&lt;0,H19/D19,0),IF(E19&lt;0,I19/E19,0),IF(F19&lt;0,J19/F19,0),IF(G19&lt;0,K19/G19,0))</f>
        <v>0.142857142857143</v>
      </c>
      <c r="M19" s="17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7" t="n">
        <f aca="false">IF(O19="yes",B12+L19*B19,"-")</f>
        <v>0</v>
      </c>
      <c r="Q19" s="17" t="n">
        <f aca="false">IF(O19="yes",C12+L19*C19,"-")</f>
        <v>3.28571428571429</v>
      </c>
      <c r="R19" s="17" t="n">
        <f aca="false">IF(O19="yes",B12+M19*B19,"-")</f>
        <v>10</v>
      </c>
      <c r="S19" s="17" t="n">
        <f aca="false">IF(O19="yes",C12+M19*C19,"-")</f>
        <v>4.71428571428571</v>
      </c>
    </row>
    <row r="21" customFormat="false" ht="15" hidden="false" customHeight="false" outlineLevel="0" collapsed="false">
      <c r="A21" s="10" t="s">
        <v>746</v>
      </c>
    </row>
    <row r="22" customFormat="false" ht="15" hidden="false" customHeight="false" outlineLevel="0" collapsed="false">
      <c r="A22" s="4" t="s">
        <v>747</v>
      </c>
      <c r="B22" s="37" t="s">
        <v>748</v>
      </c>
      <c r="C22" s="8" t="n">
        <v>-2</v>
      </c>
      <c r="D22" s="8" t="n">
        <v>3</v>
      </c>
      <c r="E22" s="37" t="s">
        <v>192</v>
      </c>
      <c r="F22" s="8" t="n">
        <v>7</v>
      </c>
      <c r="G22" s="8" t="n">
        <v>-2</v>
      </c>
      <c r="H22" s="37" t="s">
        <v>749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750</v>
      </c>
      <c r="L23" s="10" t="s">
        <v>751</v>
      </c>
    </row>
    <row r="24" customFormat="false" ht="18" hidden="false" customHeight="true" outlineLevel="0" collapsed="false">
      <c r="A24" s="3" t="s">
        <v>752</v>
      </c>
      <c r="B24" s="3" t="s">
        <v>181</v>
      </c>
      <c r="C24" s="3" t="s">
        <v>182</v>
      </c>
      <c r="D24" s="3" t="s">
        <v>753</v>
      </c>
      <c r="E24" s="3" t="s">
        <v>754</v>
      </c>
      <c r="F24" s="3" t="s">
        <v>755</v>
      </c>
      <c r="G24" s="3" t="s">
        <v>756</v>
      </c>
      <c r="H24" s="3" t="s">
        <v>757</v>
      </c>
      <c r="I24" s="3" t="s">
        <v>758</v>
      </c>
      <c r="J24" s="3" t="s">
        <v>759</v>
      </c>
      <c r="L24" s="3" t="s">
        <v>752</v>
      </c>
      <c r="M24" s="3" t="s">
        <v>181</v>
      </c>
      <c r="N24" s="3" t="s">
        <v>182</v>
      </c>
      <c r="O24" s="3" t="s">
        <v>753</v>
      </c>
      <c r="P24" s="3" t="s">
        <v>754</v>
      </c>
      <c r="Q24" s="3" t="s">
        <v>755</v>
      </c>
      <c r="R24" s="3" t="s">
        <v>756</v>
      </c>
      <c r="S24" s="3" t="s">
        <v>757</v>
      </c>
      <c r="T24" s="3" t="s">
        <v>758</v>
      </c>
      <c r="U24" s="3" t="s">
        <v>759</v>
      </c>
    </row>
    <row r="25" customFormat="false" ht="15" hidden="false" customHeight="false" outlineLevel="0" collapsed="false">
      <c r="A25" s="6" t="s">
        <v>760</v>
      </c>
      <c r="B25" s="17" t="n">
        <f aca="false">C22</f>
        <v>-2</v>
      </c>
      <c r="C25" s="17" t="n">
        <f aca="false">D22</f>
        <v>3</v>
      </c>
      <c r="D25" s="17" t="n">
        <f aca="false">F22</f>
        <v>7</v>
      </c>
      <c r="E25" s="17" t="n">
        <f aca="false">G22</f>
        <v>-2</v>
      </c>
      <c r="F25" s="34" t="n">
        <f aca="false">IF(B25&gt;=$C$5,1,0)</f>
        <v>0</v>
      </c>
      <c r="G25" s="34" t="n">
        <f aca="false">IF(D25&gt;=$C$5,1,0)</f>
        <v>1</v>
      </c>
      <c r="H25" s="17" t="n">
        <f aca="false">IF(F25&lt;&gt;G25,$C$5,"-")</f>
        <v>0</v>
      </c>
      <c r="I25" s="17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760</v>
      </c>
      <c r="M25" s="17" t="n">
        <f aca="false">H25</f>
        <v>0</v>
      </c>
      <c r="N25" s="17" t="n">
        <f aca="false">I25</f>
        <v>1.88888888888889</v>
      </c>
      <c r="O25" s="17" t="n">
        <f aca="false">D25</f>
        <v>7</v>
      </c>
      <c r="P25" s="17" t="n">
        <f aca="false">E25</f>
        <v>-2</v>
      </c>
      <c r="Q25" s="34" t="n">
        <f aca="false">IF(M25&lt;=$E$5,1,0)</f>
        <v>1</v>
      </c>
      <c r="R25" s="34" t="n">
        <f aca="false">IF(O25&lt;=$E$5,1,0)</f>
        <v>1</v>
      </c>
      <c r="S25" s="17" t="str">
        <f aca="false">IF(Q25&lt;&gt;R25,$E$5,"-")</f>
        <v>-</v>
      </c>
      <c r="T25" s="17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761</v>
      </c>
      <c r="B26" s="17" t="n">
        <f aca="false">F22</f>
        <v>7</v>
      </c>
      <c r="C26" s="17" t="n">
        <f aca="false">G22</f>
        <v>-2</v>
      </c>
      <c r="D26" s="17" t="n">
        <f aca="false">I22</f>
        <v>12</v>
      </c>
      <c r="E26" s="17" t="n">
        <f aca="false">J22</f>
        <v>10</v>
      </c>
      <c r="F26" s="34" t="n">
        <f aca="false">IF(B26&gt;=$C$5,1,0)</f>
        <v>1</v>
      </c>
      <c r="G26" s="34" t="n">
        <f aca="false">IF(D26&gt;=$C$5,1,0)</f>
        <v>1</v>
      </c>
      <c r="H26" s="17" t="str">
        <f aca="false">IF(F26&lt;&gt;G26,$C$5,"-")</f>
        <v>-</v>
      </c>
      <c r="I26" s="17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761</v>
      </c>
      <c r="M26" s="17" t="n">
        <f aca="false">D25</f>
        <v>7</v>
      </c>
      <c r="N26" s="17" t="n">
        <f aca="false">E25</f>
        <v>-2</v>
      </c>
      <c r="O26" s="17" t="n">
        <f aca="false">D26</f>
        <v>12</v>
      </c>
      <c r="P26" s="17" t="n">
        <f aca="false">E26</f>
        <v>10</v>
      </c>
      <c r="Q26" s="34" t="n">
        <f aca="false">IF(M26&lt;=$E$5,1,0)</f>
        <v>1</v>
      </c>
      <c r="R26" s="34" t="n">
        <f aca="false">IF(O26&lt;=$E$5,1,0)</f>
        <v>0</v>
      </c>
      <c r="S26" s="17" t="n">
        <f aca="false">IF(Q26&lt;&gt;R26,$E$5,"-")</f>
        <v>10</v>
      </c>
      <c r="T26" s="17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762</v>
      </c>
      <c r="B27" s="17" t="n">
        <f aca="false">I22</f>
        <v>12</v>
      </c>
      <c r="C27" s="17" t="n">
        <f aca="false">J22</f>
        <v>10</v>
      </c>
      <c r="D27" s="17" t="n">
        <f aca="false">C22</f>
        <v>-2</v>
      </c>
      <c r="E27" s="17" t="n">
        <f aca="false">D22</f>
        <v>3</v>
      </c>
      <c r="F27" s="34" t="n">
        <f aca="false">IF(B27&gt;=$C$5,1,0)</f>
        <v>1</v>
      </c>
      <c r="G27" s="34" t="n">
        <f aca="false">IF(D27&gt;=$C$5,1,0)</f>
        <v>0</v>
      </c>
      <c r="H27" s="17" t="n">
        <f aca="false">IF(F27&lt;&gt;G27,$C$5,"-")</f>
        <v>0</v>
      </c>
      <c r="I27" s="17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763</v>
      </c>
      <c r="M27" s="17" t="n">
        <f aca="false">D26</f>
        <v>12</v>
      </c>
      <c r="N27" s="17" t="n">
        <f aca="false">E26</f>
        <v>10</v>
      </c>
      <c r="O27" s="17" t="n">
        <f aca="false">H27</f>
        <v>0</v>
      </c>
      <c r="P27" s="17" t="n">
        <f aca="false">I27</f>
        <v>4</v>
      </c>
      <c r="Q27" s="34" t="n">
        <f aca="false">IF(M27&lt;=$E$5,1,0)</f>
        <v>0</v>
      </c>
      <c r="R27" s="34" t="n">
        <f aca="false">IF(O27&lt;=$E$5,1,0)</f>
        <v>1</v>
      </c>
      <c r="S27" s="17" t="n">
        <f aca="false">IF(Q27&lt;&gt;R27,$E$5,"-")</f>
        <v>10</v>
      </c>
      <c r="T27" s="17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37" t="s">
        <v>764</v>
      </c>
      <c r="B28" s="17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7"/>
      <c r="D28" s="17"/>
      <c r="E28" s="17"/>
      <c r="F28" s="17"/>
      <c r="G28" s="17"/>
      <c r="H28" s="17"/>
      <c r="I28" s="17"/>
      <c r="J28" s="17"/>
      <c r="L28" s="6" t="s">
        <v>765</v>
      </c>
      <c r="M28" s="17" t="n">
        <f aca="false">H27</f>
        <v>0</v>
      </c>
      <c r="N28" s="17" t="n">
        <f aca="false">I27</f>
        <v>4</v>
      </c>
      <c r="O28" s="17" t="n">
        <f aca="false">H25</f>
        <v>0</v>
      </c>
      <c r="P28" s="17" t="n">
        <f aca="false">I25</f>
        <v>1.88888888888889</v>
      </c>
      <c r="Q28" s="34" t="n">
        <f aca="false">IF(M28&lt;=$E$5,1,0)</f>
        <v>1</v>
      </c>
      <c r="R28" s="34" t="n">
        <f aca="false">IF(O28&lt;=$E$5,1,0)</f>
        <v>1</v>
      </c>
      <c r="S28" s="17" t="str">
        <f aca="false">IF(Q28&lt;&gt;R28,$E$5,"-")</f>
        <v>-</v>
      </c>
      <c r="T28" s="17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766</v>
      </c>
      <c r="L29" s="37" t="s">
        <v>764</v>
      </c>
      <c r="M29" s="17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7"/>
      <c r="O29" s="17"/>
      <c r="P29" s="17"/>
      <c r="Q29" s="17"/>
      <c r="R29" s="17"/>
      <c r="S29" s="17"/>
      <c r="T29" s="17"/>
      <c r="U29" s="17"/>
    </row>
    <row r="30" customFormat="false" ht="15" hidden="false" customHeight="false" outlineLevel="0" collapsed="false">
      <c r="L30" s="2" t="s">
        <v>767</v>
      </c>
    </row>
    <row r="32" customFormat="false" ht="15" hidden="false" customHeight="false" outlineLevel="0" collapsed="false">
      <c r="A32" s="10" t="s">
        <v>768</v>
      </c>
      <c r="L32" s="10" t="s">
        <v>769</v>
      </c>
    </row>
    <row r="33" customFormat="false" ht="18" hidden="false" customHeight="true" outlineLevel="0" collapsed="false">
      <c r="A33" s="3" t="s">
        <v>752</v>
      </c>
      <c r="B33" s="3" t="s">
        <v>181</v>
      </c>
      <c r="C33" s="3" t="s">
        <v>182</v>
      </c>
      <c r="D33" s="3" t="s">
        <v>753</v>
      </c>
      <c r="E33" s="3" t="s">
        <v>754</v>
      </c>
      <c r="F33" s="3" t="s">
        <v>755</v>
      </c>
      <c r="G33" s="3" t="s">
        <v>756</v>
      </c>
      <c r="H33" s="3" t="s">
        <v>757</v>
      </c>
      <c r="I33" s="3" t="s">
        <v>758</v>
      </c>
      <c r="J33" s="3" t="s">
        <v>759</v>
      </c>
      <c r="L33" s="3" t="s">
        <v>752</v>
      </c>
      <c r="M33" s="3" t="s">
        <v>181</v>
      </c>
      <c r="N33" s="3" t="s">
        <v>182</v>
      </c>
      <c r="O33" s="3" t="s">
        <v>753</v>
      </c>
      <c r="P33" s="3" t="s">
        <v>754</v>
      </c>
      <c r="Q33" s="3" t="s">
        <v>755</v>
      </c>
      <c r="R33" s="3" t="s">
        <v>756</v>
      </c>
      <c r="S33" s="3" t="s">
        <v>757</v>
      </c>
      <c r="T33" s="3" t="s">
        <v>758</v>
      </c>
      <c r="U33" s="3" t="s">
        <v>759</v>
      </c>
    </row>
    <row r="34" customFormat="false" ht="15" hidden="false" customHeight="false" outlineLevel="0" collapsed="false">
      <c r="A34" s="6" t="s">
        <v>760</v>
      </c>
      <c r="B34" s="17" t="n">
        <f aca="false">O25</f>
        <v>7</v>
      </c>
      <c r="C34" s="17" t="n">
        <f aca="false">P25</f>
        <v>-2</v>
      </c>
      <c r="D34" s="17" t="n">
        <f aca="false">S26</f>
        <v>10</v>
      </c>
      <c r="E34" s="17" t="n">
        <f aca="false">T26</f>
        <v>5.2</v>
      </c>
      <c r="F34" s="34" t="n">
        <f aca="false">IF(C34&gt;=$G$5,1,0)</f>
        <v>0</v>
      </c>
      <c r="G34" s="34" t="n">
        <f aca="false">IF(E34&gt;=$G$5,1,0)</f>
        <v>1</v>
      </c>
      <c r="H34" s="17" t="n">
        <f aca="false">IF(F34&lt;&gt;G34,B34+($G$5-C34)*(D34-B34)/(E34-C34),"-")</f>
        <v>7.83333333333333</v>
      </c>
      <c r="I34" s="17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760</v>
      </c>
      <c r="M34" s="17" t="n">
        <f aca="false">H34</f>
        <v>7.83333333333333</v>
      </c>
      <c r="N34" s="17" t="n">
        <f aca="false">I34</f>
        <v>0</v>
      </c>
      <c r="O34" s="17" t="n">
        <f aca="false">D34</f>
        <v>10</v>
      </c>
      <c r="P34" s="17" t="n">
        <f aca="false">E34</f>
        <v>5.2</v>
      </c>
      <c r="Q34" s="34" t="n">
        <f aca="false">IF(N34&lt;=$I$5,1,0)</f>
        <v>1</v>
      </c>
      <c r="R34" s="34" t="n">
        <f aca="false">IF(P34&lt;=$I$5,1,0)</f>
        <v>1</v>
      </c>
      <c r="S34" s="17" t="str">
        <f aca="false">IF(Q34&lt;&gt;R34,M34+($I$5-N34)*(O34-M34)/(P34-N34),"-")</f>
        <v>-</v>
      </c>
      <c r="T34" s="17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761</v>
      </c>
      <c r="B35" s="17" t="n">
        <f aca="false">S26</f>
        <v>10</v>
      </c>
      <c r="C35" s="17" t="n">
        <f aca="false">T26</f>
        <v>5.2</v>
      </c>
      <c r="D35" s="17" t="n">
        <f aca="false">S27</f>
        <v>10</v>
      </c>
      <c r="E35" s="17" t="n">
        <f aca="false">T27</f>
        <v>9</v>
      </c>
      <c r="F35" s="34" t="n">
        <f aca="false">IF(C35&gt;=$G$5,1,0)</f>
        <v>1</v>
      </c>
      <c r="G35" s="34" t="n">
        <f aca="false">IF(E35&gt;=$G$5,1,0)</f>
        <v>1</v>
      </c>
      <c r="H35" s="17" t="str">
        <f aca="false">IF(F35&lt;&gt;G35,B35+($G$5-C35)*(D35-B35)/(E35-C35),"-")</f>
        <v>-</v>
      </c>
      <c r="I35" s="17" t="str">
        <f aca="false">IF(F35&lt;&gt;G35,$G$5,"-")</f>
        <v>-</v>
      </c>
      <c r="J35" s="12" t="str">
        <f aca="false">IF(F35+G35=2,"P",IF(G35=1,"I, P",IF(F35=1,"I","none")))</f>
        <v>P</v>
      </c>
      <c r="L35" s="6" t="s">
        <v>761</v>
      </c>
      <c r="M35" s="17" t="n">
        <f aca="false">D34</f>
        <v>10</v>
      </c>
      <c r="N35" s="17" t="n">
        <f aca="false">E34</f>
        <v>5.2</v>
      </c>
      <c r="O35" s="17" t="n">
        <f aca="false">D35</f>
        <v>10</v>
      </c>
      <c r="P35" s="17" t="n">
        <f aca="false">E35</f>
        <v>9</v>
      </c>
      <c r="Q35" s="34" t="n">
        <f aca="false">IF(N35&lt;=$I$5,1,0)</f>
        <v>1</v>
      </c>
      <c r="R35" s="34" t="n">
        <f aca="false">IF(P35&lt;=$I$5,1,0)</f>
        <v>0</v>
      </c>
      <c r="S35" s="17" t="n">
        <f aca="false">IF(Q35&lt;&gt;R35,M35+($I$5-N35)*(O35-M35)/(P35-N35),"-")</f>
        <v>10</v>
      </c>
      <c r="T35" s="17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763</v>
      </c>
      <c r="B36" s="17" t="n">
        <f aca="false">S27</f>
        <v>10</v>
      </c>
      <c r="C36" s="17" t="n">
        <f aca="false">T27</f>
        <v>9</v>
      </c>
      <c r="D36" s="17" t="n">
        <f aca="false">O27</f>
        <v>0</v>
      </c>
      <c r="E36" s="17" t="n">
        <f aca="false">P27</f>
        <v>4</v>
      </c>
      <c r="F36" s="34" t="n">
        <f aca="false">IF(C36&gt;=$G$5,1,0)</f>
        <v>1</v>
      </c>
      <c r="G36" s="34" t="n">
        <f aca="false">IF(E36&gt;=$G$5,1,0)</f>
        <v>1</v>
      </c>
      <c r="H36" s="17" t="str">
        <f aca="false">IF(F36&lt;&gt;G36,B36+($G$5-C36)*(D36-B36)/(E36-C36),"-")</f>
        <v>-</v>
      </c>
      <c r="I36" s="17" t="str">
        <f aca="false">IF(F36&lt;&gt;G36,$G$5,"-")</f>
        <v>-</v>
      </c>
      <c r="J36" s="12" t="str">
        <f aca="false">IF(F36+G36=2,"P",IF(G36=1,"I, P",IF(F36=1,"I","none")))</f>
        <v>P</v>
      </c>
      <c r="L36" s="6" t="s">
        <v>763</v>
      </c>
      <c r="M36" s="17" t="n">
        <f aca="false">D35</f>
        <v>10</v>
      </c>
      <c r="N36" s="17" t="n">
        <f aca="false">E35</f>
        <v>9</v>
      </c>
      <c r="O36" s="17" t="n">
        <f aca="false">D36</f>
        <v>0</v>
      </c>
      <c r="P36" s="17" t="n">
        <f aca="false">E36</f>
        <v>4</v>
      </c>
      <c r="Q36" s="34" t="n">
        <f aca="false">IF(N36&lt;=$I$5,1,0)</f>
        <v>0</v>
      </c>
      <c r="R36" s="34" t="n">
        <f aca="false">IF(P36&lt;=$I$5,1,0)</f>
        <v>1</v>
      </c>
      <c r="S36" s="17" t="n">
        <f aca="false">IF(Q36&lt;&gt;R36,M36+($I$5-N36)*(O36-M36)/(P36-N36),"-")</f>
        <v>8</v>
      </c>
      <c r="T36" s="17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770</v>
      </c>
      <c r="B37" s="17" t="n">
        <f aca="false">O27</f>
        <v>0</v>
      </c>
      <c r="C37" s="17" t="n">
        <f aca="false">P27</f>
        <v>4</v>
      </c>
      <c r="D37" s="17" t="n">
        <f aca="false">O28</f>
        <v>0</v>
      </c>
      <c r="E37" s="17" t="n">
        <f aca="false">P28</f>
        <v>1.88888888888889</v>
      </c>
      <c r="F37" s="34" t="n">
        <f aca="false">IF(C37&gt;=$G$5,1,0)</f>
        <v>1</v>
      </c>
      <c r="G37" s="34" t="n">
        <f aca="false">IF(E37&gt;=$G$5,1,0)</f>
        <v>1</v>
      </c>
      <c r="H37" s="17" t="str">
        <f aca="false">IF(F37&lt;&gt;G37,B37+($G$5-C37)*(D37-B37)/(E37-C37),"-")</f>
        <v>-</v>
      </c>
      <c r="I37" s="17" t="str">
        <f aca="false">IF(F37&lt;&gt;G37,$G$5,"-")</f>
        <v>-</v>
      </c>
      <c r="J37" s="12" t="str">
        <f aca="false">IF(F37+G37=2,"P",IF(G37=1,"I, P",IF(F37=1,"I","none")))</f>
        <v>P</v>
      </c>
      <c r="L37" s="6" t="s">
        <v>770</v>
      </c>
      <c r="M37" s="17" t="n">
        <f aca="false">D36</f>
        <v>0</v>
      </c>
      <c r="N37" s="17" t="n">
        <f aca="false">E36</f>
        <v>4</v>
      </c>
      <c r="O37" s="17" t="n">
        <f aca="false">D37</f>
        <v>0</v>
      </c>
      <c r="P37" s="17" t="n">
        <f aca="false">E37</f>
        <v>1.88888888888889</v>
      </c>
      <c r="Q37" s="34" t="n">
        <f aca="false">IF(N37&lt;=$I$5,1,0)</f>
        <v>1</v>
      </c>
      <c r="R37" s="34" t="n">
        <f aca="false">IF(P37&lt;=$I$5,1,0)</f>
        <v>1</v>
      </c>
      <c r="S37" s="17" t="str">
        <f aca="false">IF(Q37&lt;&gt;R37,M37+($I$5-N37)*(O37-M37)/(P37-N37),"-")</f>
        <v>-</v>
      </c>
      <c r="T37" s="17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771</v>
      </c>
      <c r="B38" s="17" t="n">
        <f aca="false">O28</f>
        <v>0</v>
      </c>
      <c r="C38" s="17" t="n">
        <f aca="false">P28</f>
        <v>1.88888888888889</v>
      </c>
      <c r="D38" s="17" t="n">
        <f aca="false">O25</f>
        <v>7</v>
      </c>
      <c r="E38" s="17" t="n">
        <f aca="false">P25</f>
        <v>-2</v>
      </c>
      <c r="F38" s="34" t="n">
        <f aca="false">IF(C38&gt;=$G$5,1,0)</f>
        <v>1</v>
      </c>
      <c r="G38" s="34" t="n">
        <f aca="false">IF(E38&gt;=$G$5,1,0)</f>
        <v>0</v>
      </c>
      <c r="H38" s="17" t="n">
        <f aca="false">IF(F38&lt;&gt;G38,B38+($G$5-C38)*(D38-B38)/(E38-C38),"-")</f>
        <v>3.4</v>
      </c>
      <c r="I38" s="17" t="n">
        <f aca="false">IF(F38&lt;&gt;G38,$G$5,"-")</f>
        <v>0</v>
      </c>
      <c r="J38" s="12" t="str">
        <f aca="false">IF(F38+G38=2,"P",IF(G38=1,"I, P",IF(F38=1,"I","none")))</f>
        <v>I</v>
      </c>
      <c r="L38" s="6" t="s">
        <v>772</v>
      </c>
      <c r="M38" s="17" t="n">
        <f aca="false">D37</f>
        <v>0</v>
      </c>
      <c r="N38" s="17" t="n">
        <f aca="false">E37</f>
        <v>1.88888888888889</v>
      </c>
      <c r="O38" s="17" t="n">
        <f aca="false">H38</f>
        <v>3.4</v>
      </c>
      <c r="P38" s="17" t="n">
        <f aca="false">I38</f>
        <v>0</v>
      </c>
      <c r="Q38" s="34" t="n">
        <f aca="false">IF(N38&lt;=$I$5,1,0)</f>
        <v>1</v>
      </c>
      <c r="R38" s="34" t="n">
        <f aca="false">IF(P38&lt;=$I$5,1,0)</f>
        <v>1</v>
      </c>
      <c r="S38" s="17" t="str">
        <f aca="false">IF(Q38&lt;&gt;R38,M38+($I$5-N38)*(O38-M38)/(P38-N38),"-")</f>
        <v>-</v>
      </c>
      <c r="T38" s="17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37" t="s">
        <v>764</v>
      </c>
      <c r="B39" s="17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7"/>
      <c r="D39" s="17"/>
      <c r="E39" s="17"/>
      <c r="F39" s="17"/>
      <c r="G39" s="17"/>
      <c r="H39" s="17"/>
      <c r="I39" s="17"/>
      <c r="J39" s="17"/>
      <c r="L39" s="6" t="s">
        <v>773</v>
      </c>
      <c r="M39" s="17" t="n">
        <f aca="false">H38</f>
        <v>3.4</v>
      </c>
      <c r="N39" s="17" t="n">
        <f aca="false">I38</f>
        <v>0</v>
      </c>
      <c r="O39" s="17" t="n">
        <f aca="false">H34</f>
        <v>7.83333333333333</v>
      </c>
      <c r="P39" s="17" t="n">
        <f aca="false">I34</f>
        <v>0</v>
      </c>
      <c r="Q39" s="34" t="n">
        <f aca="false">IF(N39&lt;=$I$5,1,0)</f>
        <v>1</v>
      </c>
      <c r="R39" s="34" t="n">
        <f aca="false">IF(P39&lt;=$I$5,1,0)</f>
        <v>1</v>
      </c>
      <c r="S39" s="17" t="str">
        <f aca="false">IF(Q39&lt;&gt;R39,M39+($I$5-N39)*(O39-M39)/(P39-N39),"-")</f>
        <v>-</v>
      </c>
      <c r="T39" s="17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774</v>
      </c>
      <c r="L40" s="37" t="s">
        <v>764</v>
      </c>
      <c r="M40" s="17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7"/>
      <c r="O40" s="17"/>
      <c r="P40" s="17"/>
      <c r="Q40" s="17"/>
      <c r="R40" s="17"/>
      <c r="S40" s="17"/>
      <c r="T40" s="17"/>
      <c r="U40" s="17"/>
    </row>
    <row r="41" customFormat="false" ht="15" hidden="false" customHeight="false" outlineLevel="0" collapsed="false">
      <c r="L41" s="2" t="s">
        <v>775</v>
      </c>
    </row>
    <row r="42" customFormat="false" ht="15" hidden="false" customHeight="false" outlineLevel="0" collapsed="false">
      <c r="A42" s="2" t="s">
        <v>776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778</v>
      </c>
    </row>
    <row r="5" customFormat="false" ht="30" hidden="false" customHeight="true" outlineLevel="0" collapsed="false">
      <c r="A5" s="3" t="s">
        <v>779</v>
      </c>
      <c r="B5" s="3" t="s">
        <v>780</v>
      </c>
      <c r="C5" s="3" t="s">
        <v>781</v>
      </c>
      <c r="D5" s="3" t="s">
        <v>782</v>
      </c>
      <c r="E5" s="3" t="s">
        <v>783</v>
      </c>
      <c r="F5" s="3" t="s">
        <v>784</v>
      </c>
      <c r="H5" s="3" t="s">
        <v>785</v>
      </c>
      <c r="I5" s="3" t="s">
        <v>786</v>
      </c>
      <c r="J5" s="3" t="s">
        <v>787</v>
      </c>
      <c r="K5" s="3" t="s">
        <v>788</v>
      </c>
    </row>
    <row r="6" customFormat="false" ht="15" hidden="false" customHeight="false" outlineLevel="0" collapsed="false">
      <c r="A6" s="4" t="s">
        <v>789</v>
      </c>
      <c r="B6" s="43" t="n">
        <v>12</v>
      </c>
      <c r="C6" s="43" t="n">
        <v>17.5</v>
      </c>
      <c r="D6" s="43" t="n">
        <v>23</v>
      </c>
      <c r="E6" s="43" t="n">
        <v>23</v>
      </c>
      <c r="F6" s="43" t="n">
        <v>23</v>
      </c>
      <c r="H6" s="4" t="s">
        <v>790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791</v>
      </c>
      <c r="B7" s="17" t="n">
        <f aca="false">15*(B6-12)</f>
        <v>0</v>
      </c>
      <c r="C7" s="17" t="n">
        <f aca="false">15*(C6-12)</f>
        <v>82.5</v>
      </c>
      <c r="D7" s="17" t="n">
        <f aca="false">15*(D6-12)</f>
        <v>165</v>
      </c>
      <c r="E7" s="17" t="n">
        <f aca="false">15*(E6-12)</f>
        <v>165</v>
      </c>
      <c r="F7" s="17" t="n">
        <f aca="false">15*(F6-12)</f>
        <v>165</v>
      </c>
      <c r="H7" s="4" t="s">
        <v>792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793</v>
      </c>
      <c r="B8" s="17" t="n">
        <f aca="false">SIN(RADIANS($I$6))*SIN(RADIANS($J$6))+COS(RADIANS($I$6))*COS(RADIANS($J$6))*COS(RADIANS(B7))</f>
        <v>0.887815385136401</v>
      </c>
      <c r="C8" s="17" t="n">
        <f aca="false">SIN(RADIANS($I$6))*SIN(RADIANS($J$6))+COS(RADIANS($I$6))*COS(RADIANS($J$6))*COS(RADIANS(C7))</f>
        <v>0.0888613649144828</v>
      </c>
      <c r="D8" s="17" t="n">
        <f aca="false">SIN(RADIANS($I$6))*SIN(RADIANS($J$6))+COS(RADIANS($I$6))*COS(RADIANS($J$6))*COS(RADIANS(D7))</f>
        <v>-0.918661507344374</v>
      </c>
      <c r="E8" s="17" t="n">
        <f aca="false">SIN(RADIANS($I$6))*SIN(RADIANS($J$6))+COS(RADIANS($I$6))*COS(RADIANS($J$6))*COS(RADIANS(E7))</f>
        <v>-0.918661507344374</v>
      </c>
      <c r="F8" s="17" t="n">
        <f aca="false">SIN(RADIANS($I$6))*SIN(RADIANS($J$6))+COS(RADIANS($I$6))*COS(RADIANS($J$6))*COS(RADIANS(F7))</f>
        <v>-0.918661507344374</v>
      </c>
      <c r="H8" s="4" t="s">
        <v>794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795</v>
      </c>
      <c r="B9" s="17" t="n">
        <f aca="false">DEGREES(ASIN(B8))</f>
        <v>62.6</v>
      </c>
      <c r="C9" s="17" t="n">
        <f aca="false">DEGREES(ASIN(C8))</f>
        <v>5.0981056412829</v>
      </c>
      <c r="D9" s="17" t="n">
        <f aca="false">DEGREES(ASIN(D8))</f>
        <v>-66.7311812551863</v>
      </c>
      <c r="E9" s="17" t="n">
        <f aca="false">DEGREES(ASIN(E8))</f>
        <v>-66.7311812551863</v>
      </c>
      <c r="F9" s="17" t="n">
        <f aca="false">DEGREES(ASIN(F8))</f>
        <v>-66.7311812551863</v>
      </c>
      <c r="H9" s="4" t="s">
        <v>796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797</v>
      </c>
      <c r="B10" s="17" t="n">
        <f aca="false">(MIN(MAX((B9-(-8))/((6)-(-8)),0),1)^2*(3-2*MIN(MAX((B9-(-8))/((6)-(-8)),0),1)))</f>
        <v>1</v>
      </c>
      <c r="C10" s="17" t="n">
        <f aca="false">(MIN(MAX((C9-(-8))/((6)-(-8)),0),1)^2*(3-2*MIN(MAX((C9-(-8))/((6)-(-8)),0),1)))</f>
        <v>0.988084497716973</v>
      </c>
      <c r="D10" s="17" t="n">
        <f aca="false">(MIN(MAX((D9-(-8))/((6)-(-8)),0),1)^2*(3-2*MIN(MAX((D9-(-8))/((6)-(-8)),0),1)))</f>
        <v>0</v>
      </c>
      <c r="E10" s="17" t="n">
        <f aca="false">(MIN(MAX((E9-(-8))/((6)-(-8)),0),1)^2*(3-2*MIN(MAX((E9-(-8))/((6)-(-8)),0),1)))</f>
        <v>0</v>
      </c>
      <c r="F10" s="17" t="n">
        <f aca="false">(MIN(MAX((F9-(-8))/((6)-(-8)),0),1)^2*(3-2*MIN(MAX((F9-(-8))/((6)-(-8)),0),1)))</f>
        <v>0</v>
      </c>
      <c r="H10" s="4" t="s">
        <v>798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799</v>
      </c>
      <c r="B11" s="17" t="n">
        <f aca="false">$I$21</f>
        <v>0</v>
      </c>
      <c r="C11" s="17" t="n">
        <f aca="false">$I$21</f>
        <v>0</v>
      </c>
      <c r="D11" s="17" t="n">
        <f aca="false">$I$21</f>
        <v>0</v>
      </c>
      <c r="E11" s="17" t="n">
        <f aca="false">$I$12+(($J$21-$J$12)/$J$13)*$I$13</f>
        <v>-0</v>
      </c>
      <c r="F11" s="17" t="n">
        <f aca="false">$I$21</f>
        <v>0</v>
      </c>
      <c r="H11" s="4" t="s">
        <v>800</v>
      </c>
      <c r="I11" s="13" t="n">
        <v>0.95</v>
      </c>
    </row>
    <row r="12" customFormat="false" ht="15" hidden="false" customHeight="false" outlineLevel="0" collapsed="false">
      <c r="A12" s="4" t="s">
        <v>801</v>
      </c>
      <c r="B12" s="17" t="n">
        <f aca="false">$J$21</f>
        <v>-0.45</v>
      </c>
      <c r="C12" s="17" t="n">
        <f aca="false">$J$21</f>
        <v>-0.45</v>
      </c>
      <c r="D12" s="17" t="n">
        <f aca="false">$J$21</f>
        <v>-0.45</v>
      </c>
      <c r="E12" s="17" t="n">
        <f aca="false">$J$21</f>
        <v>-0.45</v>
      </c>
      <c r="F12" s="17" t="n">
        <f aca="false">$J$21</f>
        <v>-0.45</v>
      </c>
      <c r="H12" s="4" t="s">
        <v>802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803</v>
      </c>
      <c r="B13" s="17" t="n">
        <f aca="false">$K$21</f>
        <v>-1.3</v>
      </c>
      <c r="C13" s="17" t="n">
        <f aca="false">$K$21</f>
        <v>-1.3</v>
      </c>
      <c r="D13" s="17" t="n">
        <f aca="false">$K$21</f>
        <v>-1.3</v>
      </c>
      <c r="E13" s="17" t="n">
        <f aca="false">$K$12+(($J$21-$J$12)/$J$13)*$K$13</f>
        <v>5.8194819843342</v>
      </c>
      <c r="F13" s="17" t="n">
        <f aca="false">$K$21</f>
        <v>-1.3</v>
      </c>
      <c r="H13" s="4" t="s">
        <v>804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805</v>
      </c>
      <c r="B14" s="17" t="n">
        <f aca="false">-COS(RADIANS($J$6))*SIN(RADIANS(B7))</f>
        <v>-0</v>
      </c>
      <c r="C14" s="17" t="n">
        <f aca="false">-COS(RADIANS($J$6))*SIN(RADIANS(C7))</f>
        <v>-0.988251296971396</v>
      </c>
      <c r="D14" s="17" t="n">
        <f aca="false">-$I$9</f>
        <v>0.5598</v>
      </c>
      <c r="E14" s="17" t="n">
        <f aca="false">$I$12-E11</f>
        <v>0</v>
      </c>
      <c r="F14" s="17" t="n">
        <f aca="false">$I$12-F11</f>
        <v>-0</v>
      </c>
      <c r="H14" s="4" t="s">
        <v>806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807</v>
      </c>
      <c r="B15" s="17" t="n">
        <f aca="false">B8</f>
        <v>0.887815385136401</v>
      </c>
      <c r="C15" s="17" t="n">
        <f aca="false">C8</f>
        <v>0.0888613649144828</v>
      </c>
      <c r="D15" s="17" t="n">
        <f aca="false">-$J$9</f>
        <v>0.3868</v>
      </c>
      <c r="E15" s="17" t="n">
        <f aca="false">$J$12-E12</f>
        <v>7.806</v>
      </c>
      <c r="F15" s="17" t="n">
        <f aca="false">$J$12-F12</f>
        <v>7.806</v>
      </c>
      <c r="H15" s="4" t="s">
        <v>808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809</v>
      </c>
      <c r="B16" s="17" t="n">
        <f aca="false">COS(RADIANS($I$6))*SIN(RADIANS($J$6))-SIN(RADIANS($I$6))*COS(RADIANS($J$6))*COS(RADIANS(B7))</f>
        <v>-0.460199784783852</v>
      </c>
      <c r="C16" s="17" t="n">
        <f aca="false">COS(RADIANS($I$6))*SIN(RADIANS($J$6))-SIN(RADIANS($I$6))*COS(RADIANS($J$6))*COS(RADIANS(C7))</f>
        <v>-0.124350439725352</v>
      </c>
      <c r="D16" s="17" t="n">
        <f aca="false">-$K$9</f>
        <v>-0.7328</v>
      </c>
      <c r="E16" s="17" t="n">
        <f aca="false">$K$12-E13</f>
        <v>6.5505180156658</v>
      </c>
      <c r="F16" s="17" t="n">
        <f aca="false">$K$12-F13</f>
        <v>13.67</v>
      </c>
      <c r="H16" s="4" t="s">
        <v>810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811</v>
      </c>
      <c r="B17" s="17" t="n">
        <f aca="false">SQRT(B14^2+B15^2+B16^2)</f>
        <v>1</v>
      </c>
      <c r="C17" s="17" t="n">
        <f aca="false">SQRT(C14^2+C15^2+C16^2)</f>
        <v>1</v>
      </c>
      <c r="D17" s="17" t="n">
        <f aca="false">SQRT(D14^2+D15^2+D16^2)</f>
        <v>0.999993059975918</v>
      </c>
      <c r="E17" s="17" t="n">
        <f aca="false">SQRT(E14^2+E15^2+E16^2)</f>
        <v>10.1903347478659</v>
      </c>
      <c r="F17" s="17" t="n">
        <f aca="false">SQRT(F14^2+F15^2+F16^2)</f>
        <v>15.741745011275</v>
      </c>
      <c r="H17" s="4" t="s">
        <v>812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813</v>
      </c>
      <c r="B18" s="17" t="n">
        <f aca="false">B14/B17</f>
        <v>-0</v>
      </c>
      <c r="C18" s="17" t="n">
        <f aca="false">C14/C17</f>
        <v>-0.988251296971396</v>
      </c>
      <c r="D18" s="17" t="n">
        <f aca="false">D14/D17</f>
        <v>0.559803885052443</v>
      </c>
      <c r="E18" s="17" t="n">
        <f aca="false">E14/E17</f>
        <v>0</v>
      </c>
      <c r="F18" s="17" t="n">
        <f aca="false">F14/F17</f>
        <v>-0</v>
      </c>
      <c r="H18" s="4" t="s">
        <v>814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815</v>
      </c>
      <c r="B19" s="17" t="n">
        <f aca="false">B15/B17</f>
        <v>0.887815385136401</v>
      </c>
      <c r="C19" s="17" t="n">
        <f aca="false">C15/C17</f>
        <v>0.0888613649144828</v>
      </c>
      <c r="D19" s="17" t="n">
        <f aca="false">D15/D17</f>
        <v>0.386802684419945</v>
      </c>
      <c r="E19" s="17" t="n">
        <f aca="false">E15/E17</f>
        <v>0.766019978061545</v>
      </c>
      <c r="F19" s="17" t="n">
        <f aca="false">F15/F17</f>
        <v>0.495878950803039</v>
      </c>
      <c r="H19" s="4" t="s">
        <v>816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817</v>
      </c>
      <c r="B20" s="17" t="n">
        <f aca="false">B16/B17</f>
        <v>-0.460199784783852</v>
      </c>
      <c r="C20" s="17" t="n">
        <f aca="false">C16/C17</f>
        <v>-0.124350439725352</v>
      </c>
      <c r="D20" s="17" t="n">
        <f aca="false">D16/D17</f>
        <v>-0.732805085684942</v>
      </c>
      <c r="E20" s="17" t="n">
        <f aca="false">E16/E17</f>
        <v>0.642816764879845</v>
      </c>
      <c r="F20" s="17" t="n">
        <f aca="false">F16/F17</f>
        <v>0.868391654813931</v>
      </c>
      <c r="H20" s="4" t="s">
        <v>818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819</v>
      </c>
      <c r="B21" s="6" t="s">
        <v>22</v>
      </c>
      <c r="C21" s="6" t="s">
        <v>22</v>
      </c>
      <c r="D21" s="6" t="s">
        <v>22</v>
      </c>
      <c r="E21" s="17" t="n">
        <f aca="false">DEGREES(ACOS(-(E18*$I$13+E19*$J$13+E20*$K$13)))</f>
        <v>0.413804490597159</v>
      </c>
      <c r="F21" s="17" t="n">
        <f aca="false">DEGREES(ACOS(-(F18*$I$13+F19*$J$13+F20*$K$13)))</f>
        <v>20.274138963176</v>
      </c>
      <c r="H21" s="4" t="s">
        <v>820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821</v>
      </c>
      <c r="B22" s="6" t="s">
        <v>22</v>
      </c>
      <c r="C22" s="6" t="s">
        <v>22</v>
      </c>
      <c r="D22" s="6" t="s">
        <v>22</v>
      </c>
      <c r="E22" s="17" t="n">
        <f aca="false">MIN(MAX((COS(RADIANS(E21))-COS(RADIANS($K$15)))/(COS(RADIANS($J$15))-COS(RADIANS($K$15))),0),1)^2</f>
        <v>1</v>
      </c>
      <c r="F22" s="17" t="n">
        <f aca="false">MIN(MAX((COS(RADIANS(F21))-COS(RADIANS($K$15)))/(COS(RADIANS($J$15))-COS(RADIANS($K$15))),0),1)^2</f>
        <v>0</v>
      </c>
      <c r="H22" s="4" t="s">
        <v>822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823</v>
      </c>
      <c r="B23" s="6" t="s">
        <v>22</v>
      </c>
      <c r="C23" s="6" t="s">
        <v>22</v>
      </c>
      <c r="D23" s="6" t="s">
        <v>22</v>
      </c>
      <c r="E23" s="17" t="n">
        <f aca="false">1/(1+$I$16*E17+$J$16*E17^2)</f>
        <v>0.216225360533973</v>
      </c>
      <c r="F23" s="17" t="n">
        <f aca="false">1/(1+$I$16*F17+$J$16*F17^2)</f>
        <v>0.108446186685088</v>
      </c>
      <c r="H23" s="4" t="s">
        <v>824</v>
      </c>
      <c r="I23" s="17" t="n">
        <f aca="false">View_Projection!$B$18</f>
        <v>16.0534917386461</v>
      </c>
      <c r="J23" s="17" t="n">
        <f aca="false">View_Projection!$C$18</f>
        <v>16.2356769911446</v>
      </c>
      <c r="K23" s="17" t="n">
        <f aca="false">View_Projection!$D$18</f>
        <v>25.6909571410306</v>
      </c>
    </row>
    <row r="24" customFormat="false" ht="15" hidden="false" customHeight="false" outlineLevel="0" collapsed="false">
      <c r="A24" s="4" t="s">
        <v>825</v>
      </c>
      <c r="B24" s="17" t="n">
        <f aca="false">1/(SIN(RADIANS(MAX(B9,-1)))+0.50572*(MAX(B9,-1)+6.07995)^(-1.6364))</f>
        <v>1.12572754594895</v>
      </c>
      <c r="C24" s="17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826</v>
      </c>
      <c r="B25" s="17" t="n">
        <f aca="false">$I$7*(MIN(MAX((B9-($J$7))/((10)-($J$7)),0),1)^2*(3-2*MIN(MAX((B9-($J$7))/((10)-($J$7)),0),1)))</f>
        <v>3.2</v>
      </c>
      <c r="C25" s="17" t="n">
        <f aca="false">$I$7*(MIN(MAX((C9-($J$7))/((10)-($J$7)),0),1)^2*(3-2*MIN(MAX((C9-($J$7))/((10)-($J$7)),0),1)))</f>
        <v>1.85996274152325</v>
      </c>
      <c r="D25" s="17" t="n">
        <f aca="false">$I$11</f>
        <v>0.95</v>
      </c>
      <c r="E25" s="17" t="n">
        <f aca="false">$I$15*E22*E23</f>
        <v>1.08112680266986</v>
      </c>
      <c r="F25" s="17" t="n">
        <f aca="false">$I$15*F22*F23</f>
        <v>0</v>
      </c>
      <c r="H25" s="2" t="s">
        <v>827</v>
      </c>
    </row>
    <row r="26" customFormat="false" ht="15" hidden="false" customHeight="false" outlineLevel="0" collapsed="false">
      <c r="A26" s="4" t="s">
        <v>828</v>
      </c>
      <c r="B26" s="17" t="n">
        <f aca="false">MAX(0,$I$22*B18+$J$22*B19+$K$22*B20)</f>
        <v>0.887815385136401</v>
      </c>
      <c r="C26" s="17" t="n">
        <f aca="false">MAX(0,$I$22*C18+$J$22*C19+$K$22*C20)</f>
        <v>0.0888613649144828</v>
      </c>
      <c r="D26" s="17" t="n">
        <f aca="false">MAX(0,$I$22*D18+$J$22*D19+$K$22*D20)</f>
        <v>0.386802684419945</v>
      </c>
      <c r="E26" s="17" t="n">
        <f aca="false">MAX(0,$I$22*E18+$J$22*E19+$K$22*E20)</f>
        <v>0.766019978061545</v>
      </c>
      <c r="F26" s="17" t="n">
        <f aca="false">MAX(0,$I$22*F18+$J$22*F19+$K$22*F20)</f>
        <v>0.495878950803039</v>
      </c>
      <c r="H26" s="2" t="s">
        <v>829</v>
      </c>
    </row>
    <row r="27" customFormat="false" ht="15" hidden="false" customHeight="false" outlineLevel="0" collapsed="false">
      <c r="A27" s="4" t="s">
        <v>830</v>
      </c>
      <c r="B27" s="17" t="n">
        <f aca="false">B18+($I$23-B11)/SQRT(($I$23-B11)^2+($J$23-B12)^2+($K$23-B13)^2)</f>
        <v>0.451425787251919</v>
      </c>
      <c r="C27" s="17" t="n">
        <f aca="false">C18+($I$23-C11)/SQRT(($I$23-C11)^2+($J$23-C12)^2+($K$23-C13)^2)</f>
        <v>-0.536825509719478</v>
      </c>
      <c r="D27" s="17" t="n">
        <f aca="false">D18+($I$23-D11)/SQRT(($I$23-D11)^2+($J$23-D12)^2+($K$23-D13)^2)</f>
        <v>1.01122967230436</v>
      </c>
      <c r="E27" s="17" t="n">
        <f aca="false">E18+($I$23-E11)/SQRT(($I$23-E11)^2+($J$23-E12)^2+($K$23-E13)^2)</f>
        <v>0.526131393437175</v>
      </c>
      <c r="F27" s="17" t="n">
        <f aca="false">F18+($I$23-F11)/SQRT(($I$23-F11)^2+($J$23-F12)^2+($K$23-F13)^2)</f>
        <v>0.451425787251919</v>
      </c>
      <c r="H27" s="2" t="s">
        <v>831</v>
      </c>
    </row>
    <row r="28" customFormat="false" ht="15" hidden="false" customHeight="false" outlineLevel="0" collapsed="false">
      <c r="A28" s="4" t="s">
        <v>832</v>
      </c>
      <c r="B28" s="17" t="n">
        <f aca="false">B19+($J$23-B12)/SQRT(($I$23-B11)^2+($J$23-B12)^2+($K$23-B13)^2)</f>
        <v>1.35701828467917</v>
      </c>
      <c r="C28" s="17" t="n">
        <f aca="false">C19+($J$23-C12)/SQRT(($I$23-C11)^2+($J$23-C12)^2+($K$23-C13)^2)</f>
        <v>0.558064264457254</v>
      </c>
      <c r="D28" s="17" t="n">
        <f aca="false">D19+($J$23-D12)/SQRT(($I$23-D11)^2+($J$23-D12)^2+($K$23-D13)^2)</f>
        <v>0.856005583962716</v>
      </c>
      <c r="E28" s="17" t="n">
        <f aca="false">E19+($J$23-E12)/SQRT(($I$23-E11)^2+($J$23-E12)^2+($K$23-E13)^2)</f>
        <v>1.31287038473412</v>
      </c>
      <c r="F28" s="17" t="n">
        <f aca="false">F19+($J$23-F12)/SQRT(($I$23-F11)^2+($J$23-F12)^2+($K$23-F13)^2)</f>
        <v>0.96508185034581</v>
      </c>
      <c r="H28" s="2" t="s">
        <v>833</v>
      </c>
    </row>
    <row r="29" customFormat="false" ht="15" hidden="false" customHeight="false" outlineLevel="0" collapsed="false">
      <c r="A29" s="4" t="s">
        <v>834</v>
      </c>
      <c r="B29" s="17" t="n">
        <f aca="false">B20+($K$23-B13)/SQRT(($I$23-B11)^2+($J$23-B12)^2+($K$23-B13)^2)</f>
        <v>0.298788619386226</v>
      </c>
      <c r="C29" s="17" t="n">
        <f aca="false">C20+($K$23-C13)/SQRT(($I$23-C11)^2+($J$23-C12)^2+($K$23-C13)^2)</f>
        <v>0.634637964444726</v>
      </c>
      <c r="D29" s="17" t="n">
        <f aca="false">D20+($K$23-D13)/SQRT(($I$23-D11)^2+($J$23-D12)^2+($K$23-D13)^2)</f>
        <v>0.026183318485136</v>
      </c>
      <c r="E29" s="17" t="n">
        <f aca="false">E20+($K$23-E13)/SQRT(($I$23-E11)^2+($J$23-E12)^2+($K$23-E13)^2)</f>
        <v>1.29407738057981</v>
      </c>
      <c r="F29" s="17" t="n">
        <f aca="false">F20+($K$23-F13)/SQRT(($I$23-F11)^2+($J$23-F12)^2+($K$23-F13)^2)</f>
        <v>1.62738005898401</v>
      </c>
      <c r="H29" s="2" t="s">
        <v>835</v>
      </c>
    </row>
    <row r="30" customFormat="false" ht="15" hidden="false" customHeight="false" outlineLevel="0" collapsed="false">
      <c r="A30" s="4" t="s">
        <v>836</v>
      </c>
      <c r="B30" s="17" t="n">
        <f aca="false">MAX(0,($I$22*B27+$J$22*B28+$K$22*B29)/SQRT(B27^2+B28^2+B29^2))</f>
        <v>0.928820234654174</v>
      </c>
      <c r="C30" s="17" t="n">
        <f aca="false">MAX(0,($I$22*C27+$J$22*C28+$K$22*C29)/SQRT(C27^2+C28^2+C29^2))</f>
        <v>0.557400601161171</v>
      </c>
      <c r="D30" s="17" t="n">
        <f aca="false">MAX(0,($I$22*D27+$J$22*D28+$K$22*D29)/SQRT(D27^2+D28^2+D29^2))</f>
        <v>0.645969915337728</v>
      </c>
      <c r="E30" s="17" t="n">
        <f aca="false">MAX(0,($I$22*E27+$J$22*E28+$K$22*E29)/SQRT(E27^2+E28^2+E29^2))</f>
        <v>0.684839029108467</v>
      </c>
      <c r="F30" s="17" t="n">
        <f aca="false">MAX(0,($I$22*F27+$J$22*F28+$K$22*F29)/SQRT(F27^2+F28^2+F29^2))</f>
        <v>0.496152659195824</v>
      </c>
      <c r="H30" s="2" t="s">
        <v>837</v>
      </c>
    </row>
    <row r="31" customFormat="false" ht="15" hidden="false" customHeight="false" outlineLevel="0" collapsed="false">
      <c r="A31" s="4" t="s">
        <v>838</v>
      </c>
      <c r="B31" s="17" t="n">
        <f aca="false">IF(B26&gt;0,B30^$J$20,0)</f>
        <v>0.862707028303034</v>
      </c>
      <c r="C31" s="17" t="n">
        <f aca="false">IF(C26&gt;0,C30^$J$20,0)</f>
        <v>0.310695430174835</v>
      </c>
      <c r="D31" s="17" t="n">
        <f aca="false">IF(D26&gt;0,D30^$J$20,0)</f>
        <v>0.417277131521431</v>
      </c>
      <c r="E31" s="17" t="n">
        <f aca="false">IF(E26&gt;0,E30^$J$20,0)</f>
        <v>0.469004495790227</v>
      </c>
      <c r="F31" s="17" t="n">
        <f aca="false">IF(F26&gt;0,F30^$J$20,0)</f>
        <v>0.246167461227087</v>
      </c>
      <c r="H31" s="2" t="s">
        <v>839</v>
      </c>
    </row>
    <row r="32" customFormat="false" ht="15" hidden="false" customHeight="false" outlineLevel="0" collapsed="false">
      <c r="H32" s="2" t="s">
        <v>840</v>
      </c>
    </row>
    <row r="33" customFormat="false" ht="15" hidden="false" customHeight="false" outlineLevel="0" collapsed="false">
      <c r="A33" s="10" t="s">
        <v>841</v>
      </c>
      <c r="H33" s="2" t="s">
        <v>842</v>
      </c>
    </row>
    <row r="34" customFormat="false" ht="30" hidden="false" customHeight="true" outlineLevel="0" collapsed="false">
      <c r="A34" s="3" t="s">
        <v>843</v>
      </c>
      <c r="B34" s="3" t="s">
        <v>780</v>
      </c>
      <c r="C34" s="3" t="s">
        <v>781</v>
      </c>
      <c r="D34" s="3" t="s">
        <v>782</v>
      </c>
      <c r="E34" s="3" t="s">
        <v>783</v>
      </c>
      <c r="F34" s="3" t="s">
        <v>784</v>
      </c>
      <c r="H34" s="2" t="s">
        <v>844</v>
      </c>
    </row>
    <row r="35" customFormat="false" ht="15" hidden="false" customHeight="false" outlineLevel="0" collapsed="false">
      <c r="A35" s="14" t="s">
        <v>845</v>
      </c>
      <c r="B35" s="17" t="n">
        <f aca="false">EXP(-$I$8*(B24-1))*B25</f>
        <v>3.17595113337234</v>
      </c>
      <c r="C35" s="17" t="n">
        <f aca="false">EXP(-$I$8*(C24-1))*C25</f>
        <v>1.07467530243726</v>
      </c>
      <c r="D35" s="17" t="n">
        <f aca="false">$I$10*D25</f>
        <v>0.5225</v>
      </c>
      <c r="E35" s="17" t="n">
        <f aca="false">$I$14*E25</f>
        <v>1.08112680266986</v>
      </c>
      <c r="F35" s="17" t="n">
        <f aca="false">$I$14*F25</f>
        <v>0</v>
      </c>
    </row>
    <row r="36" customFormat="false" ht="15" hidden="false" customHeight="false" outlineLevel="0" collapsed="false">
      <c r="A36" s="14" t="s">
        <v>846</v>
      </c>
      <c r="B36" s="17" t="n">
        <f aca="false">EXP(-$J$8*(B24-1))*B25</f>
        <v>3.15604852945188</v>
      </c>
      <c r="C36" s="17" t="n">
        <f aca="false">EXP(-$J$8*(C24-1))*C25</f>
        <v>0.680385090235325</v>
      </c>
      <c r="D36" s="17" t="n">
        <f aca="false">$J$10*D25</f>
        <v>0.589</v>
      </c>
      <c r="E36" s="17" t="n">
        <f aca="false">$J$14*E25</f>
        <v>1.02707046253637</v>
      </c>
      <c r="F36" s="17" t="n">
        <f aca="false">$J$14*F25</f>
        <v>0</v>
      </c>
    </row>
    <row r="37" customFormat="false" ht="15" hidden="false" customHeight="false" outlineLevel="0" collapsed="false">
      <c r="A37" s="14" t="s">
        <v>847</v>
      </c>
      <c r="B37" s="17" t="n">
        <f aca="false">EXP(-$K$8*(B24-1))*B25</f>
        <v>3.11661670853327</v>
      </c>
      <c r="C37" s="17" t="n">
        <f aca="false">EXP(-$K$8*(C24-1))*C25</f>
        <v>0.272715503409642</v>
      </c>
      <c r="D37" s="17" t="n">
        <f aca="false">$K$10*D25</f>
        <v>0.76</v>
      </c>
      <c r="E37" s="17" t="n">
        <f aca="false">$K$14*E25</f>
        <v>0.886523978189289</v>
      </c>
      <c r="F37" s="17" t="n">
        <f aca="false">$K$14*F25</f>
        <v>0</v>
      </c>
    </row>
    <row r="38" customFormat="false" ht="15" hidden="false" customHeight="false" outlineLevel="0" collapsed="false">
      <c r="A38" s="14" t="s">
        <v>848</v>
      </c>
      <c r="B38" s="17" t="n">
        <f aca="false">$I$17^(1-B10)*$I$18^B10</f>
        <v>0.34</v>
      </c>
      <c r="C38" s="17" t="n">
        <f aca="false">$I$17^(1-C10)*$I$18^C10</f>
        <v>0.333044786447931</v>
      </c>
      <c r="D38" s="17" t="n">
        <f aca="false">$I$17^(1-D10)*$I$18^D10</f>
        <v>0.06</v>
      </c>
      <c r="E38" s="17" t="n">
        <f aca="false">$I$17^(1-E10)*$I$18^E10</f>
        <v>0.06</v>
      </c>
      <c r="F38" s="17" t="n">
        <f aca="false">$I$17^(1-F10)*$I$18^F10</f>
        <v>0.06</v>
      </c>
    </row>
    <row r="39" customFormat="false" ht="15" hidden="false" customHeight="false" outlineLevel="0" collapsed="false">
      <c r="A39" s="14" t="s">
        <v>849</v>
      </c>
      <c r="B39" s="17" t="n">
        <f aca="false">$J$17^(1-B10)*$J$18^B10</f>
        <v>0.36</v>
      </c>
      <c r="C39" s="17" t="n">
        <f aca="false">$J$17^(1-C10)*$J$18^C10</f>
        <v>0.352731825284462</v>
      </c>
      <c r="D39" s="17" t="n">
        <f aca="false">$J$17^(1-D10)*$J$18^D10</f>
        <v>0.065</v>
      </c>
      <c r="E39" s="17" t="n">
        <f aca="false">$J$17^(1-E10)*$J$18^E10</f>
        <v>0.065</v>
      </c>
      <c r="F39" s="17" t="n">
        <f aca="false">$J$17^(1-F10)*$J$18^F10</f>
        <v>0.065</v>
      </c>
    </row>
    <row r="40" customFormat="false" ht="15" hidden="false" customHeight="false" outlineLevel="0" collapsed="false">
      <c r="A40" s="14" t="s">
        <v>850</v>
      </c>
      <c r="B40" s="17" t="n">
        <f aca="false">$K$17^(1-B10)*$K$18^B10</f>
        <v>0.4</v>
      </c>
      <c r="C40" s="17" t="n">
        <f aca="false">$K$17^(1-C10)*$K$18^C10</f>
        <v>0.392685744158504</v>
      </c>
      <c r="D40" s="17" t="n">
        <f aca="false">$K$17^(1-D10)*$K$18^D10</f>
        <v>0.085</v>
      </c>
      <c r="E40" s="17" t="n">
        <f aca="false">$K$17^(1-E10)*$K$18^E10</f>
        <v>0.085</v>
      </c>
      <c r="F40" s="17" t="n">
        <f aca="false">$K$17^(1-F10)*$K$18^F10</f>
        <v>0.085</v>
      </c>
    </row>
    <row r="41" customFormat="false" ht="15" hidden="false" customHeight="false" outlineLevel="0" collapsed="false">
      <c r="A41" s="14" t="s">
        <v>851</v>
      </c>
      <c r="B41" s="17" t="n">
        <f aca="false">$I$19*B38</f>
        <v>0.102</v>
      </c>
      <c r="C41" s="17" t="n">
        <f aca="false">$I$19*C38</f>
        <v>0.0999134359343793</v>
      </c>
      <c r="D41" s="17" t="n">
        <f aca="false">$I$19*D38</f>
        <v>0.018</v>
      </c>
      <c r="E41" s="17" t="n">
        <f aca="false">$I$19*E38</f>
        <v>0.018</v>
      </c>
      <c r="F41" s="17" t="n">
        <f aca="false">$I$19*F38</f>
        <v>0.018</v>
      </c>
    </row>
    <row r="42" customFormat="false" ht="15" hidden="false" customHeight="false" outlineLevel="0" collapsed="false">
      <c r="A42" s="14" t="s">
        <v>852</v>
      </c>
      <c r="B42" s="17" t="n">
        <f aca="false">$J$19*B39</f>
        <v>0.108</v>
      </c>
      <c r="C42" s="17" t="n">
        <f aca="false">$J$19*C39</f>
        <v>0.105819547585339</v>
      </c>
      <c r="D42" s="17" t="n">
        <f aca="false">$J$19*D39</f>
        <v>0.0195</v>
      </c>
      <c r="E42" s="17" t="n">
        <f aca="false">$J$19*E39</f>
        <v>0.0195</v>
      </c>
      <c r="F42" s="17" t="n">
        <f aca="false">$J$19*F39</f>
        <v>0.0195</v>
      </c>
    </row>
    <row r="43" customFormat="false" ht="15" hidden="false" customHeight="false" outlineLevel="0" collapsed="false">
      <c r="A43" s="14" t="s">
        <v>853</v>
      </c>
      <c r="B43" s="17" t="n">
        <f aca="false">$K$19*B40</f>
        <v>0.112</v>
      </c>
      <c r="C43" s="17" t="n">
        <f aca="false">$K$19*C40</f>
        <v>0.109952008364381</v>
      </c>
      <c r="D43" s="17" t="n">
        <f aca="false">$K$19*D40</f>
        <v>0.0238</v>
      </c>
      <c r="E43" s="17" t="n">
        <f aca="false">$K$19*E40</f>
        <v>0.0238</v>
      </c>
      <c r="F43" s="17" t="n">
        <f aca="false">$K$19*F40</f>
        <v>0.0238</v>
      </c>
    </row>
    <row r="44" customFormat="false" ht="15" hidden="false" customHeight="false" outlineLevel="0" collapsed="false">
      <c r="A44" s="14" t="s">
        <v>854</v>
      </c>
      <c r="B44" s="17" t="n">
        <f aca="false">$I$19*B35*B26</f>
        <v>0.845897483594807</v>
      </c>
      <c r="C44" s="17" t="n">
        <f aca="false">$I$19*C35*C26</f>
        <v>0.0286491342643379</v>
      </c>
      <c r="D44" s="17" t="n">
        <f aca="false">$I$19*D35*D26</f>
        <v>0.0606313207828263</v>
      </c>
      <c r="E44" s="17" t="n">
        <f aca="false">$I$19*E35*E26</f>
        <v>0.248449418898875</v>
      </c>
      <c r="F44" s="17" t="n">
        <f aca="false">$I$19*F35*F26</f>
        <v>0</v>
      </c>
    </row>
    <row r="45" customFormat="false" ht="15" hidden="false" customHeight="false" outlineLevel="0" collapsed="false">
      <c r="A45" s="14" t="s">
        <v>855</v>
      </c>
      <c r="B45" s="17" t="n">
        <f aca="false">$J$19*B36*B26</f>
        <v>0.840596532205347</v>
      </c>
      <c r="C45" s="17" t="n">
        <f aca="false">$J$19*C36*C26</f>
        <v>0.0181379843357324</v>
      </c>
      <c r="D45" s="17" t="n">
        <f aca="false">$J$19*D36*D26</f>
        <v>0.0683480343370043</v>
      </c>
      <c r="E45" s="17" t="n">
        <f aca="false">$J$19*E36*E26</f>
        <v>0.236026947953932</v>
      </c>
      <c r="F45" s="17" t="n">
        <f aca="false">$J$19*F36*F26</f>
        <v>0</v>
      </c>
    </row>
    <row r="46" customFormat="false" ht="15" hidden="false" customHeight="false" outlineLevel="0" collapsed="false">
      <c r="A46" s="14" t="s">
        <v>856</v>
      </c>
      <c r="B46" s="17" t="n">
        <f aca="false">$K$19*B37*B26</f>
        <v>0.774754473754523</v>
      </c>
      <c r="C46" s="17" t="n">
        <f aca="false">$K$19*C37*C26</f>
        <v>0.00678548412256989</v>
      </c>
      <c r="D46" s="17" t="n">
        <f aca="false">$K$19*D37*D26</f>
        <v>0.0823116112445643</v>
      </c>
      <c r="E46" s="17" t="n">
        <f aca="false">$K$19*E37*E26</f>
        <v>0.190146621930606</v>
      </c>
      <c r="F46" s="17" t="n">
        <f aca="false">$K$19*F37*F26</f>
        <v>0</v>
      </c>
    </row>
    <row r="47" customFormat="false" ht="15" hidden="false" customHeight="false" outlineLevel="0" collapsed="false">
      <c r="A47" s="14" t="s">
        <v>857</v>
      </c>
      <c r="B47" s="17" t="n">
        <f aca="false">$I$20*B35*B31</f>
        <v>0.208233567687355</v>
      </c>
      <c r="C47" s="17" t="n">
        <f aca="false">$I$20*C35*C31</f>
        <v>0.0253761496095652</v>
      </c>
      <c r="D47" s="17" t="n">
        <f aca="false">$I$20*D35*D31</f>
        <v>0.016570074892716</v>
      </c>
      <c r="E47" s="17" t="n">
        <f aca="false">$I$20*E35*E31</f>
        <v>0.0385360531538325</v>
      </c>
      <c r="F47" s="17" t="n">
        <f aca="false">$I$20*F35*F31</f>
        <v>0</v>
      </c>
    </row>
    <row r="48" customFormat="false" ht="15" hidden="false" customHeight="false" outlineLevel="0" collapsed="false">
      <c r="A48" s="14" t="s">
        <v>858</v>
      </c>
      <c r="B48" s="17" t="n">
        <f aca="false">$I$20*B36*B31</f>
        <v>0.206928638849793</v>
      </c>
      <c r="C48" s="17" t="n">
        <f aca="false">$I$20*C36*C31</f>
        <v>0.0160658329104358</v>
      </c>
      <c r="D48" s="17" t="n">
        <f aca="false">$I$20*D36*D31</f>
        <v>0.0186789935154253</v>
      </c>
      <c r="E48" s="17" t="n">
        <f aca="false">$I$20*E36*E31</f>
        <v>0.0366092504961409</v>
      </c>
      <c r="F48" s="17" t="n">
        <f aca="false">$I$20*F36*F31</f>
        <v>0</v>
      </c>
    </row>
    <row r="49" customFormat="false" ht="15" hidden="false" customHeight="false" outlineLevel="0" collapsed="false">
      <c r="A49" s="14" t="s">
        <v>859</v>
      </c>
      <c r="B49" s="17" t="n">
        <f aca="false">$I$20*B37*B31</f>
        <v>0.204343262562353</v>
      </c>
      <c r="C49" s="17" t="n">
        <f aca="false">$I$20*C37*C31</f>
        <v>0.0064395910091876</v>
      </c>
      <c r="D49" s="17" t="n">
        <f aca="false">$I$20*D37*D31</f>
        <v>0.0241019271166778</v>
      </c>
      <c r="E49" s="17" t="n">
        <f aca="false">$I$20*E37*E31</f>
        <v>0.0315995635861426</v>
      </c>
      <c r="F49" s="17" t="n">
        <f aca="false">$I$20*F37*F31</f>
        <v>0</v>
      </c>
    </row>
    <row r="50" customFormat="false" ht="15" hidden="false" customHeight="false" outlineLevel="0" collapsed="false">
      <c r="A50" s="4" t="s">
        <v>860</v>
      </c>
      <c r="B50" s="44" t="n">
        <f aca="false">B41+B44+B47</f>
        <v>1.15613105128216</v>
      </c>
      <c r="C50" s="44" t="n">
        <f aca="false">C41+C44+C47</f>
        <v>0.153938719808282</v>
      </c>
      <c r="D50" s="44" t="n">
        <f aca="false">D41+D44+D47</f>
        <v>0.0952013956755424</v>
      </c>
      <c r="E50" s="44" t="n">
        <f aca="false">E41+E44+E47</f>
        <v>0.304985472052708</v>
      </c>
      <c r="F50" s="44" t="n">
        <f aca="false">F41+F44+F47</f>
        <v>0.018</v>
      </c>
    </row>
    <row r="51" customFormat="false" ht="15" hidden="false" customHeight="false" outlineLevel="0" collapsed="false">
      <c r="A51" s="4" t="s">
        <v>861</v>
      </c>
      <c r="B51" s="44" t="n">
        <f aca="false">B42+B45+B48</f>
        <v>1.15552517105514</v>
      </c>
      <c r="C51" s="44" t="n">
        <f aca="false">C42+C45+C48</f>
        <v>0.140023364831507</v>
      </c>
      <c r="D51" s="44" t="n">
        <f aca="false">D42+D45+D48</f>
        <v>0.10652702785243</v>
      </c>
      <c r="E51" s="44" t="n">
        <f aca="false">E42+E45+E48</f>
        <v>0.292136198450072</v>
      </c>
      <c r="F51" s="44" t="n">
        <f aca="false">F42+F45+F48</f>
        <v>0.0195</v>
      </c>
    </row>
    <row r="52" customFormat="false" ht="15" hidden="false" customHeight="false" outlineLevel="0" collapsed="false">
      <c r="A52" s="4" t="s">
        <v>862</v>
      </c>
      <c r="B52" s="44" t="n">
        <f aca="false">B43+B46+B49</f>
        <v>1.09109773631688</v>
      </c>
      <c r="C52" s="44" t="n">
        <f aca="false">C43+C46+C49</f>
        <v>0.123177083496139</v>
      </c>
      <c r="D52" s="44" t="n">
        <f aca="false">D43+D46+D49</f>
        <v>0.130213538361242</v>
      </c>
      <c r="E52" s="44" t="n">
        <f aca="false">E43+E46+E49</f>
        <v>0.245546185516749</v>
      </c>
      <c r="F52" s="44" t="n">
        <f aca="false">F43+F46+F49</f>
        <v>0.0238</v>
      </c>
    </row>
    <row r="53" customFormat="false" ht="15" hidden="false" customHeight="false" outlineLevel="0" collapsed="false">
      <c r="A53" s="4" t="s">
        <v>863</v>
      </c>
      <c r="B53" s="44" t="n">
        <f aca="false">0.2126*B50+0.7152*B51+0.0722*B52</f>
        <v>1.1510023204033</v>
      </c>
      <c r="C53" s="44" t="n">
        <f aca="false">0.2126*C50+0.7152*C51+0.0722*C52</f>
        <v>0.141765467787156</v>
      </c>
      <c r="D53" s="44" t="n">
        <f aca="false">0.2126*D50+0.7152*D51+0.0722*D52</f>
        <v>0.10582936451036</v>
      </c>
      <c r="E53" s="44" t="n">
        <f aca="false">0.2126*E50+0.7152*E51+0.0722*E52</f>
        <v>0.291504155084207</v>
      </c>
      <c r="F53" s="44" t="n">
        <f aca="false">0.2126*F50+0.7152*F51+0.0722*F52</f>
        <v>0.01949156</v>
      </c>
    </row>
    <row r="54" customFormat="false" ht="15" hidden="false" customHeight="false" outlineLevel="0" collapsed="false">
      <c r="A54" s="2" t="s">
        <v>864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865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866</v>
      </c>
    </row>
    <row r="5" customFormat="false" ht="15" hidden="false" customHeight="false" outlineLevel="0" collapsed="false">
      <c r="A5" s="10" t="s">
        <v>867</v>
      </c>
      <c r="K5" s="10" t="s">
        <v>868</v>
      </c>
    </row>
    <row r="6" customFormat="false" ht="18" hidden="false" customHeight="true" outlineLevel="0" collapsed="false">
      <c r="A6" s="3" t="s">
        <v>869</v>
      </c>
      <c r="B6" s="3" t="s">
        <v>870</v>
      </c>
      <c r="C6" s="3" t="s">
        <v>871</v>
      </c>
      <c r="D6" s="3" t="s">
        <v>872</v>
      </c>
      <c r="E6" s="3" t="s">
        <v>873</v>
      </c>
      <c r="F6" s="3" t="s">
        <v>874</v>
      </c>
      <c r="G6" s="3" t="s">
        <v>875</v>
      </c>
      <c r="H6" s="3" t="s">
        <v>876</v>
      </c>
      <c r="I6" s="3" t="s">
        <v>877</v>
      </c>
      <c r="K6" s="3" t="s">
        <v>549</v>
      </c>
      <c r="L6" s="3" t="s">
        <v>878</v>
      </c>
      <c r="M6" s="3" t="s">
        <v>191</v>
      </c>
      <c r="N6" s="3" t="s">
        <v>192</v>
      </c>
      <c r="O6" s="3" t="s">
        <v>879</v>
      </c>
      <c r="P6" s="3" t="s">
        <v>880</v>
      </c>
      <c r="Q6" s="3" t="s">
        <v>881</v>
      </c>
    </row>
    <row r="7" customFormat="false" ht="15" hidden="false" customHeight="false" outlineLevel="0" collapsed="false">
      <c r="A7" s="37" t="s">
        <v>882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7" t="n">
        <f aca="false">$B$11*MAX(0,H7)+$C$11*MAX(0,H7)^$D$11</f>
        <v>0.414780231639984</v>
      </c>
      <c r="K7" s="37" t="s">
        <v>748</v>
      </c>
      <c r="L7" s="8" t="n">
        <v>255</v>
      </c>
      <c r="M7" s="8" t="n">
        <v>64</v>
      </c>
      <c r="N7" s="8" t="n">
        <v>0</v>
      </c>
      <c r="O7" s="17" t="n">
        <f aca="false">IF((L7/255)&lt;=0.04045,(L7/255)/12.92,(((L7/255)+0.055)/1.055)^2.4)</f>
        <v>1</v>
      </c>
      <c r="P7" s="17" t="n">
        <f aca="false">IF((M7/255)&lt;=0.04045,(M7/255)/12.92,(((M7/255)+0.055)/1.055)^2.4)</f>
        <v>0.0512694583740432</v>
      </c>
      <c r="Q7" s="17" t="n">
        <f aca="false">IF((N7/255)&lt;=0.04045,(N7/255)/12.92,(((N7/255)+0.055)/1.055)^2.4)</f>
        <v>0</v>
      </c>
    </row>
    <row r="8" customFormat="false" ht="15" hidden="false" customHeight="false" outlineLevel="0" collapsed="false">
      <c r="A8" s="37" t="s">
        <v>883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7" t="n">
        <f aca="false">$B$11*MAX(0,H8)+$C$11*MAX(0,H8)^$D$11</f>
        <v>0.444543702840811</v>
      </c>
      <c r="K8" s="37" t="s">
        <v>192</v>
      </c>
      <c r="L8" s="8" t="n">
        <v>0</v>
      </c>
      <c r="M8" s="8" t="n">
        <v>128</v>
      </c>
      <c r="N8" s="8" t="n">
        <v>255</v>
      </c>
      <c r="O8" s="17" t="n">
        <f aca="false">IF((L8/255)&lt;=0.04045,(L8/255)/12.92,(((L8/255)+0.055)/1.055)^2.4)</f>
        <v>0</v>
      </c>
      <c r="P8" s="17" t="n">
        <f aca="false">IF((M8/255)&lt;=0.04045,(M8/255)/12.92,(((M8/255)+0.055)/1.055)^2.4)</f>
        <v>0.215860500113899</v>
      </c>
      <c r="Q8" s="17" t="n">
        <f aca="false">IF((N8/255)&lt;=0.04045,(N8/255)/12.92,(((N8/255)+0.055)/1.055)^2.4)</f>
        <v>1</v>
      </c>
    </row>
    <row r="9" customFormat="false" ht="18" hidden="false" customHeight="true" outlineLevel="0" collapsed="false">
      <c r="A9" s="37" t="s">
        <v>884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7" t="n">
        <f aca="false">$B$11*MAX(0,H9)+$C$11*MAX(0,H9)^$D$11</f>
        <v>0.480079753679747</v>
      </c>
      <c r="K9" s="3" t="s">
        <v>885</v>
      </c>
      <c r="L9" s="3" t="s">
        <v>886</v>
      </c>
      <c r="M9" s="3" t="s">
        <v>887</v>
      </c>
      <c r="N9" s="3" t="s">
        <v>888</v>
      </c>
      <c r="O9" s="3" t="s">
        <v>889</v>
      </c>
      <c r="P9" s="3" t="s">
        <v>890</v>
      </c>
      <c r="Q9" s="3" t="s">
        <v>891</v>
      </c>
      <c r="R9" s="3" t="s">
        <v>892</v>
      </c>
      <c r="S9" s="3" t="s">
        <v>893</v>
      </c>
    </row>
    <row r="10" customFormat="false" ht="15" hidden="false" customHeight="false" outlineLevel="0" collapsed="false">
      <c r="A10" s="4" t="s">
        <v>894</v>
      </c>
      <c r="B10" s="45" t="s">
        <v>895</v>
      </c>
      <c r="K10" s="43" t="n">
        <v>0</v>
      </c>
      <c r="L10" s="18" t="n">
        <f aca="false">(1-K10)*$L$7+K10*$L$8</f>
        <v>255</v>
      </c>
      <c r="M10" s="18" t="n">
        <f aca="false">(1-K10)*$M$7+K10*$M$8</f>
        <v>64</v>
      </c>
      <c r="N10" s="18" t="n">
        <f aca="false">(1-K10)*$N$7+K10*$N$8</f>
        <v>0</v>
      </c>
      <c r="O10" s="18" t="n">
        <f aca="false">255*IF(((1-K10)*$O$7+K10*$O$8)&lt;=0.0031308,12.92*((1-K10)*$O$7+K10*$O$8),1.055*((1-K10)*$O$7+K10*$O$8)^(1/2.4)-0.055)</f>
        <v>255</v>
      </c>
      <c r="P10" s="18" t="n">
        <f aca="false">255*IF(((1-K10)*$P$7+K10*$P$8)&lt;=0.0031308,12.92*((1-K10)*$P$7+K10*$P$8),1.055*((1-K10)*$P$7+K10*$P$8)^(1/2.4)-0.055)</f>
        <v>64</v>
      </c>
      <c r="Q10" s="18" t="n">
        <f aca="false">255*IF(((1-K10)*$Q$7+K10*$Q$8)&lt;=0.0031308,12.92*((1-K10)*$Q$7+K10*$Q$8),1.055*((1-K10)*$Q$7+K10*$Q$8)^(1/2.4)-0.055)</f>
        <v>0</v>
      </c>
      <c r="R10" s="17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7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896</v>
      </c>
      <c r="B11" s="13" t="n">
        <v>0.6</v>
      </c>
      <c r="C11" s="13" t="n">
        <v>0.6</v>
      </c>
      <c r="D11" s="8" t="n">
        <v>40</v>
      </c>
      <c r="K11" s="43" t="n">
        <v>0.25</v>
      </c>
      <c r="L11" s="18" t="n">
        <f aca="false">(1-K11)*$L$7+K11*$L$8</f>
        <v>191.25</v>
      </c>
      <c r="M11" s="18" t="n">
        <f aca="false">(1-K11)*$M$7+K11*$M$8</f>
        <v>80</v>
      </c>
      <c r="N11" s="18" t="n">
        <f aca="false">(1-K11)*$N$7+K11*$N$8</f>
        <v>63.75</v>
      </c>
      <c r="O11" s="18" t="n">
        <f aca="false">255*IF(((1-K11)*$O$7+K11*$O$8)&lt;=0.0031308,12.92*((1-K11)*$O$7+K11*$O$8),1.055*((1-K11)*$O$7+K11*$O$8)^(1/2.4)-0.055)</f>
        <v>224.610380378026</v>
      </c>
      <c r="P11" s="18" t="n">
        <f aca="false">255*IF(((1-K11)*$P$7+K11*$P$8)&lt;=0.0031308,12.92*((1-K11)*$P$7+K11*$P$8),1.055*((1-K11)*$P$7+K11*$P$8)^(1/2.4)-0.055)</f>
        <v>85.7120104120941</v>
      </c>
      <c r="Q11" s="18" t="n">
        <f aca="false">255*IF(((1-K11)*$Q$7+K11*$Q$8)&lt;=0.0031308,12.92*((1-K11)*$Q$7+K11*$Q$8),1.055*((1-K11)*$Q$7+K11*$Q$8)^(1/2.4)-0.055)</f>
        <v>136.960176273215</v>
      </c>
      <c r="R11" s="17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7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897</v>
      </c>
      <c r="B12" s="7" t="n">
        <f aca="false">($B$8-$B$7)*($C$9-$C$7)-($C$8-$C$7)*($B$9-$B$7)</f>
        <v>78000</v>
      </c>
      <c r="K12" s="43" t="n">
        <v>0.5</v>
      </c>
      <c r="L12" s="18" t="n">
        <f aca="false">(1-K12)*$L$7+K12*$L$8</f>
        <v>127.5</v>
      </c>
      <c r="M12" s="18" t="n">
        <f aca="false">(1-K12)*$M$7+K12*$M$8</f>
        <v>96</v>
      </c>
      <c r="N12" s="18" t="n">
        <f aca="false">(1-K12)*$N$7+K12*$N$8</f>
        <v>127.5</v>
      </c>
      <c r="O12" s="18" t="n">
        <f aca="false">255*IF(((1-K12)*$O$7+K12*$O$8)&lt;=0.0031308,12.92*((1-K12)*$O$7+K12*$O$8),1.055*((1-K12)*$O$7+K12*$O$8)^(1/2.4)-0.055)</f>
        <v>187.516030678375</v>
      </c>
      <c r="P12" s="18" t="n">
        <f aca="false">255*IF(((1-K12)*$P$7+K12*$P$8)&lt;=0.0031308,12.92*((1-K12)*$P$7+K12*$P$8),1.055*((1-K12)*$P$7+K12*$P$8)^(1/2.4)-0.055)</f>
        <v>102.253090295968</v>
      </c>
      <c r="Q12" s="18" t="n">
        <f aca="false">255*IF(((1-K12)*$Q$7+K12*$Q$8)&lt;=0.0031308,12.92*((1-K12)*$Q$7+K12*$Q$8),1.055*((1-K12)*$Q$7+K12*$Q$8)^(1/2.4)-0.055)</f>
        <v>187.516030678375</v>
      </c>
      <c r="R12" s="17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7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43" t="n">
        <v>0.75</v>
      </c>
      <c r="L13" s="18" t="n">
        <f aca="false">(1-K13)*$L$7+K13*$L$8</f>
        <v>63.75</v>
      </c>
      <c r="M13" s="18" t="n">
        <f aca="false">(1-K13)*$M$7+K13*$M$8</f>
        <v>112</v>
      </c>
      <c r="N13" s="18" t="n">
        <f aca="false">(1-K13)*$N$7+K13*$N$8</f>
        <v>191.25</v>
      </c>
      <c r="O13" s="18" t="n">
        <f aca="false">255*IF(((1-K13)*$O$7+K13*$O$8)&lt;=0.0031308,12.92*((1-K13)*$O$7+K13*$O$8),1.055*((1-K13)*$O$7+K13*$O$8)^(1/2.4)-0.055)</f>
        <v>136.960176273215</v>
      </c>
      <c r="P13" s="18" t="n">
        <f aca="false">255*IF(((1-K13)*$P$7+K13*$P$8)&lt;=0.0031308,12.92*((1-K13)*$P$7+K13*$P$8),1.055*((1-K13)*$P$7+K13*$P$8)^(1/2.4)-0.055)</f>
        <v>116.020265569108</v>
      </c>
      <c r="Q13" s="18" t="n">
        <f aca="false">255*IF(((1-K13)*$Q$7+K13*$Q$8)&lt;=0.0031308,12.92*((1-K13)*$Q$7+K13*$Q$8),1.055*((1-K13)*$Q$7+K13*$Q$8)^(1/2.4)-0.055)</f>
        <v>224.610380378026</v>
      </c>
      <c r="R13" s="17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7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898</v>
      </c>
      <c r="K14" s="43" t="n">
        <v>1</v>
      </c>
      <c r="L14" s="18" t="n">
        <f aca="false">(1-K14)*$L$7+K14*$L$8</f>
        <v>0</v>
      </c>
      <c r="M14" s="18" t="n">
        <f aca="false">(1-K14)*$M$7+K14*$M$8</f>
        <v>128</v>
      </c>
      <c r="N14" s="18" t="n">
        <f aca="false">(1-K14)*$N$7+K14*$N$8</f>
        <v>255</v>
      </c>
      <c r="O14" s="18" t="n">
        <f aca="false">255*IF(((1-K14)*$O$7+K14*$O$8)&lt;=0.0031308,12.92*((1-K14)*$O$7+K14*$O$8),1.055*((1-K14)*$O$7+K14*$O$8)^(1/2.4)-0.055)</f>
        <v>0</v>
      </c>
      <c r="P14" s="18" t="n">
        <f aca="false">255*IF(((1-K14)*$P$7+K14*$P$8)&lt;=0.0031308,12.92*((1-K14)*$P$7+K14*$P$8),1.055*((1-K14)*$P$7+K14*$P$8)^(1/2.4)-0.055)</f>
        <v>128</v>
      </c>
      <c r="Q14" s="18" t="n">
        <f aca="false">255*IF(((1-K14)*$Q$7+K14*$Q$8)&lt;=0.0031308,12.92*((1-K14)*$Q$7+K14*$Q$8),1.055*((1-K14)*$Q$7+K14*$Q$8)^(1/2.4)-0.055)</f>
        <v>255</v>
      </c>
      <c r="R14" s="17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7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899</v>
      </c>
      <c r="B15" s="3" t="s">
        <v>900</v>
      </c>
      <c r="C15" s="3" t="s">
        <v>901</v>
      </c>
      <c r="D15" s="3" t="s">
        <v>902</v>
      </c>
      <c r="E15" s="3" t="s">
        <v>903</v>
      </c>
      <c r="F15" s="3" t="s">
        <v>904</v>
      </c>
      <c r="G15" s="3" t="s">
        <v>477</v>
      </c>
      <c r="H15" s="3" t="s">
        <v>905</v>
      </c>
      <c r="K15" s="2" t="s">
        <v>906</v>
      </c>
    </row>
    <row r="16" customFormat="false" ht="15" hidden="false" customHeight="false" outlineLevel="0" collapsed="false">
      <c r="A16" s="4" t="s">
        <v>907</v>
      </c>
      <c r="B16" s="8" t="n">
        <v>240</v>
      </c>
      <c r="C16" s="8" t="n">
        <v>210</v>
      </c>
      <c r="D16" s="17" t="n">
        <f aca="false">(($B$9-$B$8)*(C16-$C$8)-($C$9-$C$8)*(B16-$B$8))/$B$12</f>
        <v>0.333333333333333</v>
      </c>
      <c r="E16" s="17" t="n">
        <f aca="false">(($B$7-$B$9)*(C16-$C$9)-($C$7-$C$9)*(B16-$B$9))/$B$12</f>
        <v>0.333333333333333</v>
      </c>
      <c r="F16" s="17" t="n">
        <f aca="false">(($B$8-$B$7)*(C16-$C$7)-($C$8-$C$7)*(B16-$B$7))/$B$12</f>
        <v>0.333333333333333</v>
      </c>
      <c r="G16" s="17" t="n">
        <f aca="false">D16+E16+F16</f>
        <v>1</v>
      </c>
      <c r="H16" s="12" t="str">
        <f aca="false">IF(AND(D16&gt;=0,E16&gt;=0,F16&gt;=0),"yes","no")</f>
        <v>yes</v>
      </c>
      <c r="K16" s="2" t="s">
        <v>908</v>
      </c>
    </row>
    <row r="17" customFormat="false" ht="15" hidden="false" customHeight="false" outlineLevel="0" collapsed="false">
      <c r="A17" s="4" t="s">
        <v>909</v>
      </c>
      <c r="B17" s="8" t="n">
        <v>360</v>
      </c>
      <c r="C17" s="8" t="n">
        <v>160</v>
      </c>
      <c r="D17" s="17" t="n">
        <f aca="false">(($B$9-$B$8)*(C17-$C$8)-($C$9-$C$8)*(B17-$B$8))/$B$12</f>
        <v>0.0948717948717949</v>
      </c>
      <c r="E17" s="17" t="n">
        <f aca="false">(($B$7-$B$9)*(C17-$C$9)-($C$7-$C$9)*(B17-$B$9))/$B$12</f>
        <v>0.841025641025641</v>
      </c>
      <c r="F17" s="17" t="n">
        <f aca="false">(($B$8-$B$7)*(C17-$C$7)-($C$8-$C$7)*(B17-$B$7))/$B$12</f>
        <v>0.0641025641025641</v>
      </c>
      <c r="G17" s="17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910</v>
      </c>
      <c r="B18" s="8" t="n">
        <v>160</v>
      </c>
      <c r="C18" s="8" t="n">
        <v>240</v>
      </c>
      <c r="D18" s="17" t="n">
        <f aca="false">(($B$9-$B$8)*(C18-$C$8)-($C$9-$C$8)*(B18-$B$8))/$B$12</f>
        <v>0.5</v>
      </c>
      <c r="E18" s="17" t="n">
        <f aca="false">(($B$7-$B$9)*(C18-$C$9)-($C$7-$C$9)*(B18-$B$9))/$B$12</f>
        <v>0</v>
      </c>
      <c r="F18" s="17" t="n">
        <f aca="false">(($B$8-$B$7)*(C18-$C$7)-($C$8-$C$7)*(B18-$B$7))/$B$12</f>
        <v>0.5</v>
      </c>
      <c r="G18" s="17" t="n">
        <f aca="false">D18+E18+F18</f>
        <v>1</v>
      </c>
      <c r="H18" s="12" t="str">
        <f aca="false">IF(AND(D18&gt;=0,E18&gt;=0,F18&gt;=0),"yes","no")</f>
        <v>yes</v>
      </c>
      <c r="K18" s="10" t="s">
        <v>911</v>
      </c>
      <c r="R18" s="10" t="s">
        <v>912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913</v>
      </c>
      <c r="B19" s="8" t="n">
        <v>200</v>
      </c>
      <c r="C19" s="8" t="n">
        <v>180</v>
      </c>
      <c r="D19" s="17" t="n">
        <f aca="false">(($B$9-$B$8)*(C19-$C$8)-($C$9-$C$8)*(B19-$B$8))/$B$12</f>
        <v>0.520512820512821</v>
      </c>
      <c r="E19" s="17" t="n">
        <f aca="false">(($B$7-$B$9)*(C19-$C$9)-($C$7-$C$9)*(B19-$B$9))/$B$12</f>
        <v>0.235897435897436</v>
      </c>
      <c r="F19" s="17" t="n">
        <f aca="false">(($B$8-$B$7)*(C19-$C$7)-($C$8-$C$7)*(B19-$B$7))/$B$12</f>
        <v>0.243589743589744</v>
      </c>
      <c r="G19" s="17" t="n">
        <f aca="false">D19+E19+F19</f>
        <v>1</v>
      </c>
      <c r="H19" s="12" t="str">
        <f aca="false">IF(AND(D19&gt;=0,E19&gt;=0,F19&gt;=0),"yes","no")</f>
        <v>yes</v>
      </c>
      <c r="K19" s="3" t="s">
        <v>914</v>
      </c>
      <c r="L19" s="3" t="s">
        <v>915</v>
      </c>
      <c r="M19" s="3" t="s">
        <v>916</v>
      </c>
      <c r="N19" s="3" t="s">
        <v>917</v>
      </c>
      <c r="O19" s="3" t="s">
        <v>918</v>
      </c>
      <c r="P19" s="3" t="s">
        <v>919</v>
      </c>
      <c r="Q19" s="3" t="s">
        <v>920</v>
      </c>
      <c r="R19" s="3" t="s">
        <v>921</v>
      </c>
      <c r="S19" s="3" t="s">
        <v>922</v>
      </c>
      <c r="T19" s="3" t="s">
        <v>923</v>
      </c>
      <c r="U19" s="3" t="s">
        <v>924</v>
      </c>
    </row>
    <row r="20" customFormat="false" ht="15" hidden="false" customHeight="false" outlineLevel="0" collapsed="false">
      <c r="A20" s="4" t="s">
        <v>925</v>
      </c>
      <c r="B20" s="8" t="n">
        <v>420</v>
      </c>
      <c r="C20" s="8" t="n">
        <v>330</v>
      </c>
      <c r="D20" s="17" t="n">
        <f aca="false">(($B$9-$B$8)*(C20-$C$8)-($C$9-$C$8)*(B20-$B$8))/$B$12</f>
        <v>-0.474358974358974</v>
      </c>
      <c r="E20" s="17" t="n">
        <f aca="false">(($B$7-$B$9)*(C20-$C$9)-($C$7-$C$9)*(B20-$B$9))/$B$12</f>
        <v>0.794871794871795</v>
      </c>
      <c r="F20" s="17" t="n">
        <f aca="false">(($B$8-$B$7)*(C20-$C$7)-($C$8-$C$7)*(B20-$B$7))/$B$12</f>
        <v>0.67948717948718</v>
      </c>
      <c r="G20" s="17" t="n">
        <f aca="false">D20+E20+F20</f>
        <v>1</v>
      </c>
      <c r="H20" s="12" t="str">
        <f aca="false">IF(AND(D20&gt;=0,E20&gt;=0,F20&gt;=0),"yes","no")</f>
        <v>no</v>
      </c>
      <c r="K20" s="43" t="n">
        <v>0</v>
      </c>
      <c r="L20" s="17" t="n">
        <f aca="false">DEGREES(ASIN(SIN(RADIANS($S$18))*SIN(RADIANS($T$18))+COS(RADIANS($S$18))*COS(RADIANS($T$18))*COS(RADIANS(15*(K20-12)))))</f>
        <v>-71.8</v>
      </c>
      <c r="M20" s="13" t="n">
        <v>-71.8</v>
      </c>
      <c r="N20" s="17" t="n">
        <f aca="false">L20-M20</f>
        <v>0</v>
      </c>
      <c r="O20" s="17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7" t="n">
        <f aca="false">0.2126*Q20+0.7152*R20+0.0722*S20</f>
        <v>0.040401</v>
      </c>
      <c r="U20" s="15" t="s">
        <v>926</v>
      </c>
    </row>
    <row r="21" customFormat="false" ht="15" hidden="false" customHeight="false" outlineLevel="0" collapsed="false">
      <c r="K21" s="43" t="n">
        <v>4</v>
      </c>
      <c r="L21" s="17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7" t="n">
        <f aca="false">L21-M21</f>
        <v>-6.79008077497656E-006</v>
      </c>
      <c r="O21" s="17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7" t="n">
        <f aca="false">0.2126*Q21+0.7152*R21+0.0722*S21</f>
        <v>0.040401</v>
      </c>
      <c r="U21" s="15" t="s">
        <v>926</v>
      </c>
    </row>
    <row r="22" customFormat="false" ht="15" hidden="false" customHeight="false" outlineLevel="0" collapsed="false">
      <c r="A22" s="10" t="s">
        <v>927</v>
      </c>
      <c r="K22" s="43" t="n">
        <v>5.5</v>
      </c>
      <c r="L22" s="17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7" t="n">
        <f aca="false">L22-M22</f>
        <v>1.24396505807312E-005</v>
      </c>
      <c r="O22" s="17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7" t="n">
        <f aca="false">0.2126*Q22+0.7152*R22+0.0722*S22</f>
        <v>0.040401</v>
      </c>
      <c r="U22" s="15" t="s">
        <v>926</v>
      </c>
    </row>
    <row r="23" customFormat="false" ht="18" hidden="false" customHeight="true" outlineLevel="0" collapsed="false">
      <c r="A23" s="3" t="s">
        <v>899</v>
      </c>
      <c r="B23" s="3" t="s">
        <v>928</v>
      </c>
      <c r="C23" s="3" t="s">
        <v>874</v>
      </c>
      <c r="D23" s="3" t="s">
        <v>875</v>
      </c>
      <c r="E23" s="3" t="s">
        <v>876</v>
      </c>
      <c r="F23" s="3" t="s">
        <v>929</v>
      </c>
      <c r="G23" s="3" t="s">
        <v>930</v>
      </c>
      <c r="H23" s="3" t="s">
        <v>931</v>
      </c>
      <c r="K23" s="43" t="n">
        <v>6</v>
      </c>
      <c r="L23" s="17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7" t="n">
        <f aca="false">L23-M23</f>
        <v>5.90390657317919E-006</v>
      </c>
      <c r="O23" s="17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7" t="n">
        <f aca="false">0.2126*Q23+0.7152*R23+0.0722*S23</f>
        <v>0.074577106</v>
      </c>
      <c r="U23" s="15" t="s">
        <v>932</v>
      </c>
    </row>
    <row r="24" customFormat="false" ht="15" hidden="false" customHeight="false" outlineLevel="0" collapsed="false">
      <c r="A24" s="44" t="str">
        <f aca="false">A16</f>
        <v>centroid</v>
      </c>
      <c r="B24" s="17" t="n">
        <f aca="false">D16*$I$7+E16*$I$8+F16*$I$9</f>
        <v>0.446467896053514</v>
      </c>
      <c r="C24" s="17" t="n">
        <f aca="false">D16*$F$7+E16*$F$8+F16*$F$9</f>
        <v>-0.000166666666666648</v>
      </c>
      <c r="D24" s="17" t="n">
        <f aca="false">D16*$G$7+E16*$G$8+F16*$G$9</f>
        <v>-0.0337333333333333</v>
      </c>
      <c r="E24" s="17" t="n">
        <f aca="false">D16*$H$7+E16*$H$8+F16*$H$9</f>
        <v>0.744066666666667</v>
      </c>
      <c r="F24" s="17" t="n">
        <f aca="false">SQRT(C24^2+D24^2+E24^2)</f>
        <v>0.744830967401329</v>
      </c>
      <c r="G24" s="17" t="n">
        <f aca="false">$B$11*MAX(0,(E24/F24))+$C$11*MAX(0,(E24/F24))^$D$11</f>
        <v>1.17524340167064</v>
      </c>
      <c r="H24" s="17" t="n">
        <f aca="false">G24-B24</f>
        <v>0.728775505617124</v>
      </c>
      <c r="K24" s="43" t="n">
        <v>6.5</v>
      </c>
      <c r="L24" s="17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7" t="n">
        <f aca="false">L24-M24</f>
        <v>5.6412828950414E-006</v>
      </c>
      <c r="O24" s="17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7" t="n">
        <f aca="false">0.2126*Q24+0.7152*R24+0.0722*S24</f>
        <v>0.208942</v>
      </c>
      <c r="U24" s="15" t="s">
        <v>933</v>
      </c>
    </row>
    <row r="25" customFormat="false" ht="15" hidden="false" customHeight="false" outlineLevel="0" collapsed="false">
      <c r="A25" s="44" t="str">
        <f aca="false">A17</f>
        <v>near V1</v>
      </c>
      <c r="B25" s="17" t="n">
        <f aca="false">D17*$I$7+E17*$I$8+F17*$I$9</f>
        <v>0.443997940883228</v>
      </c>
      <c r="C25" s="17" t="n">
        <f aca="false">D17*$F$7+E17*$F$8+F17*$F$9</f>
        <v>0.448167179487179</v>
      </c>
      <c r="D25" s="17" t="n">
        <f aca="false">D17*$G$7+E17*$G$8+F17*$G$9</f>
        <v>-0.25220717948718</v>
      </c>
      <c r="E25" s="17" t="n">
        <f aca="false">D17*$H$7+E17*$H$8+F17*$H$9</f>
        <v>0.739982820512821</v>
      </c>
      <c r="F25" s="17" t="n">
        <f aca="false">SQRT(C25^2+D25^2+E25^2)</f>
        <v>0.901130876625855</v>
      </c>
      <c r="G25" s="17" t="n">
        <f aca="false">$B$11*MAX(0,(E25/F25))+$C$11*MAX(0,(E25/F25))^$D$11</f>
        <v>0.492929511021578</v>
      </c>
      <c r="H25" s="17" t="n">
        <f aca="false">G25-B25</f>
        <v>0.0489315701383496</v>
      </c>
      <c r="K25" s="43" t="n">
        <v>7</v>
      </c>
      <c r="L25" s="17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7" t="n">
        <f aca="false">L25-M25</f>
        <v>-5.06945945666359E-006</v>
      </c>
      <c r="O25" s="17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7" t="n">
        <f aca="false">0.2126*Q25+0.7152*R25+0.0722*S25</f>
        <v>0.26145004</v>
      </c>
      <c r="U25" s="15" t="s">
        <v>933</v>
      </c>
    </row>
    <row r="26" customFormat="false" ht="15" hidden="false" customHeight="false" outlineLevel="0" collapsed="false">
      <c r="A26" s="44" t="str">
        <f aca="false">A18</f>
        <v>edge V0-V2 mid</v>
      </c>
      <c r="B26" s="17" t="n">
        <f aca="false">D18*$I$7+E18*$I$8+F18*$I$9</f>
        <v>0.447429992659865</v>
      </c>
      <c r="C26" s="17" t="n">
        <f aca="false">D18*$F$7+E18*$F$8+F18*$F$9</f>
        <v>-0.3006</v>
      </c>
      <c r="D26" s="17" t="n">
        <f aca="false">D18*$G$7+E18*$G$8+F18*$G$9</f>
        <v>0.0996</v>
      </c>
      <c r="E26" s="17" t="n">
        <f aca="false">D18*$H$7+E18*$H$8+F18*$H$9</f>
        <v>0.74565</v>
      </c>
      <c r="F26" s="17" t="n">
        <f aca="false">SQRT(C26^2+D26^2+E26^2)</f>
        <v>0.810107673399037</v>
      </c>
      <c r="G26" s="17" t="n">
        <f aca="false">$B$11*MAX(0,(E26/F26))+$C$11*MAX(0,(E26/F26))^$D$11</f>
        <v>0.574029113052599</v>
      </c>
      <c r="H26" s="17" t="n">
        <f aca="false">G26-B26</f>
        <v>0.126599120392734</v>
      </c>
      <c r="K26" s="43" t="n">
        <v>9</v>
      </c>
      <c r="L26" s="17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7" t="n">
        <f aca="false">L26-M26</f>
        <v>3.33697992402904E-005</v>
      </c>
      <c r="O26" s="17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7" t="n">
        <f aca="false">0.2126*Q26+0.7152*R26+0.0722*S26</f>
        <v>0.39941084</v>
      </c>
      <c r="U26" s="15" t="s">
        <v>933</v>
      </c>
    </row>
    <row r="27" customFormat="false" ht="15" hidden="false" customHeight="false" outlineLevel="0" collapsed="false">
      <c r="A27" s="44" t="str">
        <f aca="false">A19</f>
        <v>centre-left</v>
      </c>
      <c r="B27" s="17" t="n">
        <f aca="false">D19*$I$7+E19*$I$8+F19*$I$9</f>
        <v>0.437707652009865</v>
      </c>
      <c r="C27" s="17" t="n">
        <f aca="false">D19*$F$7+E19*$F$8+F19*$F$9</f>
        <v>-0.171228717948718</v>
      </c>
      <c r="D27" s="17" t="n">
        <f aca="false">D19*$G$7+E19*$G$8+F19*$G$9</f>
        <v>-0.133331282051282</v>
      </c>
      <c r="E27" s="17" t="n">
        <f aca="false">D19*$H$7+E19*$H$8+F19*$H$9</f>
        <v>0.729478717948718</v>
      </c>
      <c r="F27" s="17" t="n">
        <f aca="false">SQRT(C27^2+D27^2+E27^2)</f>
        <v>0.761075360633824</v>
      </c>
      <c r="G27" s="17" t="n">
        <f aca="false">$B$11*MAX(0,(E27/F27))+$C$11*MAX(0,(E27/F27))^$D$11</f>
        <v>0.685130332504821</v>
      </c>
      <c r="H27" s="17" t="n">
        <f aca="false">G27-B27</f>
        <v>0.247422680494956</v>
      </c>
      <c r="K27" s="43" t="n">
        <v>12</v>
      </c>
      <c r="L27" s="17" t="n">
        <f aca="false">DEGREES(ASIN(SIN(RADIANS($S$18))*SIN(RADIANS($T$18))+COS(RADIANS($S$18))*COS(RADIANS($T$18))*COS(RADIANS(15*(K27-12)))))</f>
        <v>62.6</v>
      </c>
      <c r="M27" s="13" t="n">
        <v>62.6</v>
      </c>
      <c r="N27" s="17" t="n">
        <f aca="false">L27-M27</f>
        <v>0</v>
      </c>
      <c r="O27" s="17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7" t="n">
        <f aca="false">0.2126*Q27+0.7152*R27+0.0722*S27</f>
        <v>0.44004836</v>
      </c>
      <c r="U27" s="15" t="s">
        <v>933</v>
      </c>
    </row>
    <row r="28" customFormat="false" ht="15" hidden="false" customHeight="false" outlineLevel="0" collapsed="false">
      <c r="A28" s="2" t="s">
        <v>934</v>
      </c>
      <c r="K28" s="43" t="n">
        <v>15</v>
      </c>
      <c r="L28" s="17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7" t="n">
        <f aca="false">L28-M28</f>
        <v>3.33697992402904E-005</v>
      </c>
      <c r="O28" s="17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7" t="n">
        <f aca="false">0.2126*Q28+0.7152*R28+0.0722*S28</f>
        <v>0.39941084</v>
      </c>
      <c r="U28" s="15" t="s">
        <v>933</v>
      </c>
    </row>
    <row r="29" customFormat="false" ht="15" hidden="false" customHeight="false" outlineLevel="0" collapsed="false">
      <c r="K29" s="43" t="n">
        <v>17</v>
      </c>
      <c r="L29" s="17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7" t="n">
        <f aca="false">L29-M29</f>
        <v>-5.06945945666359E-006</v>
      </c>
      <c r="O29" s="17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7" t="n">
        <f aca="false">0.2126*Q29+0.7152*R29+0.0722*S29</f>
        <v>0.26145004</v>
      </c>
      <c r="U29" s="15" t="s">
        <v>933</v>
      </c>
    </row>
    <row r="30" customFormat="false" ht="15" hidden="false" customHeight="false" outlineLevel="0" collapsed="false">
      <c r="A30" s="10" t="s">
        <v>935</v>
      </c>
      <c r="K30" s="43" t="n">
        <v>17.5</v>
      </c>
      <c r="L30" s="17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7" t="n">
        <f aca="false">L30-M30</f>
        <v>5.6412828950414E-006</v>
      </c>
      <c r="O30" s="17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7" t="n">
        <f aca="false">0.2126*Q30+0.7152*R30+0.0722*S30</f>
        <v>0.208942</v>
      </c>
      <c r="U30" s="15" t="s">
        <v>933</v>
      </c>
    </row>
    <row r="31" customFormat="false" ht="18" hidden="false" customHeight="true" outlineLevel="0" collapsed="false">
      <c r="A31" s="3" t="s">
        <v>899</v>
      </c>
      <c r="B31" s="3" t="s">
        <v>936</v>
      </c>
      <c r="C31" s="3" t="s">
        <v>937</v>
      </c>
      <c r="D31" s="3" t="s">
        <v>938</v>
      </c>
      <c r="K31" s="43" t="n">
        <v>18</v>
      </c>
      <c r="L31" s="17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7" t="n">
        <f aca="false">L31-M31</f>
        <v>5.90390657317919E-006</v>
      </c>
      <c r="O31" s="17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7" t="n">
        <f aca="false">0.2126*Q31+0.7152*R31+0.0722*S31</f>
        <v>0.074577106</v>
      </c>
      <c r="U31" s="15" t="s">
        <v>939</v>
      </c>
    </row>
    <row r="32" customFormat="false" ht="15" hidden="false" customHeight="false" outlineLevel="0" collapsed="false">
      <c r="A32" s="44" t="str">
        <f aca="false">A16</f>
        <v>centroid</v>
      </c>
      <c r="B32" s="17" t="n">
        <f aca="false">D16*$E$7+E16*$E$8+F16*$E$9</f>
        <v>0.5</v>
      </c>
      <c r="C32" s="17" t="n">
        <f aca="false">(D16*$E$7/$D$7+E16*$E$8/$D$8+F16*$E$9/$D$9)/(D16/$D$7+E16/$D$8+F16/$D$9)</f>
        <v>0.222222222222222</v>
      </c>
      <c r="D32" s="17" t="n">
        <f aca="false">B32-C32</f>
        <v>0.277777777777778</v>
      </c>
      <c r="K32" s="43" t="n">
        <v>18.5</v>
      </c>
      <c r="L32" s="17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7" t="n">
        <f aca="false">L32-M32</f>
        <v>1.24396505807312E-005</v>
      </c>
      <c r="O32" s="17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7" t="n">
        <f aca="false">0.2126*Q32+0.7152*R32+0.0722*S32</f>
        <v>0.040401</v>
      </c>
      <c r="U32" s="15" t="s">
        <v>926</v>
      </c>
    </row>
    <row r="33" customFormat="false" ht="15" hidden="false" customHeight="false" outlineLevel="0" collapsed="false">
      <c r="A33" s="44" t="str">
        <f aca="false">A17</f>
        <v>near V1</v>
      </c>
      <c r="B33" s="17" t="n">
        <f aca="false">D17*$E$7+E17*$E$8+F17*$E$9</f>
        <v>0.873076923076923</v>
      </c>
      <c r="C33" s="17" t="n">
        <f aca="false">(D17*$E$7/$D$7+E17*$E$8/$D$8+F17*$E$9/$D$9)/(D17/$D$7+E17/$D$8+F17/$D$9)</f>
        <v>0.685185185185185</v>
      </c>
      <c r="D33" s="17" t="n">
        <f aca="false">B33-C33</f>
        <v>0.187891737891738</v>
      </c>
      <c r="K33" s="43" t="n">
        <v>20</v>
      </c>
      <c r="L33" s="17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7" t="n">
        <f aca="false">L33-M33</f>
        <v>-6.79008077497656E-006</v>
      </c>
      <c r="O33" s="17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7" t="n">
        <f aca="false">0.2126*Q33+0.7152*R33+0.0722*S33</f>
        <v>0.040401</v>
      </c>
      <c r="U33" s="15" t="s">
        <v>926</v>
      </c>
    </row>
    <row r="34" customFormat="false" ht="15" hidden="false" customHeight="false" outlineLevel="0" collapsed="false">
      <c r="A34" s="44" t="str">
        <f aca="false">A18</f>
        <v>edge V0-V2 mid</v>
      </c>
      <c r="B34" s="17" t="n">
        <f aca="false">D18*$E$7+E18*$E$8+F18*$E$9</f>
        <v>0.25</v>
      </c>
      <c r="C34" s="17" t="n">
        <f aca="false">(D18*$E$7/$D$7+E18*$E$8/$D$8+F18*$E$9/$D$9)/(D18/$D$7+E18/$D$8+F18/$D$9)</f>
        <v>0.0454545454545455</v>
      </c>
      <c r="D34" s="17" t="n">
        <f aca="false">B34-C34</f>
        <v>0.204545454545455</v>
      </c>
      <c r="K34" s="43" t="n">
        <v>22</v>
      </c>
      <c r="L34" s="17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7" t="n">
        <f aca="false">L34-M34</f>
        <v>7.18881506145408E-006</v>
      </c>
      <c r="O34" s="17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7" t="n">
        <f aca="false">0.2126*Q34+0.7152*R34+0.0722*S34</f>
        <v>0.040401</v>
      </c>
      <c r="U34" s="15" t="s">
        <v>926</v>
      </c>
    </row>
    <row r="35" customFormat="false" ht="15" hidden="false" customHeight="false" outlineLevel="0" collapsed="false">
      <c r="A35" s="44" t="str">
        <f aca="false">A19</f>
        <v>centre-left</v>
      </c>
      <c r="B35" s="17" t="n">
        <f aca="false">D19*$E$7+E19*$E$8+F19*$E$9</f>
        <v>0.357692307692308</v>
      </c>
      <c r="C35" s="17" t="n">
        <f aca="false">(D19*$E$7/$D$7+E19*$E$8/$D$8+F19*$E$9/$D$9)/(D19/$D$7+E19/$D$8+F19/$D$9)</f>
        <v>0.117834394904459</v>
      </c>
      <c r="D35" s="17" t="n">
        <f aca="false">B35-C35</f>
        <v>0.239857912787849</v>
      </c>
      <c r="K35" s="2" t="s">
        <v>940</v>
      </c>
    </row>
    <row r="36" customFormat="false" ht="15" hidden="false" customHeight="false" outlineLevel="0" collapsed="false">
      <c r="A36" s="2" t="s">
        <v>941</v>
      </c>
      <c r="K36" s="2" t="s">
        <v>942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943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944</v>
      </c>
    </row>
    <row r="5" customFormat="false" ht="15" hidden="false" customHeight="false" outlineLevel="0" collapsed="false">
      <c r="A5" s="3" t="s">
        <v>945</v>
      </c>
      <c r="B5" s="3" t="s">
        <v>564</v>
      </c>
      <c r="C5" s="3" t="s">
        <v>565</v>
      </c>
      <c r="D5" s="3" t="s">
        <v>566</v>
      </c>
      <c r="F5" s="3" t="s">
        <v>946</v>
      </c>
      <c r="G5" s="3" t="s">
        <v>564</v>
      </c>
      <c r="H5" s="3" t="s">
        <v>565</v>
      </c>
      <c r="I5" s="3" t="s">
        <v>566</v>
      </c>
    </row>
    <row r="6" customFormat="false" ht="15" hidden="false" customHeight="false" outlineLevel="0" collapsed="false">
      <c r="A6" s="4" t="s">
        <v>947</v>
      </c>
      <c r="B6" s="8" t="n">
        <v>0</v>
      </c>
      <c r="C6" s="8" t="n">
        <v>2</v>
      </c>
      <c r="D6" s="8" t="n">
        <v>-10</v>
      </c>
      <c r="F6" s="4" t="s">
        <v>948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949</v>
      </c>
      <c r="B7" s="13" t="n">
        <v>0.1</v>
      </c>
      <c r="C7" s="13" t="n">
        <v>-0.05</v>
      </c>
      <c r="D7" s="8" t="n">
        <v>1</v>
      </c>
      <c r="F7" s="4" t="s">
        <v>950</v>
      </c>
      <c r="G7" s="17" t="n">
        <f aca="false">$G$6/SQRT($G$6^2+$H$6^2+$I$6^2)</f>
        <v>0.447213595499958</v>
      </c>
      <c r="H7" s="17" t="n">
        <f aca="false">$H$6/SQRT($G$6^2+$H$6^2+$I$6^2)</f>
        <v>-0.894427190999916</v>
      </c>
      <c r="I7" s="17" t="n">
        <f aca="false">$I$6/SQRT($G$6^2+$H$6^2+$I$6^2)</f>
        <v>0</v>
      </c>
    </row>
    <row r="8" customFormat="false" ht="15" hidden="false" customHeight="false" outlineLevel="0" collapsed="false">
      <c r="A8" s="4" t="s">
        <v>950</v>
      </c>
      <c r="B8" s="17" t="n">
        <f aca="false">$B$7/SQRT($B$7^2+$C$7^2+$D$7^2)</f>
        <v>0.0993807989999907</v>
      </c>
      <c r="C8" s="17" t="n">
        <f aca="false">$C$7/SQRT($B$7^2+$C$7^2+$D$7^2)</f>
        <v>-0.0496903994999953</v>
      </c>
      <c r="D8" s="17" t="n">
        <f aca="false">$D$7/SQRT($B$7^2+$C$7^2+$D$7^2)</f>
        <v>0.993807989999907</v>
      </c>
      <c r="F8" s="4" t="s">
        <v>951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952</v>
      </c>
      <c r="B9" s="8" t="n">
        <v>0</v>
      </c>
      <c r="C9" s="8" t="n">
        <v>1</v>
      </c>
      <c r="D9" s="8" t="n">
        <v>0</v>
      </c>
      <c r="F9" s="4" t="s">
        <v>953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954</v>
      </c>
      <c r="B10" s="13" t="n">
        <v>1.5</v>
      </c>
      <c r="F10" s="4" t="s">
        <v>955</v>
      </c>
      <c r="G10" s="17" t="n">
        <f aca="false">$G$9/$H$9</f>
        <v>0.666666666666667</v>
      </c>
    </row>
    <row r="11" customFormat="false" ht="15" hidden="false" customHeight="false" outlineLevel="0" collapsed="false">
      <c r="A11" s="4" t="s">
        <v>956</v>
      </c>
      <c r="B11" s="17" t="n">
        <f aca="false">$B$6-$B$9</f>
        <v>0</v>
      </c>
      <c r="C11" s="17" t="n">
        <f aca="false">$C$6-$C$9</f>
        <v>1</v>
      </c>
      <c r="D11" s="17" t="n">
        <f aca="false">$D$6-$D$9</f>
        <v>-10</v>
      </c>
      <c r="F11" s="4" t="s">
        <v>957</v>
      </c>
      <c r="G11" s="17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958</v>
      </c>
      <c r="B12" s="17" t="n">
        <f aca="false">$B$8*$B$8+$C$8*$C$8+$D$8*$D$8</f>
        <v>1</v>
      </c>
      <c r="F12" s="4" t="s">
        <v>959</v>
      </c>
      <c r="G12" s="17" t="n">
        <f aca="false">1-$G$10^2*(1-$G$11^2)</f>
        <v>0.911111111111111</v>
      </c>
    </row>
    <row r="13" customFormat="false" ht="15" hidden="false" customHeight="false" outlineLevel="0" collapsed="false">
      <c r="A13" s="4" t="s">
        <v>960</v>
      </c>
      <c r="B13" s="17" t="n">
        <f aca="false">2*($B$8*$B$11+$C$8*$C$11+$D$8*$D$11)</f>
        <v>-19.9755405989981</v>
      </c>
      <c r="F13" s="4" t="s">
        <v>961</v>
      </c>
      <c r="G13" s="17" t="n">
        <f aca="false">IF($G$12&lt;0,"TIR",$G$10*$G$7+($G$10*$G$11-SQRT($G$12))*$G$8)</f>
        <v>0.298142396999972</v>
      </c>
      <c r="H13" s="17" t="n">
        <f aca="false">IF($G$12&lt;0,"TIR",$G$10*$H$7+($G$10*$G$11-SQRT($G$12))*$H$8)</f>
        <v>-0.954521404218424</v>
      </c>
      <c r="I13" s="17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962</v>
      </c>
      <c r="B14" s="17" t="n">
        <f aca="false">$B$11*$B$11+$C$11*$C$11+$D$11*$D$11-$B$10^2</f>
        <v>98.75</v>
      </c>
      <c r="F14" s="4" t="s">
        <v>963</v>
      </c>
      <c r="G14" s="17" t="n">
        <f aca="false">DEGREES(ACOS($G$11))</f>
        <v>26.565051177078</v>
      </c>
    </row>
    <row r="15" customFormat="false" ht="15" hidden="false" customHeight="false" outlineLevel="0" collapsed="false">
      <c r="A15" s="4" t="s">
        <v>964</v>
      </c>
      <c r="B15" s="17" t="n">
        <f aca="false">$B$13^2-4*$B$12*$B$14</f>
        <v>4.02222222222218</v>
      </c>
      <c r="F15" s="4" t="s">
        <v>965</v>
      </c>
      <c r="G15" s="17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966</v>
      </c>
      <c r="B16" s="17" t="n">
        <f aca="false">IF($B$15&gt;=0,(-$B$13-SQRT($B$15))/(2*$B$12),"miss")</f>
        <v>8.98499636906631</v>
      </c>
      <c r="F16" s="4" t="s">
        <v>967</v>
      </c>
      <c r="G16" s="17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968</v>
      </c>
      <c r="B17" s="17" t="n">
        <f aca="false">IF($B$15&gt;=0,(-$B$13+SQRT($B$15))/(2*$B$12),"miss")</f>
        <v>10.9905442299318</v>
      </c>
      <c r="F17" s="4" t="s">
        <v>969</v>
      </c>
      <c r="G17" s="17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970</v>
      </c>
      <c r="B18" s="17" t="n">
        <f aca="false">$B$6+$B$16*$B$8</f>
        <v>0.892936118169825</v>
      </c>
      <c r="C18" s="17" t="n">
        <f aca="false">$C$6+$B$16*$C$8</f>
        <v>1.55353194091509</v>
      </c>
      <c r="D18" s="17" t="n">
        <f aca="false">$D$6+$B$16*$D$8</f>
        <v>-1.07063881830175</v>
      </c>
      <c r="F18" s="4" t="s">
        <v>971</v>
      </c>
      <c r="G18" s="17" t="n">
        <f aca="false">(($G$9-$H$9)/($G$9+$H$9))^2</f>
        <v>0.04</v>
      </c>
    </row>
    <row r="19" customFormat="false" ht="15" hidden="false" customHeight="false" outlineLevel="0" collapsed="false">
      <c r="A19" s="4" t="s">
        <v>972</v>
      </c>
      <c r="B19" s="17" t="n">
        <f aca="false">($B$18-$B$9)/$B$10</f>
        <v>0.59529074544655</v>
      </c>
      <c r="C19" s="17" t="n">
        <f aca="false">($C$18-$C$9)/$B$10</f>
        <v>0.369021293943392</v>
      </c>
      <c r="D19" s="17" t="n">
        <f aca="false">($D$18-$D$9)/$B$10</f>
        <v>-0.713759212201168</v>
      </c>
    </row>
    <row r="20" customFormat="false" ht="15" hidden="false" customHeight="false" outlineLevel="0" collapsed="false">
      <c r="A20" s="4" t="s">
        <v>973</v>
      </c>
      <c r="B20" s="17" t="n">
        <f aca="false">$B$8*$B$19+$C$8*$C$19+$D$8*$D$19</f>
        <v>-0.668515953621834</v>
      </c>
      <c r="F20" s="10" t="s">
        <v>974</v>
      </c>
    </row>
    <row r="21" customFormat="false" ht="20.85" hidden="false" customHeight="false" outlineLevel="0" collapsed="false">
      <c r="A21" s="4" t="s">
        <v>975</v>
      </c>
      <c r="B21" s="17" t="n">
        <f aca="false">$B$8-2*$B$20*$B$19</f>
        <v>0.895303519748896</v>
      </c>
      <c r="C21" s="17" t="n">
        <f aca="false">$C$8-2*$B$20*$C$19</f>
        <v>0.443702844954664</v>
      </c>
      <c r="D21" s="17" t="n">
        <f aca="false">$D$8-2*$B$20*$D$19</f>
        <v>0.0394891491978406</v>
      </c>
      <c r="F21" s="3" t="s">
        <v>963</v>
      </c>
      <c r="G21" s="3" t="s">
        <v>976</v>
      </c>
      <c r="H21" s="3" t="s">
        <v>977</v>
      </c>
      <c r="I21" s="3" t="s">
        <v>978</v>
      </c>
    </row>
    <row r="22" customFormat="false" ht="15" hidden="false" customHeight="false" outlineLevel="0" collapsed="false">
      <c r="A22" s="4" t="s">
        <v>979</v>
      </c>
      <c r="B22" s="17" t="n">
        <f aca="false">SQRT($B$21^2+$C$21^2+$D$21^2)</f>
        <v>0.999999999999997</v>
      </c>
      <c r="F22" s="4" t="s">
        <v>980</v>
      </c>
      <c r="G22" s="17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7" t="n">
        <f aca="false">1-($H$9/$G$9)^2*SIN(RADIANS(F23))^2</f>
        <v>0.73679999850885</v>
      </c>
      <c r="H23" s="12" t="str">
        <f aca="false">IF(G23&lt;0,"yes","no")</f>
        <v>no</v>
      </c>
      <c r="I23" s="17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981</v>
      </c>
      <c r="B24" s="3" t="s">
        <v>564</v>
      </c>
      <c r="C24" s="3" t="s">
        <v>565</v>
      </c>
      <c r="D24" s="3" t="s">
        <v>566</v>
      </c>
      <c r="F24" s="8" t="n">
        <v>30</v>
      </c>
      <c r="G24" s="17" t="n">
        <f aca="false">1-($H$9/$G$9)^2*SIN(RADIANS(F24))^2</f>
        <v>0.4375</v>
      </c>
      <c r="H24" s="12" t="str">
        <f aca="false">IF(G24&lt;0,"yes","no")</f>
        <v>no</v>
      </c>
      <c r="I24" s="17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947</v>
      </c>
      <c r="B25" s="8" t="n">
        <v>0</v>
      </c>
      <c r="C25" s="8" t="n">
        <v>5</v>
      </c>
      <c r="D25" s="8" t="n">
        <v>0</v>
      </c>
      <c r="F25" s="8" t="n">
        <v>41</v>
      </c>
      <c r="G25" s="17" t="n">
        <f aca="false">1-($H$9/$G$9)^2*SIN(RADIANS(F25))^2</f>
        <v>0.0315697385800737</v>
      </c>
      <c r="H25" s="12" t="str">
        <f aca="false">IF(G25&lt;0,"yes","no")</f>
        <v>no</v>
      </c>
      <c r="I25" s="17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949</v>
      </c>
      <c r="B26" s="8" t="n">
        <v>1</v>
      </c>
      <c r="C26" s="8" t="n">
        <v>-1</v>
      </c>
      <c r="D26" s="13" t="n">
        <v>0.5</v>
      </c>
      <c r="F26" s="8" t="n">
        <v>42</v>
      </c>
      <c r="G26" s="17" t="n">
        <f aca="false">1-($H$9/$G$9)^2*SIN(RADIANS(F26))^2</f>
        <v>-0.00740547882388998</v>
      </c>
      <c r="H26" s="12" t="str">
        <f aca="false">IF(G26&lt;0,"yes","no")</f>
        <v>yes</v>
      </c>
      <c r="I26" s="17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950</v>
      </c>
      <c r="B27" s="17" t="n">
        <f aca="false">$B$26/SQRT($B$26^2+$C$26^2+$D$26^2)</f>
        <v>0.666666666666667</v>
      </c>
      <c r="C27" s="17" t="n">
        <f aca="false">$C$26/SQRT($B$26^2+$C$26^2+$D$26^2)</f>
        <v>-0.666666666666667</v>
      </c>
      <c r="D27" s="17" t="n">
        <f aca="false">$D$26/SQRT($B$26^2+$C$26^2+$D$26^2)</f>
        <v>0.333333333333333</v>
      </c>
      <c r="F27" s="8" t="n">
        <v>60</v>
      </c>
      <c r="G27" s="17" t="n">
        <f aca="false">1-($H$9/$G$9)^2*SIN(RADIANS(F27))^2</f>
        <v>-0.6875</v>
      </c>
      <c r="H27" s="12" t="str">
        <f aca="false">IF(G27&lt;0,"yes","no")</f>
        <v>yes</v>
      </c>
      <c r="I27" s="17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982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983</v>
      </c>
      <c r="B29" s="8" t="n">
        <v>0</v>
      </c>
      <c r="C29" s="8" t="n">
        <v>0</v>
      </c>
      <c r="D29" s="8" t="n">
        <v>0</v>
      </c>
      <c r="F29" s="10" t="s">
        <v>984</v>
      </c>
    </row>
    <row r="30" customFormat="false" ht="15" hidden="false" customHeight="false" outlineLevel="0" collapsed="false">
      <c r="A30" s="4" t="s">
        <v>985</v>
      </c>
      <c r="B30" s="17" t="n">
        <f aca="false">$B$28*$B$27+$C$28*$C$27+$D$28*$D$27</f>
        <v>-0.666666666666667</v>
      </c>
      <c r="F30" s="4" t="s">
        <v>986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987</v>
      </c>
      <c r="B31" s="17" t="n">
        <f aca="false">IF($B$30&lt;&gt;0,($B$28*($B$29-$B$25)+$C$28*($C$29-$C$25)+$D$28*($D$29-$D$25))/$B$30,"parallel")</f>
        <v>7.5</v>
      </c>
      <c r="F31" s="3" t="s">
        <v>988</v>
      </c>
      <c r="G31" s="3" t="s">
        <v>989</v>
      </c>
      <c r="H31" s="3" t="s">
        <v>990</v>
      </c>
      <c r="I31" s="3" t="s">
        <v>991</v>
      </c>
    </row>
    <row r="32" customFormat="false" ht="15" hidden="false" customHeight="false" outlineLevel="0" collapsed="false">
      <c r="A32" s="4" t="s">
        <v>992</v>
      </c>
      <c r="B32" s="17" t="n">
        <f aca="false">$B$25+$B$31*$B$27</f>
        <v>5</v>
      </c>
      <c r="C32" s="17" t="n">
        <f aca="false">$C$25+$B$31*$C$27</f>
        <v>0</v>
      </c>
      <c r="D32" s="17" t="n">
        <f aca="false">$D$25+$B$31*$D$27</f>
        <v>2.5</v>
      </c>
      <c r="F32" s="8" t="n">
        <v>0</v>
      </c>
      <c r="G32" s="17" t="n">
        <f aca="false">IF(F32&lt;=$H$30,$G$30^F32,0)</f>
        <v>1</v>
      </c>
      <c r="H32" s="17" t="n">
        <f aca="false">SUM(G32)</f>
        <v>1</v>
      </c>
      <c r="I32" s="17" t="n">
        <f aca="false">H32*(1-$G$30)</f>
        <v>0.5</v>
      </c>
    </row>
    <row r="33" customFormat="false" ht="15" hidden="false" customHeight="false" outlineLevel="0" collapsed="false">
      <c r="A33" s="4" t="s">
        <v>975</v>
      </c>
      <c r="B33" s="17" t="n">
        <f aca="false">$B$27-2*$B$30*$B$28</f>
        <v>0.666666666666667</v>
      </c>
      <c r="C33" s="17" t="n">
        <f aca="false">$C$27-2*$B$30*$C$28</f>
        <v>0.666666666666667</v>
      </c>
      <c r="D33" s="17" t="n">
        <f aca="false">$D$27-2*$B$30*$D$28</f>
        <v>0.333333333333333</v>
      </c>
      <c r="F33" s="8" t="n">
        <v>1</v>
      </c>
      <c r="G33" s="17" t="n">
        <f aca="false">IF(F33&lt;=$H$30,$G$30^F33,0)</f>
        <v>0.5</v>
      </c>
      <c r="H33" s="17" t="n">
        <f aca="false">SUM(G32:G33)</f>
        <v>1.5</v>
      </c>
      <c r="I33" s="17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7" t="n">
        <f aca="false">IF(F34&lt;=$H$30,$G$30^F34,0)</f>
        <v>0.25</v>
      </c>
      <c r="H34" s="17" t="n">
        <f aca="false">SUM(G32:G34)</f>
        <v>1.75</v>
      </c>
      <c r="I34" s="17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7" t="n">
        <f aca="false">IF(F35&lt;=$H$30,$G$30^F35,0)</f>
        <v>0.125</v>
      </c>
      <c r="H35" s="17" t="n">
        <f aca="false">SUM(G32:G35)</f>
        <v>1.875</v>
      </c>
      <c r="I35" s="17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7" t="n">
        <f aca="false">IF(F36&lt;=$H$30,$G$30^F36,0)</f>
        <v>0.0625</v>
      </c>
      <c r="H36" s="17" t="n">
        <f aca="false">SUM(G32:G36)</f>
        <v>1.9375</v>
      </c>
      <c r="I36" s="17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7" t="n">
        <f aca="false">IF(F37&lt;=$H$30,$G$30^F37,0)</f>
        <v>0.03125</v>
      </c>
      <c r="H37" s="17" t="n">
        <f aca="false">SUM(G32:G37)</f>
        <v>1.96875</v>
      </c>
      <c r="I37" s="17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7" t="n">
        <f aca="false">IF(F38&lt;=$H$30,$G$30^F38,0)</f>
        <v>0</v>
      </c>
      <c r="H38" s="17" t="n">
        <f aca="false">SUM(G32:G38)</f>
        <v>1.96875</v>
      </c>
      <c r="I38" s="17" t="n">
        <f aca="false">H38*(1-$G$30)</f>
        <v>0.984375</v>
      </c>
    </row>
    <row r="39" customFormat="false" ht="15" hidden="false" customHeight="false" outlineLevel="0" collapsed="false">
      <c r="F39" s="2" t="s">
        <v>993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994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995</v>
      </c>
    </row>
    <row r="5" customFormat="false" ht="15" hidden="false" customHeight="false" outlineLevel="0" collapsed="false">
      <c r="B5" s="4" t="s">
        <v>996</v>
      </c>
      <c r="C5" s="13" t="n">
        <v>1</v>
      </c>
      <c r="E5" s="45" t="s">
        <v>997</v>
      </c>
      <c r="J5" s="4" t="s">
        <v>998</v>
      </c>
      <c r="K5" s="4"/>
      <c r="L5" s="4"/>
      <c r="M5" s="13" t="n">
        <v>2</v>
      </c>
      <c r="W5" s="10" t="s">
        <v>999</v>
      </c>
    </row>
    <row r="6" customFormat="false" ht="15" hidden="false" customHeight="false" outlineLevel="0" collapsed="false">
      <c r="W6" s="3" t="s">
        <v>1000</v>
      </c>
      <c r="X6" s="3" t="s">
        <v>1001</v>
      </c>
      <c r="Y6" s="3" t="s">
        <v>1002</v>
      </c>
      <c r="Z6" s="3" t="s">
        <v>1003</v>
      </c>
    </row>
    <row r="7" customFormat="false" ht="15" hidden="false" customHeight="false" outlineLevel="0" collapsed="false">
      <c r="B7" s="10" t="s">
        <v>1004</v>
      </c>
      <c r="H7" s="10" t="s">
        <v>1005</v>
      </c>
      <c r="N7" s="10" t="s">
        <v>1006</v>
      </c>
      <c r="T7" s="10" t="s">
        <v>1007</v>
      </c>
      <c r="W7" s="4" t="s">
        <v>1008</v>
      </c>
      <c r="X7" s="38" t="n">
        <v>0.5</v>
      </c>
      <c r="Y7" s="38" t="n">
        <v>1</v>
      </c>
      <c r="Z7" s="38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38" t="n">
        <v>0</v>
      </c>
      <c r="X8" s="17" t="n">
        <f aca="false">W8^(1/$X$7)</f>
        <v>0</v>
      </c>
      <c r="Y8" s="17" t="n">
        <f aca="false">W8^(1/$Y$7)</f>
        <v>0</v>
      </c>
      <c r="Z8" s="17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38" t="n">
        <v>0.1</v>
      </c>
      <c r="X9" s="17" t="n">
        <f aca="false">W9^(1/$X$7)</f>
        <v>0.01</v>
      </c>
      <c r="Y9" s="17" t="n">
        <f aca="false">W9^(1/$Y$7)</f>
        <v>0.1</v>
      </c>
      <c r="Z9" s="17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38" t="n">
        <v>0.2</v>
      </c>
      <c r="X10" s="17" t="n">
        <f aca="false">W10^(1/$X$7)</f>
        <v>0.04</v>
      </c>
      <c r="Y10" s="17" t="n">
        <f aca="false">W10^(1/$Y$7)</f>
        <v>0.2</v>
      </c>
      <c r="Z10" s="17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38" t="n">
        <v>0.3</v>
      </c>
      <c r="X11" s="17" t="n">
        <f aca="false">W11^(1/$X$7)</f>
        <v>0.09</v>
      </c>
      <c r="Y11" s="17" t="n">
        <f aca="false">W11^(1/$Y$7)</f>
        <v>0.3</v>
      </c>
      <c r="Z11" s="17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38" t="n">
        <v>0.4</v>
      </c>
      <c r="X12" s="17" t="n">
        <f aca="false">W12^(1/$X$7)</f>
        <v>0.16</v>
      </c>
      <c r="Y12" s="17" t="n">
        <f aca="false">W12^(1/$Y$7)</f>
        <v>0.4</v>
      </c>
      <c r="Z12" s="17" t="n">
        <f aca="false">W12^(1/$Z$7)</f>
        <v>0.659353290502894</v>
      </c>
    </row>
    <row r="13" customFormat="false" ht="15" hidden="false" customHeight="false" outlineLevel="0" collapsed="false">
      <c r="B13" s="4" t="s">
        <v>477</v>
      </c>
      <c r="C13" s="17" t="n">
        <f aca="false">SUM(H8:L12)</f>
        <v>1</v>
      </c>
      <c r="H13" s="4" t="s">
        <v>1009</v>
      </c>
      <c r="I13" s="4"/>
      <c r="J13" s="4"/>
      <c r="K13" s="4"/>
      <c r="L13" s="17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477</v>
      </c>
      <c r="O13" s="17" t="n">
        <f aca="false">SUM(N8:R12)</f>
        <v>1</v>
      </c>
      <c r="W13" s="38" t="n">
        <v>0.5</v>
      </c>
      <c r="X13" s="17" t="n">
        <f aca="false">W13^(1/$X$7)</f>
        <v>0.25</v>
      </c>
      <c r="Y13" s="17" t="n">
        <f aca="false">W13^(1/$Y$7)</f>
        <v>0.5</v>
      </c>
      <c r="Z13" s="17" t="n">
        <f aca="false">W13^(1/$Z$7)</f>
        <v>0.729740052840723</v>
      </c>
    </row>
    <row r="14" customFormat="false" ht="15" hidden="false" customHeight="false" outlineLevel="0" collapsed="false">
      <c r="W14" s="38" t="n">
        <v>0.6</v>
      </c>
      <c r="X14" s="17" t="n">
        <f aca="false">W14^(1/$X$7)</f>
        <v>0.36</v>
      </c>
      <c r="Y14" s="17" t="n">
        <f aca="false">W14^(1/$Y$7)</f>
        <v>0.6</v>
      </c>
      <c r="Z14" s="17" t="n">
        <f aca="false">W14^(1/$Z$7)</f>
        <v>0.792792730547422</v>
      </c>
    </row>
    <row r="15" customFormat="false" ht="15" hidden="false" customHeight="false" outlineLevel="0" collapsed="false">
      <c r="B15" s="10" t="s">
        <v>1010</v>
      </c>
      <c r="H15" s="10" t="s">
        <v>1011</v>
      </c>
      <c r="L15" s="10" t="s">
        <v>1012</v>
      </c>
      <c r="P15" s="10" t="s">
        <v>1013</v>
      </c>
      <c r="U15" s="45"/>
      <c r="W15" s="38" t="n">
        <v>0.7</v>
      </c>
      <c r="X15" s="17" t="n">
        <f aca="false">W15^(1/$X$7)</f>
        <v>0.49</v>
      </c>
      <c r="Y15" s="17" t="n">
        <f aca="false">W15^(1/$Y$7)</f>
        <v>0.7</v>
      </c>
      <c r="Z15" s="17" t="n">
        <f aca="false">W15^(1/$Z$7)</f>
        <v>0.85033492770203</v>
      </c>
    </row>
    <row r="16" customFormat="false" ht="15" hidden="false" customHeight="false" outlineLevel="0" collapsed="false">
      <c r="B16" s="46" t="n">
        <v>0.2</v>
      </c>
      <c r="C16" s="46" t="n">
        <v>0.22</v>
      </c>
      <c r="D16" s="46" t="n">
        <v>0.25</v>
      </c>
      <c r="E16" s="46" t="n">
        <v>0.3</v>
      </c>
      <c r="F16" s="46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38" t="n">
        <v>0.8</v>
      </c>
      <c r="X16" s="17" t="n">
        <f aca="false">W16^(1/$X$7)</f>
        <v>0.64</v>
      </c>
      <c r="Y16" s="17" t="n">
        <f aca="false">W16^(1/$Y$7)</f>
        <v>0.8</v>
      </c>
      <c r="Z16" s="17" t="n">
        <f aca="false">W16^(1/$Z$7)</f>
        <v>0.903545430919094</v>
      </c>
    </row>
    <row r="17" customFormat="false" ht="15" hidden="false" customHeight="false" outlineLevel="0" collapsed="false">
      <c r="B17" s="46" t="n">
        <v>0.21</v>
      </c>
      <c r="C17" s="46" t="n">
        <v>0.24</v>
      </c>
      <c r="D17" s="46" t="n">
        <v>0.6</v>
      </c>
      <c r="E17" s="46" t="n">
        <v>0.65</v>
      </c>
      <c r="F17" s="46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38" t="n">
        <v>0.9</v>
      </c>
      <c r="X17" s="17" t="n">
        <f aca="false">W17^(1/$X$7)</f>
        <v>0.81</v>
      </c>
      <c r="Y17" s="17" t="n">
        <f aca="false">W17^(1/$Y$7)</f>
        <v>0.9</v>
      </c>
      <c r="Z17" s="17" t="n">
        <f aca="false">W17^(1/$Z$7)</f>
        <v>0.953237547551269</v>
      </c>
    </row>
    <row r="18" customFormat="false" ht="15" hidden="false" customHeight="false" outlineLevel="0" collapsed="false">
      <c r="B18" s="46" t="n">
        <v>0.22</v>
      </c>
      <c r="C18" s="46" t="n">
        <v>0.3</v>
      </c>
      <c r="D18" s="46" t="n">
        <v>0.85</v>
      </c>
      <c r="E18" s="46" t="n">
        <v>0.9</v>
      </c>
      <c r="F18" s="46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38" t="n">
        <v>1</v>
      </c>
      <c r="X18" s="17" t="n">
        <f aca="false">W18^(1/$X$7)</f>
        <v>1</v>
      </c>
      <c r="Y18" s="17" t="n">
        <f aca="false">W18^(1/$Y$7)</f>
        <v>1</v>
      </c>
      <c r="Z18" s="17" t="n">
        <f aca="false">W18^(1/$Z$7)</f>
        <v>1</v>
      </c>
    </row>
    <row r="19" customFormat="false" ht="15" hidden="false" customHeight="false" outlineLevel="0" collapsed="false">
      <c r="B19" s="46" t="n">
        <v>0.2</v>
      </c>
      <c r="C19" s="46" t="n">
        <v>0.28</v>
      </c>
      <c r="D19" s="46" t="n">
        <v>0.7</v>
      </c>
      <c r="E19" s="46" t="n">
        <v>0.75</v>
      </c>
      <c r="F19" s="46" t="n">
        <v>0.36</v>
      </c>
      <c r="P19" s="4" t="s">
        <v>477</v>
      </c>
      <c r="Q19" s="17" t="n">
        <f aca="false">SUM(P16:R18)</f>
        <v>2.08</v>
      </c>
      <c r="R19" s="45" t="s">
        <v>1014</v>
      </c>
      <c r="T19" s="17" t="n">
        <f aca="false">SUMPRODUCT(C17:E19,H16:J18)</f>
        <v>2.08</v>
      </c>
    </row>
    <row r="20" customFormat="false" ht="15" hidden="false" customHeight="false" outlineLevel="0" collapsed="false">
      <c r="B20" s="46" t="n">
        <v>0.19</v>
      </c>
      <c r="C20" s="46" t="n">
        <v>0.21</v>
      </c>
      <c r="D20" s="46" t="n">
        <v>0.26</v>
      </c>
      <c r="E20" s="46" t="n">
        <v>0.31</v>
      </c>
      <c r="F20" s="46" t="n">
        <v>0.3</v>
      </c>
      <c r="W20" s="2" t="s">
        <v>1015</v>
      </c>
    </row>
    <row r="21" customFormat="false" ht="15" hidden="false" customHeight="false" outlineLevel="0" collapsed="false">
      <c r="B21" s="10" t="s">
        <v>1016</v>
      </c>
      <c r="L21" s="17" t="n">
        <f aca="false">SUMPRODUCT(B16:F20,H8:L12)</f>
        <v>0.554483333524285</v>
      </c>
      <c r="N21" s="10" t="s">
        <v>1017</v>
      </c>
      <c r="P21" s="17" t="n">
        <f aca="false">SUMPRODUCT(B16:F20,N8:R12)</f>
        <v>0.5379296875</v>
      </c>
      <c r="R21" s="10" t="s">
        <v>1018</v>
      </c>
      <c r="T21" s="17" t="n">
        <f aca="false">D18</f>
        <v>0.85</v>
      </c>
    </row>
    <row r="23" customFormat="false" ht="15" hidden="false" customHeight="false" outlineLevel="0" collapsed="false">
      <c r="B23" s="10" t="s">
        <v>1019</v>
      </c>
      <c r="F23" s="10" t="s">
        <v>1020</v>
      </c>
      <c r="J23" s="10" t="s">
        <v>1021</v>
      </c>
      <c r="N23" s="10" t="s">
        <v>1022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34" t="n">
        <f aca="false">IF(J24&gt;=$M$5,1,0)</f>
        <v>0</v>
      </c>
      <c r="O24" s="34" t="n">
        <f aca="false">IF(K24&gt;=$M$5,1,0)</f>
        <v>1</v>
      </c>
      <c r="P24" s="3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34" t="n">
        <f aca="false">IF(J25&gt;=$M$5,1,0)</f>
        <v>1</v>
      </c>
      <c r="O25" s="34" t="n">
        <f aca="false">IF(K25&gt;=$M$5,1,0)</f>
        <v>1</v>
      </c>
      <c r="P25" s="3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34" t="n">
        <f aca="false">IF(J26&gt;=$M$5,1,0)</f>
        <v>0</v>
      </c>
      <c r="O26" s="34" t="n">
        <f aca="false">IF(K26&gt;=$M$5,1,0)</f>
        <v>1</v>
      </c>
      <c r="P26" s="34" t="n">
        <f aca="false">IF(L26&gt;=$M$5,1,0)</f>
        <v>1</v>
      </c>
    </row>
    <row r="27" customFormat="false" ht="15" hidden="false" customHeight="false" outlineLevel="0" collapsed="false">
      <c r="B27" s="2" t="s">
        <v>1023</v>
      </c>
    </row>
    <row r="28" customFormat="false" ht="15" hidden="false" customHeight="false" outlineLevel="0" collapsed="false">
      <c r="B28" s="2" t="s">
        <v>1024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1025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1026</v>
      </c>
    </row>
    <row r="5" customFormat="false" ht="15" hidden="false" customHeight="false" outlineLevel="0" collapsed="false">
      <c r="A5" s="10" t="s">
        <v>1027</v>
      </c>
    </row>
    <row r="6" customFormat="false" ht="15" hidden="false" customHeight="false" outlineLevel="0" collapsed="false">
      <c r="A6" s="4" t="s">
        <v>1028</v>
      </c>
      <c r="B6" s="43" t="n">
        <v>0.1</v>
      </c>
      <c r="C6" s="4" t="s">
        <v>1029</v>
      </c>
      <c r="D6" s="43" t="n">
        <v>1.5</v>
      </c>
      <c r="E6" s="4" t="s">
        <v>1030</v>
      </c>
      <c r="F6" s="43" t="n">
        <v>9.21</v>
      </c>
      <c r="G6" s="4" t="s">
        <v>1031</v>
      </c>
      <c r="H6" s="4"/>
      <c r="I6" s="43" t="n">
        <v>0.5</v>
      </c>
    </row>
    <row r="8" customFormat="false" ht="15" hidden="false" customHeight="false" outlineLevel="0" collapsed="false">
      <c r="A8" s="4" t="s">
        <v>1032</v>
      </c>
      <c r="C8" s="10" t="s">
        <v>1033</v>
      </c>
      <c r="H8" s="10" t="s">
        <v>1034</v>
      </c>
      <c r="M8" s="10" t="s">
        <v>1035</v>
      </c>
      <c r="R8" s="10" t="s">
        <v>1036</v>
      </c>
    </row>
    <row r="9" customFormat="false" ht="15" hidden="false" customHeight="false" outlineLevel="0" collapsed="false">
      <c r="A9" s="43" t="n">
        <v>2</v>
      </c>
      <c r="C9" s="34" t="n">
        <v>1</v>
      </c>
      <c r="D9" s="34" t="n">
        <v>0</v>
      </c>
      <c r="E9" s="12" t="n">
        <f aca="false">$B$6</f>
        <v>0.1</v>
      </c>
      <c r="F9" s="34" t="n">
        <v>0</v>
      </c>
      <c r="H9" s="35" t="n">
        <v>0.3</v>
      </c>
      <c r="I9" s="9" t="n">
        <v>0</v>
      </c>
      <c r="J9" s="35" t="n">
        <v>0.1</v>
      </c>
      <c r="K9" s="9" t="n">
        <v>0</v>
      </c>
      <c r="M9" s="12" t="n">
        <f aca="false">$D$6^2*$B$6^4/4</f>
        <v>5.625E-005</v>
      </c>
      <c r="N9" s="34" t="n">
        <v>0</v>
      </c>
      <c r="O9" s="12" t="n">
        <f aca="false">$D$6^2*$B$6^3/2</f>
        <v>0.001125</v>
      </c>
      <c r="P9" s="34" t="n">
        <v>0</v>
      </c>
      <c r="R9" s="12" t="n">
        <f aca="false">C9*H9+D9*H10+E9*H11+F9*H12</f>
        <v>0.31</v>
      </c>
      <c r="S9" s="12" t="n">
        <f aca="false">C9*I9+D9*I10+E9*I11+F9*I12</f>
        <v>0</v>
      </c>
      <c r="T9" s="12" t="n">
        <f aca="false">C9*J9+D9*J10+E9*J11+F9*J12</f>
        <v>0.15</v>
      </c>
      <c r="U9" s="12" t="n">
        <f aca="false">C9*K9+D9*K10+E9*K11+F9*K12</f>
        <v>0</v>
      </c>
    </row>
    <row r="10" customFormat="false" ht="15" hidden="false" customHeight="false" outlineLevel="0" collapsed="false">
      <c r="A10" s="43" t="n">
        <v>5</v>
      </c>
      <c r="C10" s="34" t="n">
        <v>0</v>
      </c>
      <c r="D10" s="34" t="n">
        <v>1</v>
      </c>
      <c r="E10" s="34" t="n">
        <v>0</v>
      </c>
      <c r="F10" s="12" t="n">
        <f aca="false">$B$6</f>
        <v>0.1</v>
      </c>
      <c r="H10" s="9" t="n">
        <v>0</v>
      </c>
      <c r="I10" s="35" t="n">
        <v>0.3</v>
      </c>
      <c r="J10" s="9" t="n">
        <v>0</v>
      </c>
      <c r="K10" s="35" t="n">
        <v>0.1</v>
      </c>
      <c r="M10" s="34" t="n">
        <v>0</v>
      </c>
      <c r="N10" s="12" t="n">
        <f aca="false">$D$6^2*$B$6^4/4</f>
        <v>5.625E-005</v>
      </c>
      <c r="O10" s="34" t="n">
        <v>0</v>
      </c>
      <c r="P10" s="12" t="n">
        <f aca="false">$D$6^2*$B$6^3/2</f>
        <v>0.001125</v>
      </c>
      <c r="R10" s="12" t="n">
        <f aca="false">C10*H9+D10*H10+E10*H11+F10*H12</f>
        <v>0</v>
      </c>
      <c r="S10" s="12" t="n">
        <f aca="false">C10*I9+D10*I10+E10*I11+F10*I12</f>
        <v>0.31</v>
      </c>
      <c r="T10" s="12" t="n">
        <f aca="false">C10*J9+D10*J10+E10*J11+F10*J12</f>
        <v>0</v>
      </c>
      <c r="U10" s="12" t="n">
        <f aca="false">C10*K9+D10*K10+E10*K11+F10*K12</f>
        <v>0.15</v>
      </c>
    </row>
    <row r="11" customFormat="false" ht="15" hidden="false" customHeight="false" outlineLevel="0" collapsed="false">
      <c r="A11" s="43" t="n">
        <v>1.2</v>
      </c>
      <c r="C11" s="34" t="n">
        <v>0</v>
      </c>
      <c r="D11" s="34" t="n">
        <v>0</v>
      </c>
      <c r="E11" s="34" t="n">
        <v>1</v>
      </c>
      <c r="F11" s="34" t="n">
        <v>0</v>
      </c>
      <c r="H11" s="35" t="n">
        <v>0.1</v>
      </c>
      <c r="I11" s="9" t="n">
        <v>0</v>
      </c>
      <c r="J11" s="35" t="n">
        <v>0.5</v>
      </c>
      <c r="K11" s="9" t="n">
        <v>0</v>
      </c>
      <c r="M11" s="12" t="n">
        <f aca="false">$D$6^2*$B$6^3/2</f>
        <v>0.001125</v>
      </c>
      <c r="N11" s="34" t="n">
        <v>0</v>
      </c>
      <c r="O11" s="12" t="n">
        <f aca="false">$D$6^2*$B$6^2</f>
        <v>0.0225</v>
      </c>
      <c r="P11" s="34" t="n">
        <v>0</v>
      </c>
      <c r="R11" s="12" t="n">
        <f aca="false">C11*H9+D11*H10+E11*H11+F11*H12</f>
        <v>0.1</v>
      </c>
      <c r="S11" s="12" t="n">
        <f aca="false">C11*I9+D11*I10+E11*I11+F11*I12</f>
        <v>0</v>
      </c>
      <c r="T11" s="12" t="n">
        <f aca="false">C11*J9+D11*J10+E11*J11+F11*J12</f>
        <v>0.5</v>
      </c>
      <c r="U11" s="12" t="n">
        <f aca="false">C11*K9+D11*K10+E11*K11+F11*K12</f>
        <v>0</v>
      </c>
    </row>
    <row r="12" customFormat="false" ht="15" hidden="false" customHeight="false" outlineLevel="0" collapsed="false">
      <c r="A12" s="43" t="n">
        <v>-0.4</v>
      </c>
      <c r="C12" s="34" t="n">
        <v>0</v>
      </c>
      <c r="D12" s="34" t="n">
        <v>0</v>
      </c>
      <c r="E12" s="34" t="n">
        <v>0</v>
      </c>
      <c r="F12" s="34" t="n">
        <v>1</v>
      </c>
      <c r="H12" s="9" t="n">
        <v>0</v>
      </c>
      <c r="I12" s="35" t="n">
        <v>0.1</v>
      </c>
      <c r="J12" s="9" t="n">
        <v>0</v>
      </c>
      <c r="K12" s="35" t="n">
        <v>0.5</v>
      </c>
      <c r="M12" s="34" t="n">
        <v>0</v>
      </c>
      <c r="N12" s="12" t="n">
        <f aca="false">$D$6^2*$B$6^3/2</f>
        <v>0.001125</v>
      </c>
      <c r="O12" s="34" t="n">
        <v>0</v>
      </c>
      <c r="P12" s="12" t="n">
        <f aca="false">$D$6^2*$B$6^2</f>
        <v>0.0225</v>
      </c>
      <c r="R12" s="12" t="n">
        <f aca="false">C12*H9+D12*H10+E12*H11+F12*H12</f>
        <v>0</v>
      </c>
      <c r="S12" s="12" t="n">
        <f aca="false">C12*I9+D12*I10+E12*I11+F12*I12</f>
        <v>0.1</v>
      </c>
      <c r="T12" s="12" t="n">
        <f aca="false">C12*J9+D12*J10+E12*J11+F12*J12</f>
        <v>0</v>
      </c>
      <c r="U12" s="12" t="n">
        <f aca="false">C12*K9+D12*K10+E12*K11+F12*K12</f>
        <v>0.5</v>
      </c>
    </row>
    <row r="14" customFormat="false" ht="15" hidden="false" customHeight="false" outlineLevel="0" collapsed="false">
      <c r="A14" s="10" t="s">
        <v>1037</v>
      </c>
      <c r="C14" s="10" t="s">
        <v>1038</v>
      </c>
    </row>
    <row r="15" customFormat="false" ht="15" hidden="false" customHeight="false" outlineLevel="0" collapsed="false">
      <c r="A15" s="12" t="n">
        <f aca="false">C9*$A$9+D9*$A$10+E9*$A$11+F9*$A$12</f>
        <v>2.12</v>
      </c>
      <c r="C15" s="12" t="n">
        <f aca="false">R9*C9+S9*D9+T9*E9+U9*F9+M9</f>
        <v>0.32505625</v>
      </c>
      <c r="D15" s="12" t="n">
        <f aca="false">R9*C10+S9*D10+T9*E10+U9*F10+N9</f>
        <v>0</v>
      </c>
      <c r="E15" s="12" t="n">
        <f aca="false">R9*C11+S9*D11+T9*E11+U9*F11+O9</f>
        <v>0.151125</v>
      </c>
      <c r="F15" s="12" t="n">
        <f aca="false">R9*C12+S9*D12+T9*E12+U9*F12+P9</f>
        <v>0</v>
      </c>
    </row>
    <row r="16" customFormat="false" ht="15" hidden="false" customHeight="false" outlineLevel="0" collapsed="false">
      <c r="A16" s="12" t="n">
        <f aca="false">C10*$A$9+D10*$A$10+E10*$A$11+F10*$A$12</f>
        <v>4.96</v>
      </c>
      <c r="C16" s="12" t="n">
        <f aca="false">R10*C9+S10*D9+T10*E9+U10*F9+M10</f>
        <v>0</v>
      </c>
      <c r="D16" s="12" t="n">
        <f aca="false">R10*C10+S10*D10+T10*E10+U10*F10+N10</f>
        <v>0.32505625</v>
      </c>
      <c r="E16" s="12" t="n">
        <f aca="false">R10*C11+S10*D11+T10*E11+U10*F11+O10</f>
        <v>0</v>
      </c>
      <c r="F16" s="12" t="n">
        <f aca="false">R10*C12+S10*D12+T10*E12+U10*F12+P10</f>
        <v>0.151125</v>
      </c>
    </row>
    <row r="17" customFormat="false" ht="15" hidden="false" customHeight="false" outlineLevel="0" collapsed="false">
      <c r="A17" s="12" t="n">
        <f aca="false">C11*$A$9+D11*$A$10+E11*$A$11+F11*$A$12</f>
        <v>1.2</v>
      </c>
      <c r="C17" s="12" t="n">
        <f aca="false">R11*C9+S11*D9+T11*E9+U11*F9+M11</f>
        <v>0.151125</v>
      </c>
      <c r="D17" s="12" t="n">
        <f aca="false">R11*C10+S11*D10+T11*E10+U11*F10+N11</f>
        <v>0</v>
      </c>
      <c r="E17" s="12" t="n">
        <f aca="false">R11*C11+S11*D11+T11*E11+U11*F11+O11</f>
        <v>0.5225</v>
      </c>
      <c r="F17" s="12" t="n">
        <f aca="false">R11*C12+S11*D12+T11*E12+U11*F12+P11</f>
        <v>0</v>
      </c>
    </row>
    <row r="18" customFormat="false" ht="15" hidden="false" customHeight="false" outlineLevel="0" collapsed="false">
      <c r="A18" s="12" t="n">
        <f aca="false">C12*$A$9+D12*$A$10+E12*$A$11+F12*$A$12</f>
        <v>-0.4</v>
      </c>
      <c r="C18" s="12" t="n">
        <f aca="false">R12*C9+S12*D9+T12*E9+U12*F9+M12</f>
        <v>0</v>
      </c>
      <c r="D18" s="12" t="n">
        <f aca="false">R12*C10+S12*D10+T12*E10+U12*F10+N12</f>
        <v>0.151125</v>
      </c>
      <c r="E18" s="12" t="n">
        <f aca="false">R12*C11+S12*D11+T12*E11+U12*F11+O12</f>
        <v>0</v>
      </c>
      <c r="F18" s="12" t="n">
        <f aca="false">R12*C12+S12*D12+T12*E12+U12*F12+P12</f>
        <v>0.5225</v>
      </c>
    </row>
    <row r="20" customFormat="false" ht="15" hidden="false" customHeight="false" outlineLevel="0" collapsed="false">
      <c r="A20" s="10" t="s">
        <v>1039</v>
      </c>
      <c r="M20" s="10" t="s">
        <v>1040</v>
      </c>
    </row>
    <row r="21" customFormat="false" ht="15" hidden="false" customHeight="false" outlineLevel="0" collapsed="false">
      <c r="A21" s="4" t="s">
        <v>1041</v>
      </c>
      <c r="B21" s="43" t="n">
        <v>2.5</v>
      </c>
      <c r="C21" s="43" t="n">
        <v>4.6</v>
      </c>
      <c r="M21" s="3" t="s">
        <v>622</v>
      </c>
      <c r="N21" s="3" t="s">
        <v>1042</v>
      </c>
      <c r="O21" s="3" t="s">
        <v>1043</v>
      </c>
      <c r="P21" s="3" t="s">
        <v>1044</v>
      </c>
      <c r="Q21" s="3" t="s">
        <v>1045</v>
      </c>
    </row>
    <row r="22" customFormat="false" ht="15" hidden="false" customHeight="false" outlineLevel="0" collapsed="false">
      <c r="A22" s="4" t="s">
        <v>1046</v>
      </c>
      <c r="B22" s="17" t="n">
        <f aca="false">B21-A15</f>
        <v>0.38</v>
      </c>
      <c r="C22" s="17" t="n">
        <f aca="false">C21-A16</f>
        <v>-0.36</v>
      </c>
      <c r="M22" s="43" t="n">
        <v>8</v>
      </c>
      <c r="N22" s="43" t="n">
        <v>130</v>
      </c>
      <c r="O22" s="43" t="n">
        <v>0.4</v>
      </c>
      <c r="P22" s="43" t="n">
        <v>60</v>
      </c>
      <c r="Q22" s="43" t="n">
        <v>0.5</v>
      </c>
    </row>
    <row r="23" customFormat="false" ht="18" hidden="false" customHeight="true" outlineLevel="0" collapsed="false">
      <c r="A23" s="10" t="s">
        <v>1047</v>
      </c>
      <c r="D23" s="10" t="s">
        <v>1048</v>
      </c>
      <c r="G23" s="10" t="s">
        <v>1049</v>
      </c>
      <c r="J23" s="10" t="s">
        <v>1050</v>
      </c>
      <c r="M23" s="3" t="s">
        <v>1051</v>
      </c>
      <c r="N23" s="3" t="s">
        <v>1052</v>
      </c>
      <c r="O23" s="3" t="s">
        <v>1053</v>
      </c>
      <c r="P23" s="3" t="s">
        <v>1054</v>
      </c>
      <c r="Q23" s="3" t="s">
        <v>1055</v>
      </c>
      <c r="R23" s="3" t="s">
        <v>1056</v>
      </c>
    </row>
    <row r="24" customFormat="false" ht="15" hidden="false" customHeight="false" outlineLevel="0" collapsed="false">
      <c r="A24" s="12" t="n">
        <f aca="false">C15+$I$6^2</f>
        <v>0.57505625</v>
      </c>
      <c r="B24" s="12" t="n">
        <f aca="false">D15</f>
        <v>0</v>
      </c>
      <c r="D24" s="12" t="n">
        <f aca="false">B25/(A24*B25-B24*A25)</f>
        <v>1.73896031909922</v>
      </c>
      <c r="E24" s="12" t="n">
        <f aca="false">-B24/(A24*B25-B24*A25)</f>
        <v>-0</v>
      </c>
      <c r="G24" s="12" t="n">
        <f aca="false">C15*D24+D15*D25</f>
        <v>0.565259920225195</v>
      </c>
      <c r="H24" s="12" t="n">
        <f aca="false">C15*E24+D15*E25</f>
        <v>0</v>
      </c>
      <c r="J24" s="12" t="n">
        <f aca="false">A15+G24*B22+H24*C22</f>
        <v>2.33479876968557</v>
      </c>
      <c r="M24" s="7" t="n">
        <v>1</v>
      </c>
      <c r="N24" s="38" t="n">
        <v>18</v>
      </c>
      <c r="O24" s="17" t="n">
        <f aca="false">MAX(0,N24-$Q$22)</f>
        <v>17.5</v>
      </c>
      <c r="P24" s="17" t="n">
        <f aca="false">0.5*($M$22+$P$22)*$O$22</f>
        <v>13.6</v>
      </c>
      <c r="Q24" s="17" t="n">
        <f aca="false">IF(O24&lt;=P24,(-$M$22+SQRT($M$22^2+2*$N$22*O24))/$N$22,$O$22+(O24-P24)/$P$22)</f>
        <v>0.465</v>
      </c>
      <c r="R24" s="17" t="n">
        <f aca="false">MAX(Q24,Q25)-Q24</f>
        <v>0</v>
      </c>
    </row>
    <row r="25" customFormat="false" ht="15" hidden="false" customHeight="false" outlineLevel="0" collapsed="false">
      <c r="A25" s="12" t="n">
        <f aca="false">C16</f>
        <v>0</v>
      </c>
      <c r="B25" s="12" t="n">
        <f aca="false">D16+$I$6^2</f>
        <v>0.57505625</v>
      </c>
      <c r="D25" s="12" t="n">
        <f aca="false">-A25/(A24*B25-B24*A25)</f>
        <v>-0</v>
      </c>
      <c r="E25" s="12" t="n">
        <f aca="false">A24/(A24*B25-B24*A25)</f>
        <v>1.73896031909922</v>
      </c>
      <c r="G25" s="12" t="n">
        <f aca="false">C16*D24+D16*D25</f>
        <v>0</v>
      </c>
      <c r="H25" s="12" t="n">
        <f aca="false">C16*E24+D16*E25</f>
        <v>0.565259920225195</v>
      </c>
      <c r="J25" s="12" t="n">
        <f aca="false">A16+G25*B22+H25*C22</f>
        <v>4.75650642871893</v>
      </c>
      <c r="M25" s="7" t="n">
        <v>2</v>
      </c>
      <c r="N25" s="38" t="n">
        <v>9</v>
      </c>
      <c r="O25" s="17" t="n">
        <f aca="false">MAX(0,N25-$Q$22)</f>
        <v>8.5</v>
      </c>
      <c r="P25" s="17" t="n">
        <f aca="false">0.5*($M$22+$P$22)*$O$22</f>
        <v>13.6</v>
      </c>
      <c r="Q25" s="17" t="n">
        <f aca="false">IF(O25&lt;=P25,(-$M$22+SQRT($M$22^2+2*$N$22*O25))/$N$22,$O$22+(O25-P25)/$P$22)</f>
        <v>0.305280585155888</v>
      </c>
      <c r="R25" s="17" t="n">
        <f aca="false">MAX(Q24,Q25)-Q25</f>
        <v>0.159719414844112</v>
      </c>
    </row>
    <row r="26" customFormat="false" ht="15" hidden="false" customHeight="false" outlineLevel="0" collapsed="false">
      <c r="G26" s="12" t="n">
        <f aca="false">C17*D24+D17*D25</f>
        <v>0.262800378223869</v>
      </c>
      <c r="H26" s="12" t="n">
        <f aca="false">C17*E24+D17*E25</f>
        <v>0</v>
      </c>
      <c r="J26" s="12" t="n">
        <f aca="false">A17+G26*B22+H26*C22</f>
        <v>1.29986414372507</v>
      </c>
      <c r="M26" s="2" t="s">
        <v>1057</v>
      </c>
    </row>
    <row r="27" customFormat="false" ht="15" hidden="false" customHeight="false" outlineLevel="0" collapsed="false">
      <c r="A27" s="4" t="s">
        <v>1058</v>
      </c>
      <c r="C27" s="17" t="n">
        <f aca="false">B22*(D24*B22+E24*C22)+C22*(D25*B22+E25*C22)</f>
        <v>0.476475127433186</v>
      </c>
      <c r="D27" s="12" t="str">
        <f aca="false">IF(C27&lt;$F$6,"inside gate","rejected")</f>
        <v>inside gate</v>
      </c>
      <c r="G27" s="12" t="n">
        <f aca="false">C18*D24+D18*D25</f>
        <v>0</v>
      </c>
      <c r="H27" s="12" t="n">
        <f aca="false">C18*E24+D18*E25</f>
        <v>0.262800378223869</v>
      </c>
      <c r="J27" s="12" t="n">
        <f aca="false">A18+G27*B22+H27*C22</f>
        <v>-0.494608136160593</v>
      </c>
    </row>
    <row r="30" customFormat="false" ht="15" hidden="false" customHeight="false" outlineLevel="0" collapsed="false">
      <c r="A30" s="10" t="s">
        <v>1059</v>
      </c>
    </row>
    <row r="31" customFormat="false" ht="18" hidden="false" customHeight="true" outlineLevel="0" collapsed="false">
      <c r="A31" s="3"/>
      <c r="B31" s="3" t="s">
        <v>564</v>
      </c>
      <c r="C31" s="3" t="s">
        <v>565</v>
      </c>
      <c r="D31" s="3" t="s">
        <v>566</v>
      </c>
    </row>
    <row r="32" customFormat="false" ht="15" hidden="false" customHeight="false" outlineLevel="0" collapsed="false">
      <c r="A32" s="4" t="s">
        <v>1060</v>
      </c>
      <c r="B32" s="43" t="n">
        <v>-6</v>
      </c>
      <c r="C32" s="43" t="n">
        <v>8</v>
      </c>
      <c r="D32" s="43" t="n">
        <v>0</v>
      </c>
    </row>
    <row r="33" customFormat="false" ht="15" hidden="false" customHeight="false" outlineLevel="0" collapsed="false">
      <c r="A33" s="4" t="s">
        <v>1061</v>
      </c>
      <c r="B33" s="43" t="n">
        <v>0.55</v>
      </c>
      <c r="C33" s="43" t="n">
        <v>-0.7</v>
      </c>
      <c r="D33" s="43" t="n">
        <v>0.15</v>
      </c>
    </row>
    <row r="34" customFormat="false" ht="15" hidden="false" customHeight="false" outlineLevel="0" collapsed="false">
      <c r="A34" s="4" t="s">
        <v>1062</v>
      </c>
      <c r="B34" s="43" t="n">
        <v>7</v>
      </c>
      <c r="C34" s="43" t="n">
        <v>9</v>
      </c>
      <c r="D34" s="43" t="n">
        <v>5</v>
      </c>
    </row>
    <row r="35" customFormat="false" ht="15" hidden="false" customHeight="false" outlineLevel="0" collapsed="false">
      <c r="A35" s="4" t="s">
        <v>1063</v>
      </c>
      <c r="B35" s="43" t="n">
        <v>-0.5</v>
      </c>
      <c r="C35" s="43" t="n">
        <v>-0.65</v>
      </c>
      <c r="D35" s="43" t="n">
        <v>-0.32</v>
      </c>
    </row>
    <row r="36" customFormat="false" ht="15" hidden="false" customHeight="false" outlineLevel="0" collapsed="false">
      <c r="A36" s="4" t="s">
        <v>1064</v>
      </c>
      <c r="B36" s="17" t="n">
        <f aca="false">($B$33*$B$33+$C$33*$C$33+$D$33*$D$33)</f>
        <v>0.815</v>
      </c>
      <c r="C36" s="4" t="s">
        <v>1065</v>
      </c>
      <c r="D36" s="17" t="n">
        <f aca="false">($B$33*$B$35+$C$33*$C$35+$D$33*$D$35)</f>
        <v>0.132</v>
      </c>
      <c r="E36" s="4" t="s">
        <v>1066</v>
      </c>
      <c r="F36" s="17" t="n">
        <f aca="false">($B$35*$B$35+$C$35*$C$35+$D$35*$D$35)</f>
        <v>0.7749</v>
      </c>
      <c r="G36" s="4" t="s">
        <v>1067</v>
      </c>
      <c r="H36" s="17" t="n">
        <f aca="false">($B$33*($B$32-$B$34)+$C$33*($C$32-$C$34)+$D$33*($D$32-$D$34))</f>
        <v>-7.2</v>
      </c>
      <c r="I36" s="4" t="s">
        <v>1068</v>
      </c>
      <c r="J36" s="17" t="n">
        <f aca="false">($B$35*($B$32-$B$34)+$C$35*($C$32-$C$34)+$D$35*($D$32-$D$34))</f>
        <v>8.75</v>
      </c>
    </row>
    <row r="37" customFormat="false" ht="15" hidden="false" customHeight="false" outlineLevel="0" collapsed="false">
      <c r="A37" s="4" t="s">
        <v>1069</v>
      </c>
      <c r="B37" s="17" t="n">
        <f aca="false">($D$36*$J$36-$F$36*$H$36)/($B$36*$F$36-$D$36^2)</f>
        <v>10.9657485228852</v>
      </c>
      <c r="C37" s="4" t="s">
        <v>885</v>
      </c>
      <c r="D37" s="17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564</v>
      </c>
      <c r="C38" s="3" t="s">
        <v>565</v>
      </c>
      <c r="D38" s="3" t="s">
        <v>566</v>
      </c>
    </row>
    <row r="39" customFormat="false" ht="15" hidden="false" customHeight="false" outlineLevel="0" collapsed="false">
      <c r="A39" s="4" t="s">
        <v>1070</v>
      </c>
      <c r="B39" s="17" t="n">
        <f aca="false">$B$32+$B$37*$B$33</f>
        <v>0.031161687586863</v>
      </c>
      <c r="C39" s="17" t="n">
        <f aca="false">$C$32+$B$37*$C$33</f>
        <v>0.323976033980357</v>
      </c>
      <c r="D39" s="17" t="n">
        <f aca="false">$D$32+$B$37*$D$33</f>
        <v>1.64486227843278</v>
      </c>
    </row>
    <row r="40" customFormat="false" ht="15" hidden="false" customHeight="false" outlineLevel="0" collapsed="false">
      <c r="A40" s="4" t="s">
        <v>1071</v>
      </c>
      <c r="B40" s="17" t="n">
        <f aca="false">$B$34+$D$37*$B$35</f>
        <v>0.420132400941511</v>
      </c>
      <c r="C40" s="17" t="n">
        <f aca="false">$C$34+$D$37*$C$35</f>
        <v>0.446172121223963</v>
      </c>
      <c r="D40" s="17" t="n">
        <f aca="false">$D$34+$D$37*$D$35</f>
        <v>0.788884736602567</v>
      </c>
    </row>
    <row r="41" customFormat="false" ht="15" hidden="false" customHeight="false" outlineLevel="0" collapsed="false">
      <c r="A41" s="4" t="s">
        <v>1072</v>
      </c>
      <c r="B41" s="17" t="n">
        <f aca="false">(B39+B40)/2</f>
        <v>0.225647044264187</v>
      </c>
      <c r="C41" s="17" t="n">
        <f aca="false">(C39+C40)/2</f>
        <v>0.38507407760216</v>
      </c>
      <c r="D41" s="17" t="n">
        <f aca="false">(D39+D40)/2</f>
        <v>1.21687350751767</v>
      </c>
    </row>
    <row r="42" customFormat="false" ht="15" hidden="false" customHeight="false" outlineLevel="0" collapsed="false">
      <c r="A42" s="4" t="s">
        <v>1073</v>
      </c>
      <c r="B42" s="17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1074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1075</v>
      </c>
    </row>
    <row r="5" customFormat="false" ht="27.75" hidden="false" customHeight="true" outlineLevel="0" collapsed="false">
      <c r="B5" s="3" t="s">
        <v>1076</v>
      </c>
      <c r="C5" s="3" t="s">
        <v>1077</v>
      </c>
      <c r="D5" s="3" t="s">
        <v>1078</v>
      </c>
      <c r="E5" s="3" t="s">
        <v>1079</v>
      </c>
      <c r="F5" s="3" t="s">
        <v>1080</v>
      </c>
      <c r="G5" s="3" t="s">
        <v>1081</v>
      </c>
      <c r="H5" s="3" t="s">
        <v>1082</v>
      </c>
      <c r="I5" s="3" t="s">
        <v>1083</v>
      </c>
      <c r="J5" s="3" t="s">
        <v>1084</v>
      </c>
      <c r="K5" s="3" t="s">
        <v>1085</v>
      </c>
      <c r="L5" s="3" t="s">
        <v>1086</v>
      </c>
      <c r="M5" s="3" t="s">
        <v>1028</v>
      </c>
    </row>
    <row r="6" customFormat="false" ht="15" hidden="false" customHeight="false" outlineLevel="0" collapsed="false">
      <c r="A6" s="4" t="s">
        <v>1087</v>
      </c>
      <c r="B6" s="39" t="n">
        <v>0.06</v>
      </c>
      <c r="C6" s="39" t="n">
        <v>0.05</v>
      </c>
      <c r="D6" s="39" t="n">
        <v>0.12</v>
      </c>
      <c r="E6" s="39" t="n">
        <v>3.2</v>
      </c>
      <c r="F6" s="39" t="n">
        <v>0.25</v>
      </c>
      <c r="G6" s="39" t="n">
        <v>0.75</v>
      </c>
      <c r="H6" s="39" t="n">
        <v>0.6</v>
      </c>
      <c r="I6" s="39" t="n">
        <v>2.5</v>
      </c>
      <c r="J6" s="39" t="n">
        <v>0.5</v>
      </c>
      <c r="K6" s="39" t="n">
        <v>0.07</v>
      </c>
      <c r="L6" s="39" t="n">
        <v>0.45</v>
      </c>
      <c r="M6" s="39" t="n">
        <v>0.0166666666666667</v>
      </c>
    </row>
    <row r="8" customFormat="false" ht="15" hidden="false" customHeight="false" outlineLevel="0" collapsed="false">
      <c r="A8" s="10" t="s">
        <v>1088</v>
      </c>
    </row>
    <row r="9" customFormat="false" ht="18" hidden="false" customHeight="true" outlineLevel="0" collapsed="false">
      <c r="A9" s="3" t="s">
        <v>1089</v>
      </c>
      <c r="B9" s="3" t="s">
        <v>1090</v>
      </c>
      <c r="C9" s="3" t="s">
        <v>1091</v>
      </c>
      <c r="D9" s="3" t="s">
        <v>1092</v>
      </c>
    </row>
    <row r="10" customFormat="false" ht="15" hidden="false" customHeight="false" outlineLevel="0" collapsed="false">
      <c r="A10" s="7" t="n">
        <v>0</v>
      </c>
      <c r="B10" s="17" t="n">
        <f aca="false">-2*$B$6+A10*$B$6</f>
        <v>-0.12</v>
      </c>
      <c r="C10" s="17" t="n">
        <f aca="false">ABS(B10-$K$6)</f>
        <v>0.19</v>
      </c>
      <c r="D10" s="7" t="n">
        <f aca="false">IF(C10&lt;$C$6,1,0)</f>
        <v>0</v>
      </c>
    </row>
    <row r="11" customFormat="false" ht="15" hidden="false" customHeight="false" outlineLevel="0" collapsed="false">
      <c r="A11" s="7" t="n">
        <v>1</v>
      </c>
      <c r="B11" s="17" t="n">
        <f aca="false">-2*$B$6+A11*$B$6</f>
        <v>-0.06</v>
      </c>
      <c r="C11" s="17" t="n">
        <f aca="false">ABS(B11-$K$6)</f>
        <v>0.13</v>
      </c>
      <c r="D11" s="7" t="n">
        <f aca="false">IF(C11&lt;$C$6,1,0)</f>
        <v>0</v>
      </c>
    </row>
    <row r="12" customFormat="false" ht="15" hidden="false" customHeight="false" outlineLevel="0" collapsed="false">
      <c r="A12" s="7" t="n">
        <v>2</v>
      </c>
      <c r="B12" s="17" t="n">
        <f aca="false">-2*$B$6+A12*$B$6</f>
        <v>0</v>
      </c>
      <c r="C12" s="17" t="n">
        <f aca="false">ABS(B12-$K$6)</f>
        <v>0.07</v>
      </c>
      <c r="D12" s="7" t="n">
        <f aca="false">IF(C12&lt;$C$6,1,0)</f>
        <v>0</v>
      </c>
    </row>
    <row r="13" customFormat="false" ht="15" hidden="false" customHeight="false" outlineLevel="0" collapsed="false">
      <c r="A13" s="7" t="n">
        <v>3</v>
      </c>
      <c r="B13" s="17" t="n">
        <f aca="false">-2*$B$6+A13*$B$6</f>
        <v>0.06</v>
      </c>
      <c r="C13" s="17" t="n">
        <f aca="false">ABS(B13-$K$6)</f>
        <v>0.01</v>
      </c>
      <c r="D13" s="7" t="n">
        <f aca="false">IF(C13&lt;$C$6,1,0)</f>
        <v>1</v>
      </c>
    </row>
    <row r="14" customFormat="false" ht="15" hidden="false" customHeight="false" outlineLevel="0" collapsed="false">
      <c r="A14" s="7" t="n">
        <v>4</v>
      </c>
      <c r="B14" s="17" t="n">
        <f aca="false">-2*$B$6+A14*$B$6</f>
        <v>0.12</v>
      </c>
      <c r="C14" s="17" t="n">
        <f aca="false">ABS(B14-$K$6)</f>
        <v>0.05</v>
      </c>
      <c r="D14" s="7" t="n">
        <f aca="false">IF(C14&lt;$C$6,1,0)</f>
        <v>0</v>
      </c>
    </row>
    <row r="16" customFormat="false" ht="15" hidden="false" customHeight="false" outlineLevel="0" collapsed="false">
      <c r="A16" s="10" t="s">
        <v>1093</v>
      </c>
    </row>
    <row r="17" customFormat="false" ht="15" hidden="false" customHeight="false" outlineLevel="0" collapsed="false">
      <c r="A17" s="4" t="s">
        <v>1094</v>
      </c>
      <c r="B17" s="17" t="n">
        <f aca="false">SUM(D10:D14)</f>
        <v>1</v>
      </c>
    </row>
    <row r="18" customFormat="false" ht="15" hidden="false" customHeight="false" outlineLevel="0" collapsed="false">
      <c r="A18" s="4" t="s">
        <v>1095</v>
      </c>
      <c r="B18" s="17" t="n">
        <f aca="false">IF(B17&gt;0,SUMPRODUCT(B10:B14,D10:D14)/B17/$D$6,1)</f>
        <v>0.5</v>
      </c>
    </row>
    <row r="19" customFormat="false" ht="15" hidden="false" customHeight="false" outlineLevel="0" collapsed="false">
      <c r="A19" s="4" t="s">
        <v>1096</v>
      </c>
      <c r="B19" s="17" t="n">
        <f aca="false">(B18-$L$6)/$M$6</f>
        <v>3</v>
      </c>
    </row>
    <row r="20" customFormat="false" ht="15" hidden="false" customHeight="false" outlineLevel="0" collapsed="false">
      <c r="A20" s="4" t="s">
        <v>1097</v>
      </c>
      <c r="B20" s="17" t="n">
        <f aca="false">MAX(-$I$6,MIN($I$6,$E$6*B18+$F$6*B19))</f>
        <v>2.35</v>
      </c>
    </row>
    <row r="21" customFormat="false" ht="15" hidden="false" customHeight="false" outlineLevel="0" collapsed="false">
      <c r="A21" s="4" t="s">
        <v>1098</v>
      </c>
      <c r="B21" s="17" t="n">
        <f aca="false">$G$6*(1-$H$6*ABS(B18))</f>
        <v>0.525</v>
      </c>
    </row>
    <row r="22" customFormat="false" ht="15" hidden="false" customHeight="false" outlineLevel="0" collapsed="false">
      <c r="A22" s="4" t="s">
        <v>1099</v>
      </c>
      <c r="B22" s="17" t="n">
        <f aca="false">B21-B20*$J$6/2</f>
        <v>-0.0625</v>
      </c>
    </row>
    <row r="23" customFormat="false" ht="15" hidden="false" customHeight="false" outlineLevel="0" collapsed="false">
      <c r="A23" s="4" t="s">
        <v>1100</v>
      </c>
      <c r="B23" s="17" t="n">
        <f aca="false">B21+B20*$J$6/2</f>
        <v>1.1125</v>
      </c>
    </row>
    <row r="24" customFormat="false" ht="15" hidden="false" customHeight="false" outlineLevel="0" collapsed="false">
      <c r="A24" s="4" t="s">
        <v>1101</v>
      </c>
      <c r="B24" s="12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1102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1103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1104</v>
      </c>
    </row>
    <row r="5" customFormat="false" ht="15" hidden="false" customHeight="false" outlineLevel="0" collapsed="false">
      <c r="A5" s="10" t="s">
        <v>1087</v>
      </c>
    </row>
    <row r="6" customFormat="false" ht="27.75" hidden="false" customHeight="true" outlineLevel="0" collapsed="false">
      <c r="B6" s="3" t="s">
        <v>1105</v>
      </c>
      <c r="C6" s="3" t="s">
        <v>1106</v>
      </c>
      <c r="D6" s="3" t="s">
        <v>1107</v>
      </c>
      <c r="E6" s="3" t="s">
        <v>1108</v>
      </c>
      <c r="F6" s="3" t="s">
        <v>1109</v>
      </c>
      <c r="G6" s="3" t="s">
        <v>1110</v>
      </c>
      <c r="H6" s="3" t="s">
        <v>1111</v>
      </c>
      <c r="I6" s="3" t="s">
        <v>1112</v>
      </c>
    </row>
    <row r="7" customFormat="false" ht="15" hidden="false" customHeight="false" outlineLevel="0" collapsed="false">
      <c r="B7" s="43" t="n">
        <v>0.45</v>
      </c>
      <c r="C7" s="43" t="n">
        <v>1.9</v>
      </c>
      <c r="D7" s="43" t="n">
        <v>0.85</v>
      </c>
      <c r="E7" s="43" t="n">
        <v>4.5</v>
      </c>
      <c r="F7" s="43" t="n">
        <v>0.6</v>
      </c>
      <c r="G7" s="43" t="n">
        <v>0.5</v>
      </c>
      <c r="H7" s="43" t="n">
        <v>5</v>
      </c>
      <c r="I7" s="43" t="n">
        <v>0.9</v>
      </c>
    </row>
    <row r="9" customFormat="false" ht="15" hidden="false" customHeight="false" outlineLevel="0" collapsed="false">
      <c r="A9" s="10" t="s">
        <v>1113</v>
      </c>
      <c r="J9" s="10" t="s">
        <v>1114</v>
      </c>
    </row>
    <row r="10" customFormat="false" ht="18" hidden="false" customHeight="true" outlineLevel="0" collapsed="false">
      <c r="A10" s="3" t="s">
        <v>10</v>
      </c>
      <c r="B10" s="3" t="s">
        <v>190</v>
      </c>
      <c r="C10" s="3" t="s">
        <v>191</v>
      </c>
      <c r="D10" s="3" t="s">
        <v>192</v>
      </c>
      <c r="E10" s="3" t="s">
        <v>1115</v>
      </c>
      <c r="F10" s="3" t="s">
        <v>1116</v>
      </c>
      <c r="G10" s="3" t="s">
        <v>1117</v>
      </c>
      <c r="H10" s="3" t="s">
        <v>1118</v>
      </c>
      <c r="J10" s="3" t="s">
        <v>885</v>
      </c>
      <c r="K10" s="3" t="s">
        <v>1119</v>
      </c>
      <c r="L10" s="3" t="s">
        <v>190</v>
      </c>
      <c r="M10" s="3" t="s">
        <v>191</v>
      </c>
      <c r="N10" s="3" t="s">
        <v>192</v>
      </c>
      <c r="O10" s="3" t="s">
        <v>1120</v>
      </c>
      <c r="P10" s="3" t="s">
        <v>1121</v>
      </c>
      <c r="Q10" s="3" t="s">
        <v>190</v>
      </c>
      <c r="R10" s="3" t="s">
        <v>191</v>
      </c>
      <c r="S10" s="3" t="s">
        <v>192</v>
      </c>
    </row>
    <row r="11" customFormat="false" ht="15" hidden="false" customHeight="false" outlineLevel="0" collapsed="false">
      <c r="A11" s="38" t="n">
        <v>0</v>
      </c>
      <c r="B11" s="17" t="n">
        <f aca="false">A11^$B$7</f>
        <v>0</v>
      </c>
      <c r="C11" s="17" t="n">
        <f aca="false">A11^$C$7</f>
        <v>0</v>
      </c>
      <c r="D11" s="17" t="n">
        <f aca="false">$D$7*A11^$E$7</f>
        <v>0</v>
      </c>
      <c r="E11" s="17" t="n">
        <f aca="false">$G$7+$H$7*A11^2</f>
        <v>0.5</v>
      </c>
      <c r="F11" s="17" t="n">
        <f aca="false">B11*E11</f>
        <v>0</v>
      </c>
      <c r="G11" s="17" t="n">
        <f aca="false">C11*E11</f>
        <v>0</v>
      </c>
      <c r="H11" s="17" t="n">
        <f aca="false">D11*E11</f>
        <v>0</v>
      </c>
      <c r="J11" s="38" t="n">
        <v>0</v>
      </c>
      <c r="K11" s="17" t="n">
        <f aca="false">(1-J11)^$F$7</f>
        <v>1</v>
      </c>
      <c r="L11" s="17" t="n">
        <f aca="false">K11^$B$7</f>
        <v>1</v>
      </c>
      <c r="M11" s="17" t="n">
        <f aca="false">K11^$C$7</f>
        <v>1</v>
      </c>
      <c r="N11" s="17" t="n">
        <f aca="false">$D$7*K11^$E$7</f>
        <v>0.85</v>
      </c>
      <c r="O11" s="17" t="n">
        <f aca="false">MAX(0,MIN(1,1-J11*$I$7))</f>
        <v>1</v>
      </c>
      <c r="P11" s="17" t="n">
        <f aca="false">0.1+0.9*O11</f>
        <v>1</v>
      </c>
      <c r="Q11" s="17" t="n">
        <f aca="false">P11^$B$7</f>
        <v>1</v>
      </c>
      <c r="R11" s="17" t="n">
        <f aca="false">P11^$C$7</f>
        <v>1</v>
      </c>
      <c r="S11" s="17" t="n">
        <f aca="false">$D$7*P11^$E$7</f>
        <v>0.85</v>
      </c>
    </row>
    <row r="12" customFormat="false" ht="15" hidden="false" customHeight="false" outlineLevel="0" collapsed="false">
      <c r="A12" s="38" t="n">
        <v>0.1</v>
      </c>
      <c r="B12" s="17" t="n">
        <f aca="false">A12^$B$7</f>
        <v>0.354813389233575</v>
      </c>
      <c r="C12" s="17" t="n">
        <f aca="false">A12^$C$7</f>
        <v>0.0125892541179417</v>
      </c>
      <c r="D12" s="17" t="n">
        <f aca="false">$D$7*A12^$E$7</f>
        <v>2.68793601114312E-005</v>
      </c>
      <c r="E12" s="17" t="n">
        <f aca="false">$G$7+$H$7*A12^2</f>
        <v>0.55</v>
      </c>
      <c r="F12" s="17" t="n">
        <f aca="false">B12*E12</f>
        <v>0.195147364078467</v>
      </c>
      <c r="G12" s="17" t="n">
        <f aca="false">C12*E12</f>
        <v>0.00692408976486792</v>
      </c>
      <c r="H12" s="17" t="n">
        <f aca="false">D12*E12</f>
        <v>1.47836480612872E-005</v>
      </c>
      <c r="J12" s="38" t="n">
        <v>0.1</v>
      </c>
      <c r="K12" s="17" t="n">
        <f aca="false">(1-J12)^$F$7</f>
        <v>0.938740393359569</v>
      </c>
      <c r="L12" s="17" t="n">
        <f aca="false">K12^$B$7</f>
        <v>0.971953476619273</v>
      </c>
      <c r="M12" s="17" t="n">
        <f aca="false">K12^$C$7</f>
        <v>0.88682200478731</v>
      </c>
      <c r="N12" s="17" t="n">
        <f aca="false">$D$7*K12^$E$7</f>
        <v>0.639548818856378</v>
      </c>
      <c r="O12" s="17" t="n">
        <f aca="false">MAX(0,MIN(1,1-J12*$I$7))</f>
        <v>0.91</v>
      </c>
      <c r="P12" s="17" t="n">
        <f aca="false">0.1+0.9*O12</f>
        <v>0.919</v>
      </c>
      <c r="Q12" s="17" t="n">
        <f aca="false">P12^$B$7</f>
        <v>0.96270223511889</v>
      </c>
      <c r="R12" s="17" t="n">
        <f aca="false">P12^$C$7</f>
        <v>0.851725150429171</v>
      </c>
      <c r="S12" s="17" t="n">
        <f aca="false">$D$7*P12^$E$7</f>
        <v>0.581217560042974</v>
      </c>
    </row>
    <row r="13" customFormat="false" ht="15" hidden="false" customHeight="false" outlineLevel="0" collapsed="false">
      <c r="A13" s="38" t="n">
        <v>0.2</v>
      </c>
      <c r="B13" s="17" t="n">
        <f aca="false">A13^$B$7</f>
        <v>0.484689373328531</v>
      </c>
      <c r="C13" s="17" t="n">
        <f aca="false">A13^$C$7</f>
        <v>0.0469847577235208</v>
      </c>
      <c r="D13" s="17" t="n">
        <f aca="false">$D$7*A13^$E$7</f>
        <v>0.000608210489879943</v>
      </c>
      <c r="E13" s="17" t="n">
        <f aca="false">$G$7+$H$7*A13^2</f>
        <v>0.7</v>
      </c>
      <c r="F13" s="17" t="n">
        <f aca="false">B13*E13</f>
        <v>0.339282561329972</v>
      </c>
      <c r="G13" s="17" t="n">
        <f aca="false">C13*E13</f>
        <v>0.0328893304064645</v>
      </c>
      <c r="H13" s="17" t="n">
        <f aca="false">D13*E13</f>
        <v>0.00042574734291596</v>
      </c>
      <c r="J13" s="38" t="n">
        <v>0.2</v>
      </c>
      <c r="K13" s="17" t="n">
        <f aca="false">(1-J13)^$F$7</f>
        <v>0.874689659154623</v>
      </c>
      <c r="L13" s="17" t="n">
        <f aca="false">K13^$B$7</f>
        <v>0.941530290453583</v>
      </c>
      <c r="M13" s="17" t="n">
        <f aca="false">K13^$C$7</f>
        <v>0.775394266129809</v>
      </c>
      <c r="N13" s="17" t="n">
        <f aca="false">$D$7*K13^$E$7</f>
        <v>0.465330897916165</v>
      </c>
      <c r="O13" s="17" t="n">
        <f aca="false">MAX(0,MIN(1,1-J13*$I$7))</f>
        <v>0.82</v>
      </c>
      <c r="P13" s="17" t="n">
        <f aca="false">0.1+0.9*O13</f>
        <v>0.838</v>
      </c>
      <c r="Q13" s="17" t="n">
        <f aca="false">P13^$B$7</f>
        <v>0.923548715002778</v>
      </c>
      <c r="R13" s="17" t="n">
        <f aca="false">P13^$C$7</f>
        <v>0.714765587887991</v>
      </c>
      <c r="S13" s="17" t="n">
        <f aca="false">$D$7*P13^$E$7</f>
        <v>0.383722274040578</v>
      </c>
    </row>
    <row r="14" customFormat="false" ht="15" hidden="false" customHeight="false" outlineLevel="0" collapsed="false">
      <c r="A14" s="38" t="n">
        <v>0.3</v>
      </c>
      <c r="B14" s="17" t="n">
        <f aca="false">A14^$B$7</f>
        <v>0.581707367927938</v>
      </c>
      <c r="C14" s="17" t="n">
        <f aca="false">A14^$C$7</f>
        <v>0.101515038570495</v>
      </c>
      <c r="D14" s="17" t="n">
        <f aca="false">$D$7*A14^$E$7</f>
        <v>0.00377106980842307</v>
      </c>
      <c r="E14" s="17" t="n">
        <f aca="false">$G$7+$H$7*A14^2</f>
        <v>0.95</v>
      </c>
      <c r="F14" s="17" t="n">
        <f aca="false">B14*E14</f>
        <v>0.552621999531541</v>
      </c>
      <c r="G14" s="17" t="n">
        <f aca="false">C14*E14</f>
        <v>0.0964392866419702</v>
      </c>
      <c r="H14" s="17" t="n">
        <f aca="false">D14*E14</f>
        <v>0.00358251631800191</v>
      </c>
      <c r="J14" s="38" t="n">
        <v>0.3</v>
      </c>
      <c r="K14" s="17" t="n">
        <f aca="false">(1-J14)^$F$7</f>
        <v>0.807344375447297</v>
      </c>
      <c r="L14" s="17" t="n">
        <f aca="false">K14^$B$7</f>
        <v>0.908189488058911</v>
      </c>
      <c r="M14" s="17" t="n">
        <f aca="false">K14^$C$7</f>
        <v>0.665904217674399</v>
      </c>
      <c r="N14" s="17" t="n">
        <f aca="false">$D$7*K14^$E$7</f>
        <v>0.324476787627242</v>
      </c>
      <c r="O14" s="17" t="n">
        <f aca="false">MAX(0,MIN(1,1-J14*$I$7))</f>
        <v>0.73</v>
      </c>
      <c r="P14" s="17" t="n">
        <f aca="false">0.1+0.9*O14</f>
        <v>0.757</v>
      </c>
      <c r="Q14" s="17" t="n">
        <f aca="false">P14^$B$7</f>
        <v>0.882253004006061</v>
      </c>
      <c r="R14" s="17" t="n">
        <f aca="false">P14^$C$7</f>
        <v>0.589226364849833</v>
      </c>
      <c r="S14" s="17" t="n">
        <f aca="false">$D$7*P14^$E$7</f>
        <v>0.24285686443234</v>
      </c>
    </row>
    <row r="15" customFormat="false" ht="15" hidden="false" customHeight="false" outlineLevel="0" collapsed="false">
      <c r="A15" s="38" t="n">
        <v>0.4</v>
      </c>
      <c r="B15" s="17" t="n">
        <f aca="false">A15^$B$7</f>
        <v>0.662105195987833</v>
      </c>
      <c r="C15" s="17" t="n">
        <f aca="false">A15^$C$7</f>
        <v>0.175353316221635</v>
      </c>
      <c r="D15" s="17" t="n">
        <f aca="false">$D$7*A15^$E$7</f>
        <v>0.0137622323770528</v>
      </c>
      <c r="E15" s="17" t="n">
        <f aca="false">$G$7+$H$7*A15^2</f>
        <v>1.3</v>
      </c>
      <c r="F15" s="17" t="n">
        <f aca="false">B15*E15</f>
        <v>0.860736754784183</v>
      </c>
      <c r="G15" s="17" t="n">
        <f aca="false">C15*E15</f>
        <v>0.227959311088125</v>
      </c>
      <c r="H15" s="17" t="n">
        <f aca="false">D15*E15</f>
        <v>0.0178909020901686</v>
      </c>
      <c r="J15" s="38" t="n">
        <v>0.4</v>
      </c>
      <c r="K15" s="17" t="n">
        <f aca="false">(1-J15)^$F$7</f>
        <v>0.736021922817833</v>
      </c>
      <c r="L15" s="17" t="n">
        <f aca="false">K15^$B$7</f>
        <v>0.87116583999998</v>
      </c>
      <c r="M15" s="17" t="n">
        <f aca="false">K15^$C$7</f>
        <v>0.558589059578594</v>
      </c>
      <c r="N15" s="17" t="n">
        <f aca="false">$D$7*K15^$E$7</f>
        <v>0.214006666266815</v>
      </c>
      <c r="O15" s="17" t="n">
        <f aca="false">MAX(0,MIN(1,1-J15*$I$7))</f>
        <v>0.64</v>
      </c>
      <c r="P15" s="17" t="n">
        <f aca="false">0.1+0.9*O15</f>
        <v>0.676</v>
      </c>
      <c r="Q15" s="17" t="n">
        <f aca="false">P15^$B$7</f>
        <v>0.838447768440115</v>
      </c>
      <c r="R15" s="17" t="n">
        <f aca="false">P15^$C$7</f>
        <v>0.475224390431893</v>
      </c>
      <c r="S15" s="17" t="n">
        <f aca="false">$D$7*P15^$E$7</f>
        <v>0.145941584613537</v>
      </c>
    </row>
    <row r="16" customFormat="false" ht="15" hidden="false" customHeight="false" outlineLevel="0" collapsed="false">
      <c r="A16" s="38" t="n">
        <v>0.5</v>
      </c>
      <c r="B16" s="17" t="n">
        <f aca="false">A16^$B$7</f>
        <v>0.732042847972813</v>
      </c>
      <c r="C16" s="17" t="n">
        <f aca="false">A16^$C$7</f>
        <v>0.267943365634073</v>
      </c>
      <c r="D16" s="17" t="n">
        <f aca="false">$D$7*A16^$E$7</f>
        <v>0.0375650477505353</v>
      </c>
      <c r="E16" s="17" t="n">
        <f aca="false">$G$7+$H$7*A16^2</f>
        <v>1.75</v>
      </c>
      <c r="F16" s="17" t="n">
        <f aca="false">B16*E16</f>
        <v>1.28107498395242</v>
      </c>
      <c r="G16" s="17" t="n">
        <f aca="false">C16*E16</f>
        <v>0.468900889859628</v>
      </c>
      <c r="H16" s="17" t="n">
        <f aca="false">D16*E16</f>
        <v>0.0657388335634369</v>
      </c>
      <c r="J16" s="38" t="n">
        <v>0.5</v>
      </c>
      <c r="K16" s="17" t="n">
        <f aca="false">(1-J16)^$F$7</f>
        <v>0.659753955386447</v>
      </c>
      <c r="L16" s="17" t="n">
        <f aca="false">K16^$B$7</f>
        <v>0.829319545814442</v>
      </c>
      <c r="M16" s="17" t="n">
        <f aca="false">K16^$C$7</f>
        <v>0.45375957765858</v>
      </c>
      <c r="N16" s="17" t="n">
        <f aca="false">$D$7*K16^$E$7</f>
        <v>0.130809093917897</v>
      </c>
      <c r="O16" s="17" t="n">
        <f aca="false">MAX(0,MIN(1,1-J16*$I$7))</f>
        <v>0.55</v>
      </c>
      <c r="P16" s="17" t="n">
        <f aca="false">0.1+0.9*O16</f>
        <v>0.595</v>
      </c>
      <c r="Q16" s="17" t="n">
        <f aca="false">P16^$B$7</f>
        <v>0.79164893997207</v>
      </c>
      <c r="R16" s="17" t="n">
        <f aca="false">P16^$C$7</f>
        <v>0.372891286274547</v>
      </c>
      <c r="S16" s="17" t="n">
        <f aca="false">$D$7*P16^$E$7</f>
        <v>0.0821760518031618</v>
      </c>
    </row>
    <row r="17" customFormat="false" ht="15" hidden="false" customHeight="false" outlineLevel="0" collapsed="false">
      <c r="A17" s="38" t="n">
        <v>0.6</v>
      </c>
      <c r="B17" s="17" t="n">
        <f aca="false">A17^$B$7</f>
        <v>0.794635682240204</v>
      </c>
      <c r="C17" s="17" t="n">
        <f aca="false">A17^$C$7</f>
        <v>0.378867520493613</v>
      </c>
      <c r="D17" s="17" t="n">
        <f aca="false">$D$7*A17^$E$7</f>
        <v>0.0853295690836418</v>
      </c>
      <c r="E17" s="17" t="n">
        <f aca="false">$G$7+$H$7*A17^2</f>
        <v>2.3</v>
      </c>
      <c r="F17" s="17" t="n">
        <f aca="false">B17*E17</f>
        <v>1.82766206915247</v>
      </c>
      <c r="G17" s="17" t="n">
        <f aca="false">C17*E17</f>
        <v>0.87139529713531</v>
      </c>
      <c r="H17" s="17" t="n">
        <f aca="false">D17*E17</f>
        <v>0.196258008892376</v>
      </c>
      <c r="J17" s="38" t="n">
        <v>0.6</v>
      </c>
      <c r="K17" s="17" t="n">
        <f aca="false">(1-J17)^$F$7</f>
        <v>0.577079962362886</v>
      </c>
      <c r="L17" s="17" t="n">
        <f aca="false">K17^$B$7</f>
        <v>0.780829472849505</v>
      </c>
      <c r="M17" s="17" t="n">
        <f aca="false">K17^$C$7</f>
        <v>0.351842574717947</v>
      </c>
      <c r="N17" s="17" t="n">
        <f aca="false">$D$7*K17^$E$7</f>
        <v>0.0716111919157826</v>
      </c>
      <c r="O17" s="17" t="n">
        <f aca="false">MAX(0,MIN(1,1-J17*$I$7))</f>
        <v>0.46</v>
      </c>
      <c r="P17" s="17" t="n">
        <f aca="false">0.1+0.9*O17</f>
        <v>0.514</v>
      </c>
      <c r="Q17" s="17" t="n">
        <f aca="false">P17^$B$7</f>
        <v>0.741196574540104</v>
      </c>
      <c r="R17" s="17" t="n">
        <f aca="false">P17^$C$7</f>
        <v>0.282377394124532</v>
      </c>
      <c r="S17" s="17" t="n">
        <f aca="false">$D$7*P17^$E$7</f>
        <v>0.0425356389734444</v>
      </c>
    </row>
    <row r="18" customFormat="false" ht="15" hidden="false" customHeight="false" outlineLevel="0" collapsed="false">
      <c r="A18" s="38" t="n">
        <v>0.7</v>
      </c>
      <c r="B18" s="17" t="n">
        <f aca="false">A18^$B$7</f>
        <v>0.851714651122792</v>
      </c>
      <c r="C18" s="17" t="n">
        <f aca="false">A18^$C$7</f>
        <v>0.507792492856054</v>
      </c>
      <c r="D18" s="17" t="n">
        <f aca="false">$D$7*A18^$E$7</f>
        <v>0.170749761515207</v>
      </c>
      <c r="E18" s="17" t="n">
        <f aca="false">$G$7+$H$7*A18^2</f>
        <v>2.95</v>
      </c>
      <c r="F18" s="17" t="n">
        <f aca="false">B18*E18</f>
        <v>2.51255822081224</v>
      </c>
      <c r="G18" s="17" t="n">
        <f aca="false">C18*E18</f>
        <v>1.49798785392536</v>
      </c>
      <c r="H18" s="17" t="n">
        <f aca="false">D18*E18</f>
        <v>0.50371179646986</v>
      </c>
      <c r="J18" s="38" t="n">
        <v>0.7</v>
      </c>
      <c r="K18" s="17" t="n">
        <f aca="false">(1-J18)^$F$7</f>
        <v>0.485593374830204</v>
      </c>
      <c r="L18" s="17" t="n">
        <f aca="false">K18^$B$7</f>
        <v>0.72247485875784</v>
      </c>
      <c r="M18" s="17" t="n">
        <f aca="false">K18^$C$7</f>
        <v>0.253465135759087</v>
      </c>
      <c r="N18" s="17" t="n">
        <f aca="false">$D$7*K18^$E$7</f>
        <v>0.03293413894912</v>
      </c>
      <c r="O18" s="17" t="n">
        <f aca="false">MAX(0,MIN(1,1-J18*$I$7))</f>
        <v>0.37</v>
      </c>
      <c r="P18" s="17" t="n">
        <f aca="false">0.1+0.9*O18</f>
        <v>0.433</v>
      </c>
      <c r="Q18" s="17" t="n">
        <f aca="false">P18^$B$7</f>
        <v>0.686150767339576</v>
      </c>
      <c r="R18" s="17" t="n">
        <f aca="false">P18^$C$7</f>
        <v>0.203857645100459</v>
      </c>
      <c r="S18" s="17" t="n">
        <f aca="false">$D$7*P18^$E$7</f>
        <v>0.0196614009302285</v>
      </c>
    </row>
    <row r="19" customFormat="false" ht="15" hidden="false" customHeight="false" outlineLevel="0" collapsed="false">
      <c r="A19" s="38" t="n">
        <v>0.8</v>
      </c>
      <c r="B19" s="17" t="n">
        <f aca="false">A19^$B$7</f>
        <v>0.904462351925639</v>
      </c>
      <c r="C19" s="17" t="n">
        <f aca="false">A19^$C$7</f>
        <v>0.654441716840687</v>
      </c>
      <c r="D19" s="17" t="n">
        <f aca="false">$D$7*A19^$E$7</f>
        <v>0.311403770818531</v>
      </c>
      <c r="E19" s="17" t="n">
        <f aca="false">$G$7+$H$7*A19^2</f>
        <v>3.7</v>
      </c>
      <c r="F19" s="17" t="n">
        <f aca="false">B19*E19</f>
        <v>3.34651070212487</v>
      </c>
      <c r="G19" s="17" t="n">
        <f aca="false">C19*E19</f>
        <v>2.42143435231054</v>
      </c>
      <c r="H19" s="17" t="n">
        <f aca="false">D19*E19</f>
        <v>1.15219395202856</v>
      </c>
      <c r="J19" s="38" t="n">
        <v>0.8</v>
      </c>
      <c r="K19" s="17" t="n">
        <f aca="false">(1-J19)^$F$7</f>
        <v>0.380730787743176</v>
      </c>
      <c r="L19" s="17" t="n">
        <f aca="false">K19^$B$7</f>
        <v>0.647557143782081</v>
      </c>
      <c r="M19" s="17" t="n">
        <f aca="false">K19^$C$7</f>
        <v>0.159651938106323</v>
      </c>
      <c r="N19" s="17" t="n">
        <f aca="false">$D$7*K19^$E$7</f>
        <v>0.0110204648575108</v>
      </c>
      <c r="O19" s="17" t="n">
        <f aca="false">MAX(0,MIN(1,1-J19*$I$7))</f>
        <v>0.28</v>
      </c>
      <c r="P19" s="17" t="n">
        <f aca="false">0.1+0.9*O19</f>
        <v>0.352</v>
      </c>
      <c r="Q19" s="17" t="n">
        <f aca="false">P19^$B$7</f>
        <v>0.625092371027076</v>
      </c>
      <c r="R19" s="17" t="n">
        <f aca="false">P19^$C$7</f>
        <v>0.137540646255321</v>
      </c>
      <c r="S19" s="17" t="n">
        <f aca="false">$D$7*P19^$E$7</f>
        <v>0.00774213805735474</v>
      </c>
    </row>
    <row r="20" customFormat="false" ht="15" hidden="false" customHeight="false" outlineLevel="0" collapsed="false">
      <c r="A20" s="38" t="n">
        <v>0.9</v>
      </c>
      <c r="B20" s="17" t="n">
        <f aca="false">A20^$B$7</f>
        <v>0.953694173245785</v>
      </c>
      <c r="C20" s="17" t="n">
        <f aca="false">A20^$C$7</f>
        <v>0.818579318474666</v>
      </c>
      <c r="D20" s="17" t="n">
        <f aca="false">$D$7*A20^$E$7</f>
        <v>0.529066445073301</v>
      </c>
      <c r="E20" s="17" t="n">
        <f aca="false">$G$7+$H$7*A20^2</f>
        <v>4.55</v>
      </c>
      <c r="F20" s="17" t="n">
        <f aca="false">B20*E20</f>
        <v>4.33930848826832</v>
      </c>
      <c r="G20" s="17" t="n">
        <f aca="false">C20*E20</f>
        <v>3.72453589905973</v>
      </c>
      <c r="H20" s="17" t="n">
        <f aca="false">D20*E20</f>
        <v>2.40725232508352</v>
      </c>
      <c r="J20" s="38" t="n">
        <v>0.9</v>
      </c>
      <c r="K20" s="17" t="n">
        <f aca="false">(1-J20)^$F$7</f>
        <v>0.251188643150958</v>
      </c>
      <c r="L20" s="17" t="n">
        <f aca="false">K20^$B$7</f>
        <v>0.537031796370253</v>
      </c>
      <c r="M20" s="17" t="n">
        <f aca="false">K20^$C$7</f>
        <v>0.072443596007499</v>
      </c>
      <c r="N20" s="17" t="n">
        <f aca="false">$D$7*K20^$E$7</f>
        <v>0.00169597296772355</v>
      </c>
      <c r="O20" s="17" t="n">
        <f aca="false">MAX(0,MIN(1,1-J20*$I$7))</f>
        <v>0.19</v>
      </c>
      <c r="P20" s="17" t="n">
        <f aca="false">0.1+0.9*O20</f>
        <v>0.271</v>
      </c>
      <c r="Q20" s="17" t="n">
        <f aca="false">P20^$B$7</f>
        <v>0.55569460559631</v>
      </c>
      <c r="R20" s="17" t="n">
        <f aca="false">P20^$C$7</f>
        <v>0.0836838500606752</v>
      </c>
      <c r="S20" s="17" t="n">
        <f aca="false">$D$7*P20^$E$7</f>
        <v>0.00238660603588605</v>
      </c>
    </row>
    <row r="21" customFormat="false" ht="15" hidden="false" customHeight="false" outlineLevel="0" collapsed="false">
      <c r="A21" s="38" t="n">
        <v>1</v>
      </c>
      <c r="B21" s="17" t="n">
        <f aca="false">A21^$B$7</f>
        <v>1</v>
      </c>
      <c r="C21" s="17" t="n">
        <f aca="false">A21^$C$7</f>
        <v>1</v>
      </c>
      <c r="D21" s="17" t="n">
        <f aca="false">$D$7*A21^$E$7</f>
        <v>0.85</v>
      </c>
      <c r="E21" s="17" t="n">
        <f aca="false">$G$7+$H$7*A21^2</f>
        <v>5.5</v>
      </c>
      <c r="F21" s="17" t="n">
        <f aca="false">B21*E21</f>
        <v>5.5</v>
      </c>
      <c r="G21" s="17" t="n">
        <f aca="false">C21*E21</f>
        <v>5.5</v>
      </c>
      <c r="H21" s="17" t="n">
        <f aca="false">D21*E21</f>
        <v>4.675</v>
      </c>
      <c r="J21" s="38" t="n">
        <v>1</v>
      </c>
      <c r="K21" s="17" t="n">
        <f aca="false">(1-J21)^$F$7</f>
        <v>0</v>
      </c>
      <c r="L21" s="17" t="n">
        <f aca="false">K21^$B$7</f>
        <v>0</v>
      </c>
      <c r="M21" s="17" t="n">
        <f aca="false">K21^$C$7</f>
        <v>0</v>
      </c>
      <c r="N21" s="17" t="n">
        <f aca="false">$D$7*K21^$E$7</f>
        <v>0</v>
      </c>
      <c r="O21" s="17" t="n">
        <f aca="false">MAX(0,MIN(1,1-J21*$I$7))</f>
        <v>0.1</v>
      </c>
      <c r="P21" s="17" t="n">
        <f aca="false">0.1+0.9*O21</f>
        <v>0.19</v>
      </c>
      <c r="Q21" s="17" t="n">
        <f aca="false">P21^$B$7</f>
        <v>0.473629909893885</v>
      </c>
      <c r="R21" s="17" t="n">
        <f aca="false">P21^$C$7</f>
        <v>0.042621805393757</v>
      </c>
      <c r="S21" s="17" t="n">
        <f aca="false">$D$7*P21^$E$7</f>
        <v>0.00048284765883799</v>
      </c>
    </row>
    <row r="24" customFormat="false" ht="15" hidden="false" customHeight="false" outlineLevel="0" collapsed="false">
      <c r="A24" s="10" t="s">
        <v>1122</v>
      </c>
      <c r="J24" s="10" t="s">
        <v>1123</v>
      </c>
    </row>
    <row r="25" customFormat="false" ht="15" hidden="false" customHeight="false" outlineLevel="0" collapsed="false">
      <c r="B25" s="3" t="s">
        <v>1124</v>
      </c>
      <c r="C25" s="3" t="s">
        <v>1125</v>
      </c>
      <c r="D25" s="3" t="s">
        <v>1126</v>
      </c>
      <c r="E25" s="3" t="s">
        <v>1127</v>
      </c>
      <c r="F25" s="3" t="s">
        <v>1028</v>
      </c>
      <c r="G25" s="3" t="s">
        <v>1128</v>
      </c>
      <c r="H25" s="3" t="s">
        <v>1129</v>
      </c>
      <c r="I25" s="3" t="s">
        <v>707</v>
      </c>
      <c r="J25" s="3" t="s">
        <v>1130</v>
      </c>
      <c r="K25" s="3" t="s">
        <v>1131</v>
      </c>
      <c r="L25" s="3" t="s">
        <v>1132</v>
      </c>
      <c r="M25" s="3" t="s">
        <v>1124</v>
      </c>
    </row>
    <row r="26" customFormat="false" ht="15" hidden="false" customHeight="false" outlineLevel="0" collapsed="false">
      <c r="A26" s="4" t="s">
        <v>1087</v>
      </c>
      <c r="B26" s="43" t="n">
        <v>9.81</v>
      </c>
      <c r="C26" s="43" t="n">
        <v>0.4</v>
      </c>
      <c r="D26" s="43" t="n">
        <v>0.25</v>
      </c>
      <c r="E26" s="43" t="n">
        <v>0.6</v>
      </c>
      <c r="F26" s="43" t="n">
        <v>0.05</v>
      </c>
      <c r="G26" s="43" t="n">
        <v>11</v>
      </c>
      <c r="H26" s="43" t="n">
        <v>6</v>
      </c>
      <c r="I26" s="43" t="n">
        <v>1</v>
      </c>
      <c r="J26" s="43" t="n">
        <v>0.3</v>
      </c>
      <c r="K26" s="43" t="n">
        <v>5</v>
      </c>
      <c r="L26" s="43" t="n">
        <v>0.25</v>
      </c>
      <c r="M26" s="43" t="n">
        <v>9.81</v>
      </c>
    </row>
    <row r="27" customFormat="false" ht="18" hidden="false" customHeight="true" outlineLevel="0" collapsed="false">
      <c r="A27" s="3" t="s">
        <v>1133</v>
      </c>
      <c r="B27" s="3" t="s">
        <v>1134</v>
      </c>
      <c r="C27" s="3" t="s">
        <v>564</v>
      </c>
      <c r="D27" s="3" t="s">
        <v>565</v>
      </c>
      <c r="E27" s="3" t="s">
        <v>1135</v>
      </c>
      <c r="F27" s="3" t="s">
        <v>1136</v>
      </c>
      <c r="J27" s="3" t="s">
        <v>1137</v>
      </c>
      <c r="K27" s="3" t="s">
        <v>1138</v>
      </c>
      <c r="L27" s="3" t="s">
        <v>1139</v>
      </c>
      <c r="M27" s="3" t="s">
        <v>1140</v>
      </c>
      <c r="N27" s="3" t="s">
        <v>1141</v>
      </c>
    </row>
    <row r="28" customFormat="false" ht="15" hidden="false" customHeight="false" outlineLevel="0" collapsed="false">
      <c r="A28" s="7" t="n">
        <v>0</v>
      </c>
      <c r="B28" s="17" t="n">
        <v>0</v>
      </c>
      <c r="C28" s="17" t="n">
        <v>0</v>
      </c>
      <c r="D28" s="17" t="n">
        <f aca="false">$I$26</f>
        <v>1</v>
      </c>
      <c r="E28" s="17" t="n">
        <f aca="false">$G$26</f>
        <v>11</v>
      </c>
      <c r="F28" s="17" t="n">
        <f aca="false">$H$26</f>
        <v>6</v>
      </c>
      <c r="J28" s="7" t="n">
        <v>0</v>
      </c>
      <c r="K28" s="17" t="n">
        <f aca="false">$K$26*$J$26^J28</f>
        <v>5</v>
      </c>
      <c r="L28" s="17" t="n">
        <f aca="false">K28^2/(2*$M$26)</f>
        <v>1.27420998980632</v>
      </c>
      <c r="M28" s="17" t="n">
        <f aca="false">2*K28/$M$26</f>
        <v>1.01936799184506</v>
      </c>
      <c r="N28" s="12" t="str">
        <f aca="false">IF(K28&gt;=$L$26,"yes","rest")</f>
        <v>yes</v>
      </c>
    </row>
    <row r="29" customFormat="false" ht="15" hidden="false" customHeight="false" outlineLevel="0" collapsed="false">
      <c r="A29" s="7" t="n">
        <v>1</v>
      </c>
      <c r="B29" s="17" t="n">
        <f aca="false">B28+$F$26</f>
        <v>0.05</v>
      </c>
      <c r="C29" s="17" t="n">
        <f aca="false">C28+E28*EXP(-$C$26*$F$26)*$F$26</f>
        <v>0.539109270318716</v>
      </c>
      <c r="D29" s="17" t="n">
        <f aca="false">MAX(0.02,(D28+(F28-$B$26*$F$26)*EXP(-$C$26*$F$26)*$F$26))</f>
        <v>1.27002022952918</v>
      </c>
      <c r="E29" s="17" t="n">
        <f aca="false">IF((D28+(F28-$B$26*$F$26)*EXP(-$C$26*$F$26)*$F$26)&lt;0.02,E28*EXP(-$C$26*$F$26)*$E$26,E28*EXP(-$C$26*$F$26))</f>
        <v>10.7821854063743</v>
      </c>
      <c r="F29" s="17" t="n">
        <f aca="false">IF((D28+(F28-$B$26*$F$26)*EXP(-$C$26*$F$26)*$F$26)&lt;0.02,-(F28-$B$26*$F$26)*EXP(-$C$26*$F$26)*$D$26,(F28-$B$26*$F$26)*EXP(-$C$26*$F$26))</f>
        <v>5.40040459058357</v>
      </c>
      <c r="J29" s="7" t="n">
        <v>1</v>
      </c>
      <c r="K29" s="17" t="n">
        <f aca="false">$K$26*$J$26^J29</f>
        <v>1.5</v>
      </c>
      <c r="L29" s="17" t="n">
        <f aca="false">K29^2/(2*$M$26)</f>
        <v>0.114678899082569</v>
      </c>
      <c r="M29" s="17" t="n">
        <f aca="false">2*K29/$M$26</f>
        <v>0.305810397553517</v>
      </c>
      <c r="N29" s="12" t="str">
        <f aca="false">IF(K29&gt;=$L$26,"yes","rest")</f>
        <v>yes</v>
      </c>
    </row>
    <row r="30" customFormat="false" ht="15" hidden="false" customHeight="false" outlineLevel="0" collapsed="false">
      <c r="A30" s="7" t="n">
        <v>2</v>
      </c>
      <c r="B30" s="17" t="n">
        <f aca="false">B29+$F$26</f>
        <v>0.1</v>
      </c>
      <c r="C30" s="17" t="n">
        <f aca="false">C29+E29*EXP(-$C$26*$F$26)*$F$26</f>
        <v>1.06754346185249</v>
      </c>
      <c r="D30" s="17" t="n">
        <f aca="false">MAX(0.02,(D29+(F29-$B$26*$F$26)*EXP(-$C$26*$F$26)*$F$26))</f>
        <v>1.51065432781682</v>
      </c>
      <c r="E30" s="17" t="n">
        <f aca="false">IF((D29+(F29-$B$26*$F$26)*EXP(-$C$26*$F$26)*$F$26)&lt;0.02,E29*EXP(-$C$26*$F$26)*$E$26,E29*EXP(-$C$26*$F$26))</f>
        <v>10.5686838306756</v>
      </c>
      <c r="F30" s="17" t="n">
        <f aca="false">IF((D29+(F29-$B$26*$F$26)*EXP(-$C$26*$F$26)*$F$26)&lt;0.02,-(F29-$B$26*$F$26)*EXP(-$C$26*$F$26)*$D$26,(F29-$B$26*$F$26)*EXP(-$C$26*$F$26))</f>
        <v>4.81268196575276</v>
      </c>
      <c r="J30" s="7" t="n">
        <v>2</v>
      </c>
      <c r="K30" s="17" t="n">
        <f aca="false">$K$26*$J$26^J30</f>
        <v>0.45</v>
      </c>
      <c r="L30" s="17" t="n">
        <f aca="false">K30^2/(2*$M$26)</f>
        <v>0.0103211009174312</v>
      </c>
      <c r="M30" s="17" t="n">
        <f aca="false">2*K30/$M$26</f>
        <v>0.091743119266055</v>
      </c>
      <c r="N30" s="12" t="str">
        <f aca="false">IF(K30&gt;=$L$26,"yes","rest")</f>
        <v>yes</v>
      </c>
    </row>
    <row r="31" customFormat="false" ht="15" hidden="false" customHeight="false" outlineLevel="0" collapsed="false">
      <c r="A31" s="7" t="n">
        <v>3</v>
      </c>
      <c r="B31" s="17" t="n">
        <f aca="false">B30+$F$26</f>
        <v>0.15</v>
      </c>
      <c r="C31" s="17" t="n">
        <f aca="false">C30+E30*EXP(-$C$26*$F$26)*$F$26</f>
        <v>1.58551395532383</v>
      </c>
      <c r="D31" s="17" t="n">
        <f aca="false">MAX(0.02,(D30+(F30-$B$26*$F$26)*EXP(-$C$26*$F$26)*$F$26))</f>
        <v>1.72248417924788</v>
      </c>
      <c r="E31" s="17" t="n">
        <f aca="false">IF((D30+(F30-$B$26*$F$26)*EXP(-$C$26*$F$26)*$F$26)&lt;0.02,E30*EXP(-$C$26*$F$26)*$E$26,E30*EXP(-$C$26*$F$26))</f>
        <v>10.3594098694267</v>
      </c>
      <c r="F31" s="17" t="n">
        <f aca="false">IF((D30+(F30-$B$26*$F$26)*EXP(-$C$26*$F$26)*$F$26)&lt;0.02,-(F30-$B$26*$F$26)*EXP(-$C$26*$F$26)*$D$26,(F30-$B$26*$F$26)*EXP(-$C$26*$F$26))</f>
        <v>4.23659702862124</v>
      </c>
      <c r="J31" s="7" t="n">
        <v>3</v>
      </c>
      <c r="K31" s="17" t="n">
        <f aca="false">$K$26*$J$26^J31</f>
        <v>0.135</v>
      </c>
      <c r="L31" s="17" t="n">
        <f aca="false">K31^2/(2*$M$26)</f>
        <v>0.000928899082568807</v>
      </c>
      <c r="M31" s="17" t="n">
        <f aca="false">2*K31/$M$26</f>
        <v>0.0275229357798165</v>
      </c>
      <c r="N31" s="12" t="str">
        <f aca="false">IF(K31&gt;=$L$26,"yes","rest")</f>
        <v>rest</v>
      </c>
    </row>
    <row r="32" customFormat="false" ht="15" hidden="false" customHeight="false" outlineLevel="0" collapsed="false">
      <c r="A32" s="7" t="n">
        <v>4</v>
      </c>
      <c r="B32" s="17" t="n">
        <f aca="false">B31+$F$26</f>
        <v>0.2</v>
      </c>
      <c r="C32" s="17" t="n">
        <f aca="false">C31+E31*EXP(-$C$26*$F$26)*$F$26</f>
        <v>2.09322794583648</v>
      </c>
      <c r="D32" s="17" t="n">
        <f aca="false">MAX(0.02,(D31+(F31-$B$26*$F$26)*EXP(-$C$26*$F$26)*$F$26))</f>
        <v>1.90608014612452</v>
      </c>
      <c r="E32" s="17" t="n">
        <f aca="false">IF((D31+(F31-$B$26*$F$26)*EXP(-$C$26*$F$26)*$F$26)&lt;0.02,E31*EXP(-$C$26*$F$26)*$E$26,E31*EXP(-$C$26*$F$26))</f>
        <v>10.154279810253</v>
      </c>
      <c r="F32" s="17" t="n">
        <f aca="false">IF((D31+(F31-$B$26*$F$26)*EXP(-$C$26*$F$26)*$F$26)&lt;0.02,-(F31-$B$26*$F$26)*EXP(-$C$26*$F$26)*$D$26,(F31-$B$26*$F$26)*EXP(-$C$26*$F$26))</f>
        <v>3.67191933753292</v>
      </c>
      <c r="J32" s="7" t="n">
        <v>4</v>
      </c>
      <c r="K32" s="17" t="n">
        <f aca="false">$K$26*$J$26^J32</f>
        <v>0.0405</v>
      </c>
      <c r="L32" s="17" t="n">
        <f aca="false">K32^2/(2*$M$26)</f>
        <v>8.36009174311926E-005</v>
      </c>
      <c r="M32" s="17" t="n">
        <f aca="false">2*K32/$M$26</f>
        <v>0.00825688073394495</v>
      </c>
      <c r="N32" s="12" t="str">
        <f aca="false">IF(K32&gt;=$L$26,"yes","rest")</f>
        <v>rest</v>
      </c>
    </row>
    <row r="33" customFormat="false" ht="15" hidden="false" customHeight="false" outlineLevel="0" collapsed="false">
      <c r="A33" s="7" t="n">
        <v>5</v>
      </c>
      <c r="B33" s="17" t="n">
        <f aca="false">B32+$F$26</f>
        <v>0.25</v>
      </c>
      <c r="C33" s="17" t="n">
        <f aca="false">C32+E32*EXP(-$C$26*$F$26)*$F$26</f>
        <v>2.59088852575626</v>
      </c>
      <c r="D33" s="17" t="n">
        <f aca="false">MAX(0.02,(D32+(F32-$B$26*$F$26)*EXP(-$C$26*$F$26)*$F$26))</f>
        <v>2.06200129681864</v>
      </c>
      <c r="E33" s="17" t="n">
        <f aca="false">IF((D32+(F32-$B$26*$F$26)*EXP(-$C$26*$F$26)*$F$26)&lt;0.02,E32*EXP(-$C$26*$F$26)*$E$26,E32*EXP(-$C$26*$F$26))</f>
        <v>9.95321159839555</v>
      </c>
      <c r="F33" s="17" t="n">
        <f aca="false">IF((D32+(F32-$B$26*$F$26)*EXP(-$C$26*$F$26)*$F$26)&lt;0.02,-(F32-$B$26*$F$26)*EXP(-$C$26*$F$26)*$D$26,(F32-$B$26*$F$26)*EXP(-$C$26*$F$26))</f>
        <v>3.11842301388222</v>
      </c>
      <c r="J33" s="7" t="n">
        <v>5</v>
      </c>
      <c r="K33" s="17" t="n">
        <f aca="false">$K$26*$J$26^J33</f>
        <v>0.01215</v>
      </c>
      <c r="L33" s="17" t="n">
        <f aca="false">K33^2/(2*$M$26)</f>
        <v>7.52408256880734E-006</v>
      </c>
      <c r="M33" s="17" t="n">
        <f aca="false">2*K33/$M$26</f>
        <v>0.00247706422018349</v>
      </c>
      <c r="N33" s="12" t="str">
        <f aca="false">IF(K33&gt;=$L$26,"yes","rest")</f>
        <v>rest</v>
      </c>
    </row>
    <row r="34" customFormat="false" ht="15" hidden="false" customHeight="false" outlineLevel="0" collapsed="false">
      <c r="A34" s="7" t="n">
        <v>6</v>
      </c>
      <c r="B34" s="17" t="n">
        <f aca="false">B33+$F$26</f>
        <v>0.3</v>
      </c>
      <c r="C34" s="17" t="n">
        <f aca="false">C33+E33*EXP(-$C$26*$F$26)*$F$26</f>
        <v>3.07869476595069</v>
      </c>
      <c r="D34" s="17" t="n">
        <f aca="false">MAX(0.02,(D33+(F33-$B$26*$F$26)*EXP(-$C$26*$F$26)*$F$26))</f>
        <v>2.19079562940662</v>
      </c>
      <c r="E34" s="17" t="n">
        <f aca="false">IF((D33+(F33-$B$26*$F$26)*EXP(-$C$26*$F$26)*$F$26)&lt;0.02,E33*EXP(-$C$26*$F$26)*$E$26,E33*EXP(-$C$26*$F$26))</f>
        <v>9.75612480388873</v>
      </c>
      <c r="F34" s="17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7" t="n">
        <v>7</v>
      </c>
      <c r="B35" s="17" t="n">
        <f aca="false">B34+$F$26</f>
        <v>0.35</v>
      </c>
      <c r="C35" s="17" t="n">
        <f aca="false">C34+E34*EXP(-$C$26*$F$26)*$F$26</f>
        <v>3.55684179542004</v>
      </c>
      <c r="D35" s="17" t="n">
        <f aca="false">MAX(0.02,(D34+(F34-$B$26*$F$26)*EXP(-$C$26*$F$26)*$F$26))</f>
        <v>2.29300029087594</v>
      </c>
      <c r="E35" s="17" t="n">
        <f aca="false">IF((D34+(F34-$B$26*$F$26)*EXP(-$C$26*$F$26)*$F$26)&lt;0.02,E34*EXP(-$C$26*$F$26)*$E$26,E34*EXP(-$C$26*$F$26))</f>
        <v>9.56294058938686</v>
      </c>
      <c r="F35" s="17" t="n">
        <f aca="false">IF((D34+(F34-$B$26*$F$26)*EXP(-$C$26*$F$26)*$F$26)&lt;0.02,-(F34-$B$26*$F$26)*EXP(-$C$26*$F$26)*$D$26,(F34-$B$26*$F$26)*EXP(-$C$26*$F$26))</f>
        <v>2.04409322938642</v>
      </c>
      <c r="J35" s="4" t="s">
        <v>1142</v>
      </c>
      <c r="M35" s="17" t="n">
        <f aca="false">SUMIF(N28:N33,"yes",M28:M33)</f>
        <v>1.41692150866463</v>
      </c>
    </row>
    <row r="36" customFormat="false" ht="15" hidden="false" customHeight="false" outlineLevel="0" collapsed="false">
      <c r="A36" s="7" t="n">
        <v>8</v>
      </c>
      <c r="B36" s="17" t="n">
        <f aca="false">B35+$F$26</f>
        <v>0.4</v>
      </c>
      <c r="C36" s="17" t="n">
        <f aca="false">C35+E35*EXP(-$C$26*$F$26)*$F$26</f>
        <v>4.02552087935145</v>
      </c>
      <c r="D36" s="17" t="n">
        <f aca="false">MAX(0.02,(D35+(F35-$B$26*$F$26)*EXP(-$C$26*$F$26)*$F$26))</f>
        <v>2.36914179199108</v>
      </c>
      <c r="E36" s="17" t="n">
        <f aca="false">IF((D35+(F35-$B$26*$F$26)*EXP(-$C$26*$F$26)*$F$26)&lt;0.02,E35*EXP(-$C$26*$F$26)*$E$26,E35*EXP(-$C$26*$F$26))</f>
        <v>9.37358167862832</v>
      </c>
      <c r="F36" s="17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7" t="n">
        <v>9</v>
      </c>
      <c r="B37" s="17" t="n">
        <f aca="false">B36+$F$26</f>
        <v>0.45</v>
      </c>
      <c r="C37" s="17" t="n">
        <f aca="false">C36+E36*EXP(-$C$26*$F$26)*$F$26</f>
        <v>4.48491949562765</v>
      </c>
      <c r="D37" s="17" t="n">
        <f aca="false">MAX(0.02,(D36+(F36-$B$26*$F$26)*EXP(-$C$26*$F$26)*$F$26))</f>
        <v>2.41973621790489</v>
      </c>
      <c r="E37" s="17" t="n">
        <f aca="false">IF((D36+(F36-$B$26*$F$26)*EXP(-$C$26*$F$26)*$F$26)&lt;0.02,E36*EXP(-$C$26*$F$26)*$E$26,E36*EXP(-$C$26*$F$26))</f>
        <v>9.18797232552399</v>
      </c>
      <c r="F37" s="17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7" t="n">
        <v>10</v>
      </c>
      <c r="B38" s="17" t="n">
        <f aca="false">B37+$F$26</f>
        <v>0.5</v>
      </c>
      <c r="C38" s="17" t="n">
        <f aca="false">C37+E37*EXP(-$C$26*$F$26)*$F$26</f>
        <v>4.93522140982054</v>
      </c>
      <c r="D38" s="17" t="n">
        <f aca="false">MAX(0.02,(D37+(F37-$B$26*$F$26)*EXP(-$C$26*$F$26)*$F$26))</f>
        <v>2.44528943459947</v>
      </c>
      <c r="E38" s="17" t="n">
        <f aca="false">IF((D37+(F37-$B$26*$F$26)*EXP(-$C$26*$F$26)*$F$26)&lt;0.02,E37*EXP(-$C$26*$F$26)*$E$26,E37*EXP(-$C$26*$F$26))</f>
        <v>9.0060382838578</v>
      </c>
      <c r="F38" s="17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7" t="n">
        <v>11</v>
      </c>
      <c r="B39" s="17" t="n">
        <f aca="false">B38+$F$26</f>
        <v>0.55</v>
      </c>
      <c r="C39" s="17" t="n">
        <f aca="false">C38+E38*EXP(-$C$26*$F$26)*$F$26</f>
        <v>5.37660674869991</v>
      </c>
      <c r="D39" s="17" t="n">
        <f aca="false">MAX(0.02,(D38+(F38-$B$26*$F$26)*EXP(-$C$26*$F$26)*$F$26))</f>
        <v>2.44629729123936</v>
      </c>
      <c r="E39" s="17" t="n">
        <f aca="false">IF((D38+(F38-$B$26*$F$26)*EXP(-$C$26*$F$26)*$F$26)&lt;0.02,E38*EXP(-$C$26*$F$26)*$E$26,E38*EXP(-$C$26*$F$26))</f>
        <v>8.82770677758726</v>
      </c>
      <c r="F39" s="17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7" t="n">
        <v>12</v>
      </c>
      <c r="B40" s="17" t="n">
        <f aca="false">B39+$F$26</f>
        <v>0.6</v>
      </c>
      <c r="C40" s="17" t="n">
        <f aca="false">C39+E39*EXP(-$C$26*$F$26)*$F$26</f>
        <v>5.80925207228651</v>
      </c>
      <c r="D40" s="17" t="n">
        <f aca="false">MAX(0.02,(D39+(F39-$B$26*$F$26)*EXP(-$C$26*$F$26)*$F$26))</f>
        <v>2.42324581851783</v>
      </c>
      <c r="E40" s="17" t="n">
        <f aca="false">IF((D39+(F39-$B$26*$F$26)*EXP(-$C$26*$F$26)*$F$26)&lt;0.02,E39*EXP(-$C$26*$F$26)*$E$26,E39*EXP(-$C$26*$F$26))</f>
        <v>8.65290647173208</v>
      </c>
      <c r="F40" s="17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7" t="n">
        <v>13</v>
      </c>
      <c r="B41" s="17" t="n">
        <f aca="false">B40+$F$26</f>
        <v>0.65</v>
      </c>
      <c r="C41" s="17" t="n">
        <f aca="false">C40+E40*EXP(-$C$26*$F$26)*$F$26</f>
        <v>6.23333044447847</v>
      </c>
      <c r="D41" s="17" t="n">
        <f aca="false">MAX(0.02,(D40+(F40-$B$26*$F$26)*EXP(-$C$26*$F$26)*$F$26))</f>
        <v>2.37661142307556</v>
      </c>
      <c r="E41" s="17" t="n">
        <f aca="false">IF((D40+(F40-$B$26*$F$26)*EXP(-$C$26*$F$26)*$F$26)&lt;0.02,E40*EXP(-$C$26*$F$26)*$E$26,E40*EXP(-$C$26*$F$26))</f>
        <v>8.48156744383922</v>
      </c>
      <c r="F41" s="17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7" t="n">
        <v>14</v>
      </c>
      <c r="B42" s="17" t="n">
        <f aca="false">B41+$F$26</f>
        <v>0.7</v>
      </c>
      <c r="C42" s="17" t="n">
        <f aca="false">C41+E41*EXP(-$C$26*$F$26)*$F$26</f>
        <v>6.64901150227912</v>
      </c>
      <c r="D42" s="17" t="n">
        <f aca="false">MAX(0.02,(D41+(F41-$B$26*$F$26)*EXP(-$C$26*$F$26)*$F$26))</f>
        <v>2.30686107806974</v>
      </c>
      <c r="E42" s="17" t="n">
        <f aca="false">IF((D41+(F41-$B$26*$F$26)*EXP(-$C$26*$F$26)*$F$26)&lt;0.02,E41*EXP(-$C$26*$F$26)*$E$26,E41*EXP(-$C$26*$F$26))</f>
        <v>8.31362115601297</v>
      </c>
      <c r="F42" s="17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7" t="n">
        <v>15</v>
      </c>
      <c r="B43" s="17" t="n">
        <f aca="false">B42+$F$26</f>
        <v>0.75</v>
      </c>
      <c r="C43" s="17" t="n">
        <f aca="false">C42+E42*EXP(-$C$26*$F$26)*$F$26</f>
        <v>7.05646152365407</v>
      </c>
      <c r="D43" s="17" t="n">
        <f aca="false">MAX(0.02,(D42+(F42-$B$26*$F$26)*EXP(-$C$26*$F$26)*$F$26))</f>
        <v>2.2144525099695</v>
      </c>
      <c r="E43" s="17" t="n">
        <f aca="false">IF((D42+(F42-$B$26*$F$26)*EXP(-$C$26*$F$26)*$F$26)&lt;0.02,E42*EXP(-$C$26*$F$26)*$E$26,E42*EXP(-$C$26*$F$26))</f>
        <v>8.14900042749889</v>
      </c>
      <c r="F43" s="17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7" t="n">
        <v>16</v>
      </c>
      <c r="B44" s="17" t="n">
        <f aca="false">B43+$F$26</f>
        <v>0.8</v>
      </c>
      <c r="C44" s="17" t="n">
        <f aca="false">C43+E43*EXP(-$C$26*$F$26)*$F$26</f>
        <v>7.45584349404459</v>
      </c>
      <c r="D44" s="17" t="n">
        <f aca="false">MAX(0.02,(D43+(F43-$B$26*$F$26)*EXP(-$C$26*$F$26)*$F$26))</f>
        <v>2.09983438165262</v>
      </c>
      <c r="E44" s="17" t="n">
        <f aca="false">IF((D43+(F43-$B$26*$F$26)*EXP(-$C$26*$F$26)*$F$26)&lt;0.02,E43*EXP(-$C$26*$F$26)*$E$26,E43*EXP(-$C$26*$F$26))</f>
        <v>7.98763940781059</v>
      </c>
      <c r="F44" s="17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7" t="n">
        <v>17</v>
      </c>
      <c r="B45" s="17" t="n">
        <f aca="false">B44+$F$26</f>
        <v>0.85</v>
      </c>
      <c r="C45" s="17" t="n">
        <f aca="false">C44+E44*EXP(-$C$26*$F$26)*$F$26</f>
        <v>7.84731717156403</v>
      </c>
      <c r="D45" s="17" t="n">
        <f aca="false">MAX(0.02,(D44+(F44-$B$26*$F$26)*EXP(-$C$26*$F$26)*$F$26))</f>
        <v>1.96344647187666</v>
      </c>
      <c r="E45" s="17" t="n">
        <f aca="false">IF((D44+(F44-$B$26*$F$26)*EXP(-$C$26*$F$26)*$F$26)&lt;0.02,E44*EXP(-$C$26*$F$26)*$E$26,E44*EXP(-$C$26*$F$26))</f>
        <v>7.8294735503887</v>
      </c>
      <c r="F45" s="17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7" t="n">
        <v>18</v>
      </c>
      <c r="B46" s="17" t="n">
        <f aca="false">B45+$F$26</f>
        <v>0.9</v>
      </c>
      <c r="C46" s="17" t="n">
        <f aca="false">C45+E45*EXP(-$C$26*$F$26)*$F$26</f>
        <v>8.2310391509031</v>
      </c>
      <c r="D46" s="17" t="n">
        <f aca="false">MAX(0.02,(D45+(F45-$B$26*$F$26)*EXP(-$C$26*$F$26)*$F$26))</f>
        <v>1.80571985119634</v>
      </c>
      <c r="E46" s="17" t="n">
        <f aca="false">IF((D45+(F45-$B$26*$F$26)*EXP(-$C$26*$F$26)*$F$26)&lt;0.02,E45*EXP(-$C$26*$F$26)*$E$26,E45*EXP(-$C$26*$F$26))</f>
        <v>7.67443958678133</v>
      </c>
      <c r="F46" s="17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7" t="n">
        <v>19</v>
      </c>
      <c r="B47" s="17" t="n">
        <f aca="false">B46+$F$26</f>
        <v>0.95</v>
      </c>
      <c r="C47" s="17" t="n">
        <f aca="false">C46+E46*EXP(-$C$26*$F$26)*$F$26</f>
        <v>8.60716292596989</v>
      </c>
      <c r="D47" s="17" t="n">
        <f aca="false">MAX(0.02,(D46+(F46-$B$26*$F$26)*EXP(-$C$26*$F$26)*$F$26))</f>
        <v>1.62707705439748</v>
      </c>
      <c r="E47" s="17" t="n">
        <f aca="false">IF((D46+(F46-$B$26*$F$26)*EXP(-$C$26*$F$26)*$F$26)&lt;0.02,E46*EXP(-$C$26*$F$26)*$E$26,E46*EXP(-$C$26*$F$26))</f>
        <v>7.52247550133591</v>
      </c>
      <c r="F47" s="17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7" t="n">
        <v>20</v>
      </c>
      <c r="B48" s="17" t="n">
        <f aca="false">B47+$F$26</f>
        <v>1</v>
      </c>
      <c r="C48" s="17" t="n">
        <f aca="false">C47+E47*EXP(-$C$26*$F$26)*$F$26</f>
        <v>8.97583895128949</v>
      </c>
      <c r="D48" s="17" t="n">
        <f aca="false">MAX(0.02,(D47+(F47-$B$26*$F$26)*EXP(-$C$26*$F$26)*$F$26))</f>
        <v>1.42793224951658</v>
      </c>
      <c r="E48" s="17" t="n">
        <f aca="false">IF((D47+(F47-$B$26*$F$26)*EXP(-$C$26*$F$26)*$F$26)&lt;0.02,E47*EXP(-$C$26*$F$26)*$E$26,E47*EXP(-$C$26*$F$26))</f>
        <v>7.37352050639202</v>
      </c>
      <c r="F48" s="17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7" t="n">
        <v>21</v>
      </c>
      <c r="B49" s="17" t="n">
        <f aca="false">B48+$F$26</f>
        <v>1.05</v>
      </c>
      <c r="C49" s="17" t="n">
        <f aca="false">C48+E48*EXP(-$C$26*$F$26)*$F$26</f>
        <v>9.33721470218777</v>
      </c>
      <c r="D49" s="17" t="n">
        <f aca="false">MAX(0.02,(D48+(F48-$B$26*$F$26)*EXP(-$C$26*$F$26)*$F$26))</f>
        <v>1.20869140351354</v>
      </c>
      <c r="E49" s="17" t="n">
        <f aca="false">IF((D48+(F48-$B$26*$F$26)*EXP(-$C$26*$F$26)*$F$26)&lt;0.02,E48*EXP(-$C$26*$F$26)*$E$26,E48*EXP(-$C$26*$F$26))</f>
        <v>7.22751501796562</v>
      </c>
      <c r="F49" s="17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7" t="n">
        <v>22</v>
      </c>
      <c r="B50" s="17" t="n">
        <f aca="false">B49+$F$26</f>
        <v>1.1</v>
      </c>
      <c r="C50" s="17" t="n">
        <f aca="false">C49+E49*EXP(-$C$26*$F$26)*$F$26</f>
        <v>9.6914347337835</v>
      </c>
      <c r="D50" s="17" t="n">
        <f aca="false">MAX(0.02,(D49+(F49-$B$26*$F$26)*EXP(-$C$26*$F$26)*$F$26))</f>
        <v>0.969752444663863</v>
      </c>
      <c r="E50" s="17" t="n">
        <f aca="false">IF((D49+(F49-$B$26*$F$26)*EXP(-$C$26*$F$26)*$F$26)&lt;0.02,E49*EXP(-$C$26*$F$26)*$E$26,E49*EXP(-$C$26*$F$26))</f>
        <v>7.08440063191455</v>
      </c>
      <c r="F50" s="17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7" t="n">
        <v>23</v>
      </c>
      <c r="B51" s="17" t="n">
        <f aca="false">B50+$F$26</f>
        <v>1.15</v>
      </c>
      <c r="C51" s="17" t="n">
        <f aca="false">C50+E50*EXP(-$C$26*$F$26)*$F$26</f>
        <v>10.0386407388123</v>
      </c>
      <c r="D51" s="17" t="n">
        <f aca="false">MAX(0.02,(D50+(F50-$B$26*$F$26)*EXP(-$C$26*$F$26)*$F$26))</f>
        <v>0.711505421735265</v>
      </c>
      <c r="E51" s="17" t="n">
        <f aca="false">IF((D50+(F50-$B$26*$F$26)*EXP(-$C$26*$F$26)*$F$26)&lt;0.02,E50*EXP(-$C$26*$F$26)*$E$26,E50*EXP(-$C$26*$F$26))</f>
        <v>6.94412010057618</v>
      </c>
      <c r="F51" s="17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7" t="n">
        <v>24</v>
      </c>
      <c r="B52" s="17" t="n">
        <f aca="false">B51+$F$26</f>
        <v>1.2</v>
      </c>
      <c r="C52" s="17" t="n">
        <f aca="false">C51+E51*EXP(-$C$26*$F$26)*$F$26</f>
        <v>10.3789716043057</v>
      </c>
      <c r="D52" s="17" t="n">
        <f aca="false">MAX(0.02,(D51+(F51-$B$26*$F$26)*EXP(-$C$26*$F$26)*$F$26))</f>
        <v>0.434332660012385</v>
      </c>
      <c r="E52" s="17" t="n">
        <f aca="false">IF((D51+(F51-$B$26*$F$26)*EXP(-$C$26*$F$26)*$F$26)&lt;0.02,E51*EXP(-$C$26*$F$26)*$E$26,E51*EXP(-$C$26*$F$26))</f>
        <v>6.80661730986754</v>
      </c>
      <c r="F52" s="17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7" t="n">
        <v>25</v>
      </c>
      <c r="B53" s="17" t="n">
        <f aca="false">B52+$F$26</f>
        <v>1.25</v>
      </c>
      <c r="C53" s="17" t="n">
        <f aca="false">C52+E52*EXP(-$C$26*$F$26)*$F$26</f>
        <v>10.7125634671476</v>
      </c>
      <c r="D53" s="17" t="n">
        <f aca="false">MAX(0.02,(D52+(F52-$B$26*$F$26)*EXP(-$C$26*$F$26)*$F$26))</f>
        <v>0.138608914232001</v>
      </c>
      <c r="E53" s="17" t="n">
        <f aca="false">IF((D52+(F52-$B$26*$F$26)*EXP(-$C$26*$F$26)*$F$26)&lt;0.02,E52*EXP(-$C$26*$F$26)*$E$26,E52*EXP(-$C$26*$F$26))</f>
        <v>6.67183725683896</v>
      </c>
      <c r="F53" s="17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7" t="n">
        <v>26</v>
      </c>
      <c r="B54" s="17" t="n">
        <f aca="false">B53+$F$26</f>
        <v>1.3</v>
      </c>
      <c r="C54" s="17" t="n">
        <f aca="false">C53+E53*EXP(-$C$26*$F$26)*$F$26</f>
        <v>11.0395497685312</v>
      </c>
      <c r="D54" s="17" t="n">
        <f aca="false">MAX(0.02,(D53+(F53-$B$26*$F$26)*EXP(-$C$26*$F$26)*$F$26))</f>
        <v>0.02</v>
      </c>
      <c r="E54" s="17" t="n">
        <f aca="false">IF((D53+(F53-$B$26*$F$26)*EXP(-$C$26*$F$26)*$F$26)&lt;0.02,E53*EXP(-$C$26*$F$26)*$E$26,E53*EXP(-$C$26*$F$26))</f>
        <v>3.92383561660328</v>
      </c>
      <c r="F54" s="17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7" t="n">
        <v>27</v>
      </c>
      <c r="B55" s="17" t="n">
        <f aca="false">B54+$F$26</f>
        <v>1.35</v>
      </c>
      <c r="C55" s="17" t="n">
        <f aca="false">C54+E54*EXP(-$C$26*$F$26)*$F$26</f>
        <v>11.2318566918147</v>
      </c>
      <c r="D55" s="17" t="n">
        <f aca="false">MAX(0.02,(D54+(F54-$B$26*$F$26)*EXP(-$C$26*$F$26)*$F$26))</f>
        <v>0.0728835307490444</v>
      </c>
      <c r="E55" s="17" t="n">
        <f aca="false">IF((D54+(F54-$B$26*$F$26)*EXP(-$C$26*$F$26)*$F$26)&lt;0.02,E54*EXP(-$C$26*$F$26)*$E$26,E54*EXP(-$C$26*$F$26))</f>
        <v>3.84613846566833</v>
      </c>
      <c r="F55" s="17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7" t="n">
        <v>28</v>
      </c>
      <c r="B56" s="17" t="n">
        <f aca="false">B55+$F$26</f>
        <v>1.4</v>
      </c>
      <c r="C56" s="17" t="n">
        <f aca="false">C55+E55*EXP(-$C$26*$F$26)*$F$26</f>
        <v>11.4203556828848</v>
      </c>
      <c r="D56" s="17" t="n">
        <f aca="false">MAX(0.02,(D55+(F55-$B$26*$F$26)*EXP(-$C$26*$F$26)*$F$26))</f>
        <v>0.100680524966187</v>
      </c>
      <c r="E56" s="17" t="n">
        <f aca="false">IF((D55+(F55-$B$26*$F$26)*EXP(-$C$26*$F$26)*$F$26)&lt;0.02,E55*EXP(-$C$26*$F$26)*$E$26,E55*EXP(-$C$26*$F$26))</f>
        <v>3.76997982140217</v>
      </c>
      <c r="F56" s="17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1143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1144</v>
      </c>
    </row>
    <row r="5" customFormat="false" ht="15" hidden="false" customHeight="false" outlineLevel="0" collapsed="false">
      <c r="B5" s="4" t="s">
        <v>1145</v>
      </c>
      <c r="C5" s="4"/>
      <c r="D5" s="43" t="n">
        <v>6.4</v>
      </c>
      <c r="F5" s="4" t="s">
        <v>1146</v>
      </c>
      <c r="G5" s="4"/>
      <c r="H5" s="43" t="n">
        <v>17.6</v>
      </c>
      <c r="J5" s="4" t="s">
        <v>1147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1148</v>
      </c>
      <c r="P5" s="4"/>
      <c r="Q5" s="47" t="n">
        <f aca="false">$H$5-$D$5</f>
        <v>11.2</v>
      </c>
      <c r="S5" s="4" t="s">
        <v>1149</v>
      </c>
      <c r="T5" s="4"/>
      <c r="U5" s="47" t="n">
        <f aca="false">24-($H$5-$D$5)</f>
        <v>12.8</v>
      </c>
      <c r="W5" s="4" t="s">
        <v>1150</v>
      </c>
      <c r="X5" s="4"/>
      <c r="Y5" s="43" t="n">
        <v>6.45</v>
      </c>
      <c r="Z5" s="43" t="n">
        <v>17.6</v>
      </c>
    </row>
    <row r="7" customFormat="false" ht="15" hidden="false" customHeight="true" outlineLevel="0" collapsed="false">
      <c r="A7" s="3" t="s">
        <v>1151</v>
      </c>
      <c r="B7" s="3" t="s">
        <v>1152</v>
      </c>
      <c r="C7" s="3" t="s">
        <v>1153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1154</v>
      </c>
      <c r="P7" s="3"/>
      <c r="Q7" s="3"/>
      <c r="R7" s="3"/>
      <c r="S7" s="3"/>
      <c r="T7" s="3"/>
      <c r="U7" s="3"/>
      <c r="V7" s="3"/>
      <c r="W7" s="3"/>
      <c r="X7" s="3"/>
      <c r="Y7" s="3" t="s">
        <v>1155</v>
      </c>
      <c r="Z7" s="3" t="s">
        <v>1156</v>
      </c>
    </row>
    <row r="8" customFormat="false" ht="15" hidden="false" customHeight="false" outlineLevel="0" collapsed="false">
      <c r="A8" s="34" t="n">
        <v>1</v>
      </c>
      <c r="B8" s="5" t="s">
        <v>1157</v>
      </c>
      <c r="C8" s="48" t="s">
        <v>1158</v>
      </c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 t="s">
        <v>1159</v>
      </c>
      <c r="P8" s="48"/>
      <c r="Q8" s="48"/>
      <c r="R8" s="48"/>
      <c r="S8" s="48"/>
      <c r="T8" s="48"/>
      <c r="U8" s="48"/>
      <c r="V8" s="48"/>
      <c r="W8" s="48"/>
      <c r="X8" s="48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34" t="n">
        <v>2</v>
      </c>
      <c r="B9" s="5" t="s">
        <v>1160</v>
      </c>
      <c r="C9" s="48" t="s">
        <v>1161</v>
      </c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 t="s">
        <v>1162</v>
      </c>
      <c r="P9" s="48"/>
      <c r="Q9" s="48"/>
      <c r="R9" s="48"/>
      <c r="S9" s="48"/>
      <c r="T9" s="48"/>
      <c r="U9" s="48"/>
      <c r="V9" s="48"/>
      <c r="W9" s="48"/>
      <c r="X9" s="48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34" t="n">
        <v>3</v>
      </c>
      <c r="B10" s="5" t="s">
        <v>1163</v>
      </c>
      <c r="C10" s="48" t="s">
        <v>1164</v>
      </c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 t="s">
        <v>1165</v>
      </c>
      <c r="P10" s="48"/>
      <c r="Q10" s="48"/>
      <c r="R10" s="48"/>
      <c r="S10" s="48"/>
      <c r="T10" s="48"/>
      <c r="U10" s="48"/>
      <c r="V10" s="48"/>
      <c r="W10" s="48"/>
      <c r="X10" s="48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34" t="n">
        <v>4</v>
      </c>
      <c r="B11" s="5" t="s">
        <v>1166</v>
      </c>
      <c r="C11" s="48" t="s">
        <v>1167</v>
      </c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 t="s">
        <v>1168</v>
      </c>
      <c r="P11" s="48"/>
      <c r="Q11" s="48"/>
      <c r="R11" s="48"/>
      <c r="S11" s="48"/>
      <c r="T11" s="48"/>
      <c r="U11" s="48"/>
      <c r="V11" s="48"/>
      <c r="W11" s="48"/>
      <c r="X11" s="48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34" t="n">
        <v>5</v>
      </c>
      <c r="B12" s="5" t="s">
        <v>1169</v>
      </c>
      <c r="C12" s="48" t="s">
        <v>1170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 t="s">
        <v>1171</v>
      </c>
      <c r="P12" s="48"/>
      <c r="Q12" s="48"/>
      <c r="R12" s="48"/>
      <c r="S12" s="48"/>
      <c r="T12" s="48"/>
      <c r="U12" s="48"/>
      <c r="V12" s="48"/>
      <c r="W12" s="48"/>
      <c r="X12" s="48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34" t="n">
        <v>6</v>
      </c>
      <c r="B13" s="5" t="s">
        <v>1172</v>
      </c>
      <c r="C13" s="48" t="s">
        <v>1173</v>
      </c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 t="s">
        <v>1174</v>
      </c>
      <c r="P13" s="48"/>
      <c r="Q13" s="48"/>
      <c r="R13" s="48"/>
      <c r="S13" s="48"/>
      <c r="T13" s="48"/>
      <c r="U13" s="48"/>
      <c r="V13" s="48"/>
      <c r="W13" s="48"/>
      <c r="X13" s="48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34" t="n">
        <v>7</v>
      </c>
      <c r="B14" s="5" t="s">
        <v>1175</v>
      </c>
      <c r="C14" s="48" t="s">
        <v>1176</v>
      </c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 t="s">
        <v>1177</v>
      </c>
      <c r="P14" s="48"/>
      <c r="Q14" s="48"/>
      <c r="R14" s="48"/>
      <c r="S14" s="48"/>
      <c r="T14" s="48"/>
      <c r="U14" s="48"/>
      <c r="V14" s="48"/>
      <c r="W14" s="48"/>
      <c r="X14" s="48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34" t="n">
        <v>8</v>
      </c>
      <c r="B15" s="5" t="s">
        <v>1178</v>
      </c>
      <c r="C15" s="48" t="s">
        <v>1179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 t="s">
        <v>1180</v>
      </c>
      <c r="P15" s="48"/>
      <c r="Q15" s="48"/>
      <c r="R15" s="48"/>
      <c r="S15" s="48"/>
      <c r="T15" s="48"/>
      <c r="U15" s="48"/>
      <c r="V15" s="48"/>
      <c r="W15" s="48"/>
      <c r="X15" s="48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1181</v>
      </c>
    </row>
    <row r="18" customFormat="false" ht="15" hidden="false" customHeight="false" outlineLevel="0" collapsed="false">
      <c r="A18" s="3" t="s">
        <v>1151</v>
      </c>
      <c r="B18" s="3" t="s">
        <v>1152</v>
      </c>
      <c r="C18" s="49" t="n">
        <v>0</v>
      </c>
      <c r="D18" s="49" t="n">
        <v>1</v>
      </c>
      <c r="E18" s="49" t="n">
        <v>2</v>
      </c>
      <c r="F18" s="49" t="n">
        <v>3</v>
      </c>
      <c r="G18" s="49" t="n">
        <v>4</v>
      </c>
      <c r="H18" s="49" t="n">
        <v>5</v>
      </c>
      <c r="I18" s="49" t="n">
        <v>6</v>
      </c>
      <c r="J18" s="49" t="n">
        <v>7</v>
      </c>
      <c r="K18" s="49" t="n">
        <v>8</v>
      </c>
      <c r="L18" s="49" t="n">
        <v>9</v>
      </c>
      <c r="M18" s="49" t="n">
        <v>10</v>
      </c>
      <c r="N18" s="49" t="n">
        <v>11</v>
      </c>
      <c r="O18" s="49" t="n">
        <v>12</v>
      </c>
      <c r="P18" s="49" t="n">
        <v>13</v>
      </c>
      <c r="Q18" s="49" t="n">
        <v>14</v>
      </c>
      <c r="R18" s="49" t="n">
        <v>15</v>
      </c>
      <c r="S18" s="49" t="n">
        <v>16</v>
      </c>
      <c r="T18" s="49" t="n">
        <v>17</v>
      </c>
      <c r="U18" s="49" t="n">
        <v>18</v>
      </c>
      <c r="V18" s="49" t="n">
        <v>19</v>
      </c>
      <c r="W18" s="49" t="n">
        <v>20</v>
      </c>
      <c r="X18" s="49" t="n">
        <v>21</v>
      </c>
      <c r="Y18" s="49" t="n">
        <v>22</v>
      </c>
      <c r="Z18" s="49" t="n">
        <v>23</v>
      </c>
    </row>
    <row r="19" customFormat="false" ht="15" hidden="false" customHeight="false" outlineLevel="0" collapsed="false">
      <c r="A19" s="34" t="n">
        <v>1</v>
      </c>
      <c r="B19" s="17" t="str">
        <f aca="false">B8</f>
        <v>SENTRY</v>
      </c>
      <c r="C19" s="50" t="str">
        <f aca="false">IF(AND(C$18+0.5&gt;=$D$5,C$18+0.5&lt;$H$5),$Y$8,$Z$8)</f>
        <v>guard</v>
      </c>
      <c r="D19" s="50" t="str">
        <f aca="false">IF(AND(D$18+0.5&gt;=$D$5,D$18+0.5&lt;$H$5),$Y$8,$Z$8)</f>
        <v>guard</v>
      </c>
      <c r="E19" s="50" t="str">
        <f aca="false">IF(AND(E$18+0.5&gt;=$D$5,E$18+0.5&lt;$H$5),$Y$8,$Z$8)</f>
        <v>guard</v>
      </c>
      <c r="F19" s="50" t="str">
        <f aca="false">IF(AND(F$18+0.5&gt;=$D$5,F$18+0.5&lt;$H$5),$Y$8,$Z$8)</f>
        <v>guard</v>
      </c>
      <c r="G19" s="50" t="str">
        <f aca="false">IF(AND(G$18+0.5&gt;=$D$5,G$18+0.5&lt;$H$5),$Y$8,$Z$8)</f>
        <v>guard</v>
      </c>
      <c r="H19" s="50" t="str">
        <f aca="false">IF(AND(H$18+0.5&gt;=$D$5,H$18+0.5&lt;$H$5),$Y$8,$Z$8)</f>
        <v>guard</v>
      </c>
      <c r="I19" s="50" t="str">
        <f aca="false">IF(AND(I$18+0.5&gt;=$D$5,I$18+0.5&lt;$H$5),$Y$8,$Z$8)</f>
        <v>guard</v>
      </c>
      <c r="J19" s="50" t="str">
        <f aca="false">IF(AND(J$18+0.5&gt;=$D$5,J$18+0.5&lt;$H$5),$Y$8,$Z$8)</f>
        <v>guard</v>
      </c>
      <c r="K19" s="50" t="str">
        <f aca="false">IF(AND(K$18+0.5&gt;=$D$5,K$18+0.5&lt;$H$5),$Y$8,$Z$8)</f>
        <v>guard</v>
      </c>
      <c r="L19" s="50" t="str">
        <f aca="false">IF(AND(L$18+0.5&gt;=$D$5,L$18+0.5&lt;$H$5),$Y$8,$Z$8)</f>
        <v>guard</v>
      </c>
      <c r="M19" s="50" t="str">
        <f aca="false">IF(AND(M$18+0.5&gt;=$D$5,M$18+0.5&lt;$H$5),$Y$8,$Z$8)</f>
        <v>guard</v>
      </c>
      <c r="N19" s="50" t="str">
        <f aca="false">IF(AND(N$18+0.5&gt;=$D$5,N$18+0.5&lt;$H$5),$Y$8,$Z$8)</f>
        <v>guard</v>
      </c>
      <c r="O19" s="50" t="str">
        <f aca="false">IF(AND(O$18+0.5&gt;=$D$5,O$18+0.5&lt;$H$5),$Y$8,$Z$8)</f>
        <v>guard</v>
      </c>
      <c r="P19" s="50" t="str">
        <f aca="false">IF(AND(P$18+0.5&gt;=$D$5,P$18+0.5&lt;$H$5),$Y$8,$Z$8)</f>
        <v>guard</v>
      </c>
      <c r="Q19" s="50" t="str">
        <f aca="false">IF(AND(Q$18+0.5&gt;=$D$5,Q$18+0.5&lt;$H$5),$Y$8,$Z$8)</f>
        <v>guard</v>
      </c>
      <c r="R19" s="50" t="str">
        <f aca="false">IF(AND(R$18+0.5&gt;=$D$5,R$18+0.5&lt;$H$5),$Y$8,$Z$8)</f>
        <v>guard</v>
      </c>
      <c r="S19" s="50" t="str">
        <f aca="false">IF(AND(S$18+0.5&gt;=$D$5,S$18+0.5&lt;$H$5),$Y$8,$Z$8)</f>
        <v>guard</v>
      </c>
      <c r="T19" s="50" t="str">
        <f aca="false">IF(AND(T$18+0.5&gt;=$D$5,T$18+0.5&lt;$H$5),$Y$8,$Z$8)</f>
        <v>guard</v>
      </c>
      <c r="U19" s="50" t="str">
        <f aca="false">IF(AND(U$18+0.5&gt;=$D$5,U$18+0.5&lt;$H$5),$Y$8,$Z$8)</f>
        <v>guard</v>
      </c>
      <c r="V19" s="50" t="str">
        <f aca="false">IF(AND(V$18+0.5&gt;=$D$5,V$18+0.5&lt;$H$5),$Y$8,$Z$8)</f>
        <v>guard</v>
      </c>
      <c r="W19" s="50" t="str">
        <f aca="false">IF(AND(W$18+0.5&gt;=$D$5,W$18+0.5&lt;$H$5),$Y$8,$Z$8)</f>
        <v>guard</v>
      </c>
      <c r="X19" s="50" t="str">
        <f aca="false">IF(AND(X$18+0.5&gt;=$D$5,X$18+0.5&lt;$H$5),$Y$8,$Z$8)</f>
        <v>guard</v>
      </c>
      <c r="Y19" s="50" t="str">
        <f aca="false">IF(AND(Y$18+0.5&gt;=$D$5,Y$18+0.5&lt;$H$5),$Y$8,$Z$8)</f>
        <v>guard</v>
      </c>
      <c r="Z19" s="50" t="str">
        <f aca="false">IF(AND(Z$18+0.5&gt;=$D$5,Z$18+0.5&lt;$H$5),$Y$8,$Z$8)</f>
        <v>guard</v>
      </c>
    </row>
    <row r="20" customFormat="false" ht="15" hidden="false" customHeight="false" outlineLevel="0" collapsed="false">
      <c r="A20" s="34" t="n">
        <v>2</v>
      </c>
      <c r="B20" s="17" t="str">
        <f aca="false">B9</f>
        <v>WATCH</v>
      </c>
      <c r="C20" s="50" t="str">
        <f aca="false">IF(AND(C$18+0.5&gt;=$D$5,C$18+0.5&lt;$H$5),$Y$9,$Z$9)</f>
        <v>guard</v>
      </c>
      <c r="D20" s="50" t="str">
        <f aca="false">IF(AND(D$18+0.5&gt;=$D$5,D$18+0.5&lt;$H$5),$Y$9,$Z$9)</f>
        <v>guard</v>
      </c>
      <c r="E20" s="50" t="str">
        <f aca="false">IF(AND(E$18+0.5&gt;=$D$5,E$18+0.5&lt;$H$5),$Y$9,$Z$9)</f>
        <v>guard</v>
      </c>
      <c r="F20" s="50" t="str">
        <f aca="false">IF(AND(F$18+0.5&gt;=$D$5,F$18+0.5&lt;$H$5),$Y$9,$Z$9)</f>
        <v>guard</v>
      </c>
      <c r="G20" s="50" t="str">
        <f aca="false">IF(AND(G$18+0.5&gt;=$D$5,G$18+0.5&lt;$H$5),$Y$9,$Z$9)</f>
        <v>guard</v>
      </c>
      <c r="H20" s="50" t="str">
        <f aca="false">IF(AND(H$18+0.5&gt;=$D$5,H$18+0.5&lt;$H$5),$Y$9,$Z$9)</f>
        <v>guard</v>
      </c>
      <c r="I20" s="50" t="str">
        <f aca="false">IF(AND(I$18+0.5&gt;=$D$5,I$18+0.5&lt;$H$5),$Y$9,$Z$9)</f>
        <v>guard</v>
      </c>
      <c r="J20" s="50" t="str">
        <f aca="false">IF(AND(J$18+0.5&gt;=$D$5,J$18+0.5&lt;$H$5),$Y$9,$Z$9)</f>
        <v>guard</v>
      </c>
      <c r="K20" s="50" t="str">
        <f aca="false">IF(AND(K$18+0.5&gt;=$D$5,K$18+0.5&lt;$H$5),$Y$9,$Z$9)</f>
        <v>guard</v>
      </c>
      <c r="L20" s="50" t="str">
        <f aca="false">IF(AND(L$18+0.5&gt;=$D$5,L$18+0.5&lt;$H$5),$Y$9,$Z$9)</f>
        <v>guard</v>
      </c>
      <c r="M20" s="50" t="str">
        <f aca="false">IF(AND(M$18+0.5&gt;=$D$5,M$18+0.5&lt;$H$5),$Y$9,$Z$9)</f>
        <v>guard</v>
      </c>
      <c r="N20" s="50" t="str">
        <f aca="false">IF(AND(N$18+0.5&gt;=$D$5,N$18+0.5&lt;$H$5),$Y$9,$Z$9)</f>
        <v>guard</v>
      </c>
      <c r="O20" s="50" t="str">
        <f aca="false">IF(AND(O$18+0.5&gt;=$D$5,O$18+0.5&lt;$H$5),$Y$9,$Z$9)</f>
        <v>guard</v>
      </c>
      <c r="P20" s="50" t="str">
        <f aca="false">IF(AND(P$18+0.5&gt;=$D$5,P$18+0.5&lt;$H$5),$Y$9,$Z$9)</f>
        <v>guard</v>
      </c>
      <c r="Q20" s="50" t="str">
        <f aca="false">IF(AND(Q$18+0.5&gt;=$D$5,Q$18+0.5&lt;$H$5),$Y$9,$Z$9)</f>
        <v>guard</v>
      </c>
      <c r="R20" s="50" t="str">
        <f aca="false">IF(AND(R$18+0.5&gt;=$D$5,R$18+0.5&lt;$H$5),$Y$9,$Z$9)</f>
        <v>guard</v>
      </c>
      <c r="S20" s="50" t="str">
        <f aca="false">IF(AND(S$18+0.5&gt;=$D$5,S$18+0.5&lt;$H$5),$Y$9,$Z$9)</f>
        <v>guard</v>
      </c>
      <c r="T20" s="50" t="str">
        <f aca="false">IF(AND(T$18+0.5&gt;=$D$5,T$18+0.5&lt;$H$5),$Y$9,$Z$9)</f>
        <v>guard</v>
      </c>
      <c r="U20" s="50" t="str">
        <f aca="false">IF(AND(U$18+0.5&gt;=$D$5,U$18+0.5&lt;$H$5),$Y$9,$Z$9)</f>
        <v>guard</v>
      </c>
      <c r="V20" s="50" t="str">
        <f aca="false">IF(AND(V$18+0.5&gt;=$D$5,V$18+0.5&lt;$H$5),$Y$9,$Z$9)</f>
        <v>guard</v>
      </c>
      <c r="W20" s="50" t="str">
        <f aca="false">IF(AND(W$18+0.5&gt;=$D$5,W$18+0.5&lt;$H$5),$Y$9,$Z$9)</f>
        <v>guard</v>
      </c>
      <c r="X20" s="50" t="str">
        <f aca="false">IF(AND(X$18+0.5&gt;=$D$5,X$18+0.5&lt;$H$5),$Y$9,$Z$9)</f>
        <v>guard</v>
      </c>
      <c r="Y20" s="50" t="str">
        <f aca="false">IF(AND(Y$18+0.5&gt;=$D$5,Y$18+0.5&lt;$H$5),$Y$9,$Z$9)</f>
        <v>guard</v>
      </c>
      <c r="Z20" s="50" t="str">
        <f aca="false">IF(AND(Z$18+0.5&gt;=$D$5,Z$18+0.5&lt;$H$5),$Y$9,$Z$9)</f>
        <v>guard</v>
      </c>
    </row>
    <row r="21" customFormat="false" ht="15" hidden="false" customHeight="false" outlineLevel="0" collapsed="false">
      <c r="A21" s="34" t="n">
        <v>3</v>
      </c>
      <c r="B21" s="17" t="str">
        <f aca="false">B10</f>
        <v>GUNNER</v>
      </c>
      <c r="C21" s="50" t="str">
        <f aca="false">IF(AND(C$18+0.5&gt;=$D$5,C$18+0.5&lt;$H$5),$Y$10,$Z$10)</f>
        <v>guard</v>
      </c>
      <c r="D21" s="50" t="str">
        <f aca="false">IF(AND(D$18+0.5&gt;=$D$5,D$18+0.5&lt;$H$5),$Y$10,$Z$10)</f>
        <v>guard</v>
      </c>
      <c r="E21" s="50" t="str">
        <f aca="false">IF(AND(E$18+0.5&gt;=$D$5,E$18+0.5&lt;$H$5),$Y$10,$Z$10)</f>
        <v>guard</v>
      </c>
      <c r="F21" s="50" t="str">
        <f aca="false">IF(AND(F$18+0.5&gt;=$D$5,F$18+0.5&lt;$H$5),$Y$10,$Z$10)</f>
        <v>guard</v>
      </c>
      <c r="G21" s="50" t="str">
        <f aca="false">IF(AND(G$18+0.5&gt;=$D$5,G$18+0.5&lt;$H$5),$Y$10,$Z$10)</f>
        <v>guard</v>
      </c>
      <c r="H21" s="50" t="str">
        <f aca="false">IF(AND(H$18+0.5&gt;=$D$5,H$18+0.5&lt;$H$5),$Y$10,$Z$10)</f>
        <v>guard</v>
      </c>
      <c r="I21" s="50" t="str">
        <f aca="false">IF(AND(I$18+0.5&gt;=$D$5,I$18+0.5&lt;$H$5),$Y$10,$Z$10)</f>
        <v>walk</v>
      </c>
      <c r="J21" s="50" t="str">
        <f aca="false">IF(AND(J$18+0.5&gt;=$D$5,J$18+0.5&lt;$H$5),$Y$10,$Z$10)</f>
        <v>walk</v>
      </c>
      <c r="K21" s="50" t="str">
        <f aca="false">IF(AND(K$18+0.5&gt;=$D$5,K$18+0.5&lt;$H$5),$Y$10,$Z$10)</f>
        <v>walk</v>
      </c>
      <c r="L21" s="50" t="str">
        <f aca="false">IF(AND(L$18+0.5&gt;=$D$5,L$18+0.5&lt;$H$5),$Y$10,$Z$10)</f>
        <v>walk</v>
      </c>
      <c r="M21" s="50" t="str">
        <f aca="false">IF(AND(M$18+0.5&gt;=$D$5,M$18+0.5&lt;$H$5),$Y$10,$Z$10)</f>
        <v>walk</v>
      </c>
      <c r="N21" s="50" t="str">
        <f aca="false">IF(AND(N$18+0.5&gt;=$D$5,N$18+0.5&lt;$H$5),$Y$10,$Z$10)</f>
        <v>walk</v>
      </c>
      <c r="O21" s="50" t="str">
        <f aca="false">IF(AND(O$18+0.5&gt;=$D$5,O$18+0.5&lt;$H$5),$Y$10,$Z$10)</f>
        <v>walk</v>
      </c>
      <c r="P21" s="50" t="str">
        <f aca="false">IF(AND(P$18+0.5&gt;=$D$5,P$18+0.5&lt;$H$5),$Y$10,$Z$10)</f>
        <v>walk</v>
      </c>
      <c r="Q21" s="50" t="str">
        <f aca="false">IF(AND(Q$18+0.5&gt;=$D$5,Q$18+0.5&lt;$H$5),$Y$10,$Z$10)</f>
        <v>walk</v>
      </c>
      <c r="R21" s="50" t="str">
        <f aca="false">IF(AND(R$18+0.5&gt;=$D$5,R$18+0.5&lt;$H$5),$Y$10,$Z$10)</f>
        <v>walk</v>
      </c>
      <c r="S21" s="50" t="str">
        <f aca="false">IF(AND(S$18+0.5&gt;=$D$5,S$18+0.5&lt;$H$5),$Y$10,$Z$10)</f>
        <v>walk</v>
      </c>
      <c r="T21" s="50" t="str">
        <f aca="false">IF(AND(T$18+0.5&gt;=$D$5,T$18+0.5&lt;$H$5),$Y$10,$Z$10)</f>
        <v>walk</v>
      </c>
      <c r="U21" s="50" t="str">
        <f aca="false">IF(AND(U$18+0.5&gt;=$D$5,U$18+0.5&lt;$H$5),$Y$10,$Z$10)</f>
        <v>guard</v>
      </c>
      <c r="V21" s="50" t="str">
        <f aca="false">IF(AND(V$18+0.5&gt;=$D$5,V$18+0.5&lt;$H$5),$Y$10,$Z$10)</f>
        <v>guard</v>
      </c>
      <c r="W21" s="50" t="str">
        <f aca="false">IF(AND(W$18+0.5&gt;=$D$5,W$18+0.5&lt;$H$5),$Y$10,$Z$10)</f>
        <v>guard</v>
      </c>
      <c r="X21" s="50" t="str">
        <f aca="false">IF(AND(X$18+0.5&gt;=$D$5,X$18+0.5&lt;$H$5),$Y$10,$Z$10)</f>
        <v>guard</v>
      </c>
      <c r="Y21" s="50" t="str">
        <f aca="false">IF(AND(Y$18+0.5&gt;=$D$5,Y$18+0.5&lt;$H$5),$Y$10,$Z$10)</f>
        <v>guard</v>
      </c>
      <c r="Z21" s="50" t="str">
        <f aca="false">IF(AND(Z$18+0.5&gt;=$D$5,Z$18+0.5&lt;$H$5),$Y$10,$Z$10)</f>
        <v>guard</v>
      </c>
    </row>
    <row r="22" customFormat="false" ht="15" hidden="false" customHeight="false" outlineLevel="0" collapsed="false">
      <c r="A22" s="34" t="n">
        <v>4</v>
      </c>
      <c r="B22" s="17" t="str">
        <f aca="false">B11</f>
        <v>MECHANIC</v>
      </c>
      <c r="C22" s="50" t="str">
        <f aca="false">IF(AND(C$18+0.5&gt;=$D$5,C$18+0.5&lt;$H$5),$Y$11,$Z$11)</f>
        <v>off</v>
      </c>
      <c r="D22" s="50" t="str">
        <f aca="false">IF(AND(D$18+0.5&gt;=$D$5,D$18+0.5&lt;$H$5),$Y$11,$Z$11)</f>
        <v>off</v>
      </c>
      <c r="E22" s="50" t="str">
        <f aca="false">IF(AND(E$18+0.5&gt;=$D$5,E$18+0.5&lt;$H$5),$Y$11,$Z$11)</f>
        <v>off</v>
      </c>
      <c r="F22" s="50" t="str">
        <f aca="false">IF(AND(F$18+0.5&gt;=$D$5,F$18+0.5&lt;$H$5),$Y$11,$Z$11)</f>
        <v>off</v>
      </c>
      <c r="G22" s="50" t="str">
        <f aca="false">IF(AND(G$18+0.5&gt;=$D$5,G$18+0.5&lt;$H$5),$Y$11,$Z$11)</f>
        <v>off</v>
      </c>
      <c r="H22" s="50" t="str">
        <f aca="false">IF(AND(H$18+0.5&gt;=$D$5,H$18+0.5&lt;$H$5),$Y$11,$Z$11)</f>
        <v>off</v>
      </c>
      <c r="I22" s="50" t="str">
        <f aca="false">IF(AND(I$18+0.5&gt;=$D$5,I$18+0.5&lt;$H$5),$Y$11,$Z$11)</f>
        <v>work</v>
      </c>
      <c r="J22" s="50" t="str">
        <f aca="false">IF(AND(J$18+0.5&gt;=$D$5,J$18+0.5&lt;$H$5),$Y$11,$Z$11)</f>
        <v>work</v>
      </c>
      <c r="K22" s="50" t="str">
        <f aca="false">IF(AND(K$18+0.5&gt;=$D$5,K$18+0.5&lt;$H$5),$Y$11,$Z$11)</f>
        <v>work</v>
      </c>
      <c r="L22" s="50" t="str">
        <f aca="false">IF(AND(L$18+0.5&gt;=$D$5,L$18+0.5&lt;$H$5),$Y$11,$Z$11)</f>
        <v>work</v>
      </c>
      <c r="M22" s="50" t="str">
        <f aca="false">IF(AND(M$18+0.5&gt;=$D$5,M$18+0.5&lt;$H$5),$Y$11,$Z$11)</f>
        <v>work</v>
      </c>
      <c r="N22" s="50" t="str">
        <f aca="false">IF(AND(N$18+0.5&gt;=$D$5,N$18+0.5&lt;$H$5),$Y$11,$Z$11)</f>
        <v>work</v>
      </c>
      <c r="O22" s="50" t="str">
        <f aca="false">IF(AND(O$18+0.5&gt;=$D$5,O$18+0.5&lt;$H$5),$Y$11,$Z$11)</f>
        <v>work</v>
      </c>
      <c r="P22" s="50" t="str">
        <f aca="false">IF(AND(P$18+0.5&gt;=$D$5,P$18+0.5&lt;$H$5),$Y$11,$Z$11)</f>
        <v>work</v>
      </c>
      <c r="Q22" s="50" t="str">
        <f aca="false">IF(AND(Q$18+0.5&gt;=$D$5,Q$18+0.5&lt;$H$5),$Y$11,$Z$11)</f>
        <v>work</v>
      </c>
      <c r="R22" s="50" t="str">
        <f aca="false">IF(AND(R$18+0.5&gt;=$D$5,R$18+0.5&lt;$H$5),$Y$11,$Z$11)</f>
        <v>work</v>
      </c>
      <c r="S22" s="50" t="str">
        <f aca="false">IF(AND(S$18+0.5&gt;=$D$5,S$18+0.5&lt;$H$5),$Y$11,$Z$11)</f>
        <v>work</v>
      </c>
      <c r="T22" s="50" t="str">
        <f aca="false">IF(AND(T$18+0.5&gt;=$D$5,T$18+0.5&lt;$H$5),$Y$11,$Z$11)</f>
        <v>work</v>
      </c>
      <c r="U22" s="50" t="str">
        <f aca="false">IF(AND(U$18+0.5&gt;=$D$5,U$18+0.5&lt;$H$5),$Y$11,$Z$11)</f>
        <v>off</v>
      </c>
      <c r="V22" s="50" t="str">
        <f aca="false">IF(AND(V$18+0.5&gt;=$D$5,V$18+0.5&lt;$H$5),$Y$11,$Z$11)</f>
        <v>off</v>
      </c>
      <c r="W22" s="50" t="str">
        <f aca="false">IF(AND(W$18+0.5&gt;=$D$5,W$18+0.5&lt;$H$5),$Y$11,$Z$11)</f>
        <v>off</v>
      </c>
      <c r="X22" s="50" t="str">
        <f aca="false">IF(AND(X$18+0.5&gt;=$D$5,X$18+0.5&lt;$H$5),$Y$11,$Z$11)</f>
        <v>off</v>
      </c>
      <c r="Y22" s="50" t="str">
        <f aca="false">IF(AND(Y$18+0.5&gt;=$D$5,Y$18+0.5&lt;$H$5),$Y$11,$Z$11)</f>
        <v>off</v>
      </c>
      <c r="Z22" s="50" t="str">
        <f aca="false">IF(AND(Z$18+0.5&gt;=$D$5,Z$18+0.5&lt;$H$5),$Y$11,$Z$11)</f>
        <v>off</v>
      </c>
    </row>
    <row r="23" customFormat="false" ht="15" hidden="false" customHeight="false" outlineLevel="0" collapsed="false">
      <c r="A23" s="34" t="n">
        <v>5</v>
      </c>
      <c r="B23" s="17" t="str">
        <f aca="false">B12</f>
        <v>LOGISTICS</v>
      </c>
      <c r="C23" s="50" t="str">
        <f aca="false">IF(AND(C$18+0.5&gt;=$D$5,C$18+0.5&lt;$H$5),$Y$12,$Z$12)</f>
        <v>off</v>
      </c>
      <c r="D23" s="50" t="str">
        <f aca="false">IF(AND(D$18+0.5&gt;=$D$5,D$18+0.5&lt;$H$5),$Y$12,$Z$12)</f>
        <v>off</v>
      </c>
      <c r="E23" s="50" t="str">
        <f aca="false">IF(AND(E$18+0.5&gt;=$D$5,E$18+0.5&lt;$H$5),$Y$12,$Z$12)</f>
        <v>off</v>
      </c>
      <c r="F23" s="50" t="str">
        <f aca="false">IF(AND(F$18+0.5&gt;=$D$5,F$18+0.5&lt;$H$5),$Y$12,$Z$12)</f>
        <v>off</v>
      </c>
      <c r="G23" s="50" t="str">
        <f aca="false">IF(AND(G$18+0.5&gt;=$D$5,G$18+0.5&lt;$H$5),$Y$12,$Z$12)</f>
        <v>off</v>
      </c>
      <c r="H23" s="50" t="str">
        <f aca="false">IF(AND(H$18+0.5&gt;=$D$5,H$18+0.5&lt;$H$5),$Y$12,$Z$12)</f>
        <v>off</v>
      </c>
      <c r="I23" s="50" t="str">
        <f aca="false">IF(AND(I$18+0.5&gt;=$D$5,I$18+0.5&lt;$H$5),$Y$12,$Z$12)</f>
        <v>work</v>
      </c>
      <c r="J23" s="50" t="str">
        <f aca="false">IF(AND(J$18+0.5&gt;=$D$5,J$18+0.5&lt;$H$5),$Y$12,$Z$12)</f>
        <v>work</v>
      </c>
      <c r="K23" s="50" t="str">
        <f aca="false">IF(AND(K$18+0.5&gt;=$D$5,K$18+0.5&lt;$H$5),$Y$12,$Z$12)</f>
        <v>work</v>
      </c>
      <c r="L23" s="50" t="str">
        <f aca="false">IF(AND(L$18+0.5&gt;=$D$5,L$18+0.5&lt;$H$5),$Y$12,$Z$12)</f>
        <v>work</v>
      </c>
      <c r="M23" s="50" t="str">
        <f aca="false">IF(AND(M$18+0.5&gt;=$D$5,M$18+0.5&lt;$H$5),$Y$12,$Z$12)</f>
        <v>work</v>
      </c>
      <c r="N23" s="50" t="str">
        <f aca="false">IF(AND(N$18+0.5&gt;=$D$5,N$18+0.5&lt;$H$5),$Y$12,$Z$12)</f>
        <v>work</v>
      </c>
      <c r="O23" s="50" t="str">
        <f aca="false">IF(AND(O$18+0.5&gt;=$D$5,O$18+0.5&lt;$H$5),$Y$12,$Z$12)</f>
        <v>work</v>
      </c>
      <c r="P23" s="50" t="str">
        <f aca="false">IF(AND(P$18+0.5&gt;=$D$5,P$18+0.5&lt;$H$5),$Y$12,$Z$12)</f>
        <v>work</v>
      </c>
      <c r="Q23" s="50" t="str">
        <f aca="false">IF(AND(Q$18+0.5&gt;=$D$5,Q$18+0.5&lt;$H$5),$Y$12,$Z$12)</f>
        <v>work</v>
      </c>
      <c r="R23" s="50" t="str">
        <f aca="false">IF(AND(R$18+0.5&gt;=$D$5,R$18+0.5&lt;$H$5),$Y$12,$Z$12)</f>
        <v>work</v>
      </c>
      <c r="S23" s="50" t="str">
        <f aca="false">IF(AND(S$18+0.5&gt;=$D$5,S$18+0.5&lt;$H$5),$Y$12,$Z$12)</f>
        <v>work</v>
      </c>
      <c r="T23" s="50" t="str">
        <f aca="false">IF(AND(T$18+0.5&gt;=$D$5,T$18+0.5&lt;$H$5),$Y$12,$Z$12)</f>
        <v>work</v>
      </c>
      <c r="U23" s="50" t="str">
        <f aca="false">IF(AND(U$18+0.5&gt;=$D$5,U$18+0.5&lt;$H$5),$Y$12,$Z$12)</f>
        <v>off</v>
      </c>
      <c r="V23" s="50" t="str">
        <f aca="false">IF(AND(V$18+0.5&gt;=$D$5,V$18+0.5&lt;$H$5),$Y$12,$Z$12)</f>
        <v>off</v>
      </c>
      <c r="W23" s="50" t="str">
        <f aca="false">IF(AND(W$18+0.5&gt;=$D$5,W$18+0.5&lt;$H$5),$Y$12,$Z$12)</f>
        <v>off</v>
      </c>
      <c r="X23" s="50" t="str">
        <f aca="false">IF(AND(X$18+0.5&gt;=$D$5,X$18+0.5&lt;$H$5),$Y$12,$Z$12)</f>
        <v>off</v>
      </c>
      <c r="Y23" s="50" t="str">
        <f aca="false">IF(AND(Y$18+0.5&gt;=$D$5,Y$18+0.5&lt;$H$5),$Y$12,$Z$12)</f>
        <v>off</v>
      </c>
      <c r="Z23" s="50" t="str">
        <f aca="false">IF(AND(Z$18+0.5&gt;=$D$5,Z$18+0.5&lt;$H$5),$Y$12,$Z$12)</f>
        <v>off</v>
      </c>
    </row>
    <row r="24" customFormat="false" ht="15" hidden="false" customHeight="false" outlineLevel="0" collapsed="false">
      <c r="A24" s="34" t="n">
        <v>6</v>
      </c>
      <c r="B24" s="17" t="str">
        <f aca="false">B13</f>
        <v>TECHNICIAN</v>
      </c>
      <c r="C24" s="50" t="str">
        <f aca="false">IF(AND(C$18+0.5&gt;=$D$5,C$18+0.5&lt;$H$5),$Y$13,$Z$13)</f>
        <v>work</v>
      </c>
      <c r="D24" s="50" t="str">
        <f aca="false">IF(AND(D$18+0.5&gt;=$D$5,D$18+0.5&lt;$H$5),$Y$13,$Z$13)</f>
        <v>work</v>
      </c>
      <c r="E24" s="50" t="str">
        <f aca="false">IF(AND(E$18+0.5&gt;=$D$5,E$18+0.5&lt;$H$5),$Y$13,$Z$13)</f>
        <v>work</v>
      </c>
      <c r="F24" s="50" t="str">
        <f aca="false">IF(AND(F$18+0.5&gt;=$D$5,F$18+0.5&lt;$H$5),$Y$13,$Z$13)</f>
        <v>work</v>
      </c>
      <c r="G24" s="50" t="str">
        <f aca="false">IF(AND(G$18+0.5&gt;=$D$5,G$18+0.5&lt;$H$5),$Y$13,$Z$13)</f>
        <v>work</v>
      </c>
      <c r="H24" s="50" t="str">
        <f aca="false">IF(AND(H$18+0.5&gt;=$D$5,H$18+0.5&lt;$H$5),$Y$13,$Z$13)</f>
        <v>work</v>
      </c>
      <c r="I24" s="50" t="str">
        <f aca="false">IF(AND(I$18+0.5&gt;=$D$5,I$18+0.5&lt;$H$5),$Y$13,$Z$13)</f>
        <v>work</v>
      </c>
      <c r="J24" s="50" t="str">
        <f aca="false">IF(AND(J$18+0.5&gt;=$D$5,J$18+0.5&lt;$H$5),$Y$13,$Z$13)</f>
        <v>work</v>
      </c>
      <c r="K24" s="50" t="str">
        <f aca="false">IF(AND(K$18+0.5&gt;=$D$5,K$18+0.5&lt;$H$5),$Y$13,$Z$13)</f>
        <v>work</v>
      </c>
      <c r="L24" s="50" t="str">
        <f aca="false">IF(AND(L$18+0.5&gt;=$D$5,L$18+0.5&lt;$H$5),$Y$13,$Z$13)</f>
        <v>work</v>
      </c>
      <c r="M24" s="50" t="str">
        <f aca="false">IF(AND(M$18+0.5&gt;=$D$5,M$18+0.5&lt;$H$5),$Y$13,$Z$13)</f>
        <v>work</v>
      </c>
      <c r="N24" s="50" t="str">
        <f aca="false">IF(AND(N$18+0.5&gt;=$D$5,N$18+0.5&lt;$H$5),$Y$13,$Z$13)</f>
        <v>work</v>
      </c>
      <c r="O24" s="50" t="str">
        <f aca="false">IF(AND(O$18+0.5&gt;=$D$5,O$18+0.5&lt;$H$5),$Y$13,$Z$13)</f>
        <v>work</v>
      </c>
      <c r="P24" s="50" t="str">
        <f aca="false">IF(AND(P$18+0.5&gt;=$D$5,P$18+0.5&lt;$H$5),$Y$13,$Z$13)</f>
        <v>work</v>
      </c>
      <c r="Q24" s="50" t="str">
        <f aca="false">IF(AND(Q$18+0.5&gt;=$D$5,Q$18+0.5&lt;$H$5),$Y$13,$Z$13)</f>
        <v>work</v>
      </c>
      <c r="R24" s="50" t="str">
        <f aca="false">IF(AND(R$18+0.5&gt;=$D$5,R$18+0.5&lt;$H$5),$Y$13,$Z$13)</f>
        <v>work</v>
      </c>
      <c r="S24" s="50" t="str">
        <f aca="false">IF(AND(S$18+0.5&gt;=$D$5,S$18+0.5&lt;$H$5),$Y$13,$Z$13)</f>
        <v>work</v>
      </c>
      <c r="T24" s="50" t="str">
        <f aca="false">IF(AND(T$18+0.5&gt;=$D$5,T$18+0.5&lt;$H$5),$Y$13,$Z$13)</f>
        <v>work</v>
      </c>
      <c r="U24" s="50" t="str">
        <f aca="false">IF(AND(U$18+0.5&gt;=$D$5,U$18+0.5&lt;$H$5),$Y$13,$Z$13)</f>
        <v>work</v>
      </c>
      <c r="V24" s="50" t="str">
        <f aca="false">IF(AND(V$18+0.5&gt;=$D$5,V$18+0.5&lt;$H$5),$Y$13,$Z$13)</f>
        <v>work</v>
      </c>
      <c r="W24" s="50" t="str">
        <f aca="false">IF(AND(W$18+0.5&gt;=$D$5,W$18+0.5&lt;$H$5),$Y$13,$Z$13)</f>
        <v>work</v>
      </c>
      <c r="X24" s="50" t="str">
        <f aca="false">IF(AND(X$18+0.5&gt;=$D$5,X$18+0.5&lt;$H$5),$Y$13,$Z$13)</f>
        <v>work</v>
      </c>
      <c r="Y24" s="50" t="str">
        <f aca="false">IF(AND(Y$18+0.5&gt;=$D$5,Y$18+0.5&lt;$H$5),$Y$13,$Z$13)</f>
        <v>work</v>
      </c>
      <c r="Z24" s="50" t="str">
        <f aca="false">IF(AND(Z$18+0.5&gt;=$D$5,Z$18+0.5&lt;$H$5),$Y$13,$Z$13)</f>
        <v>work</v>
      </c>
    </row>
    <row r="25" customFormat="false" ht="15" hidden="false" customHeight="false" outlineLevel="0" collapsed="false">
      <c r="A25" s="34" t="n">
        <v>7</v>
      </c>
      <c r="B25" s="17" t="str">
        <f aca="false">B14</f>
        <v>PATROL</v>
      </c>
      <c r="C25" s="50" t="str">
        <f aca="false">IF(AND(C$18+0.5&gt;=$D$5,C$18+0.5&lt;$H$5),$Y$14,$Z$14)</f>
        <v>guard</v>
      </c>
      <c r="D25" s="50" t="str">
        <f aca="false">IF(AND(D$18+0.5&gt;=$D$5,D$18+0.5&lt;$H$5),$Y$14,$Z$14)</f>
        <v>guard</v>
      </c>
      <c r="E25" s="50" t="str">
        <f aca="false">IF(AND(E$18+0.5&gt;=$D$5,E$18+0.5&lt;$H$5),$Y$14,$Z$14)</f>
        <v>guard</v>
      </c>
      <c r="F25" s="50" t="str">
        <f aca="false">IF(AND(F$18+0.5&gt;=$D$5,F$18+0.5&lt;$H$5),$Y$14,$Z$14)</f>
        <v>guard</v>
      </c>
      <c r="G25" s="50" t="str">
        <f aca="false">IF(AND(G$18+0.5&gt;=$D$5,G$18+0.5&lt;$H$5),$Y$14,$Z$14)</f>
        <v>guard</v>
      </c>
      <c r="H25" s="50" t="str">
        <f aca="false">IF(AND(H$18+0.5&gt;=$D$5,H$18+0.5&lt;$H$5),$Y$14,$Z$14)</f>
        <v>guard</v>
      </c>
      <c r="I25" s="50" t="str">
        <f aca="false">IF(AND(I$18+0.5&gt;=$D$5,I$18+0.5&lt;$H$5),$Y$14,$Z$14)</f>
        <v>walk</v>
      </c>
      <c r="J25" s="50" t="str">
        <f aca="false">IF(AND(J$18+0.5&gt;=$D$5,J$18+0.5&lt;$H$5),$Y$14,$Z$14)</f>
        <v>walk</v>
      </c>
      <c r="K25" s="50" t="str">
        <f aca="false">IF(AND(K$18+0.5&gt;=$D$5,K$18+0.5&lt;$H$5),$Y$14,$Z$14)</f>
        <v>walk</v>
      </c>
      <c r="L25" s="50" t="str">
        <f aca="false">IF(AND(L$18+0.5&gt;=$D$5,L$18+0.5&lt;$H$5),$Y$14,$Z$14)</f>
        <v>walk</v>
      </c>
      <c r="M25" s="50" t="str">
        <f aca="false">IF(AND(M$18+0.5&gt;=$D$5,M$18+0.5&lt;$H$5),$Y$14,$Z$14)</f>
        <v>walk</v>
      </c>
      <c r="N25" s="50" t="str">
        <f aca="false">IF(AND(N$18+0.5&gt;=$D$5,N$18+0.5&lt;$H$5),$Y$14,$Z$14)</f>
        <v>walk</v>
      </c>
      <c r="O25" s="50" t="str">
        <f aca="false">IF(AND(O$18+0.5&gt;=$D$5,O$18+0.5&lt;$H$5),$Y$14,$Z$14)</f>
        <v>walk</v>
      </c>
      <c r="P25" s="50" t="str">
        <f aca="false">IF(AND(P$18+0.5&gt;=$D$5,P$18+0.5&lt;$H$5),$Y$14,$Z$14)</f>
        <v>walk</v>
      </c>
      <c r="Q25" s="50" t="str">
        <f aca="false">IF(AND(Q$18+0.5&gt;=$D$5,Q$18+0.5&lt;$H$5),$Y$14,$Z$14)</f>
        <v>walk</v>
      </c>
      <c r="R25" s="50" t="str">
        <f aca="false">IF(AND(R$18+0.5&gt;=$D$5,R$18+0.5&lt;$H$5),$Y$14,$Z$14)</f>
        <v>walk</v>
      </c>
      <c r="S25" s="50" t="str">
        <f aca="false">IF(AND(S$18+0.5&gt;=$D$5,S$18+0.5&lt;$H$5),$Y$14,$Z$14)</f>
        <v>walk</v>
      </c>
      <c r="T25" s="50" t="str">
        <f aca="false">IF(AND(T$18+0.5&gt;=$D$5,T$18+0.5&lt;$H$5),$Y$14,$Z$14)</f>
        <v>walk</v>
      </c>
      <c r="U25" s="50" t="str">
        <f aca="false">IF(AND(U$18+0.5&gt;=$D$5,U$18+0.5&lt;$H$5),$Y$14,$Z$14)</f>
        <v>guard</v>
      </c>
      <c r="V25" s="50" t="str">
        <f aca="false">IF(AND(V$18+0.5&gt;=$D$5,V$18+0.5&lt;$H$5),$Y$14,$Z$14)</f>
        <v>guard</v>
      </c>
      <c r="W25" s="50" t="str">
        <f aca="false">IF(AND(W$18+0.5&gt;=$D$5,W$18+0.5&lt;$H$5),$Y$14,$Z$14)</f>
        <v>guard</v>
      </c>
      <c r="X25" s="50" t="str">
        <f aca="false">IF(AND(X$18+0.5&gt;=$D$5,X$18+0.5&lt;$H$5),$Y$14,$Z$14)</f>
        <v>guard</v>
      </c>
      <c r="Y25" s="50" t="str">
        <f aca="false">IF(AND(Y$18+0.5&gt;=$D$5,Y$18+0.5&lt;$H$5),$Y$14,$Z$14)</f>
        <v>guard</v>
      </c>
      <c r="Z25" s="50" t="str">
        <f aca="false">IF(AND(Z$18+0.5&gt;=$D$5,Z$18+0.5&lt;$H$5),$Y$14,$Z$14)</f>
        <v>guard</v>
      </c>
    </row>
    <row r="26" customFormat="false" ht="15" hidden="false" customHeight="false" outlineLevel="0" collapsed="false">
      <c r="A26" s="34" t="n">
        <v>8</v>
      </c>
      <c r="B26" s="17" t="str">
        <f aca="false">B15</f>
        <v>RUNNER</v>
      </c>
      <c r="C26" s="50" t="str">
        <f aca="false">IF(AND(C$18+0.5&gt;=$D$5,C$18+0.5&lt;$H$5),$Y$15,$Z$15)</f>
        <v>off</v>
      </c>
      <c r="D26" s="50" t="str">
        <f aca="false">IF(AND(D$18+0.5&gt;=$D$5,D$18+0.5&lt;$H$5),$Y$15,$Z$15)</f>
        <v>off</v>
      </c>
      <c r="E26" s="50" t="str">
        <f aca="false">IF(AND(E$18+0.5&gt;=$D$5,E$18+0.5&lt;$H$5),$Y$15,$Z$15)</f>
        <v>off</v>
      </c>
      <c r="F26" s="50" t="str">
        <f aca="false">IF(AND(F$18+0.5&gt;=$D$5,F$18+0.5&lt;$H$5),$Y$15,$Z$15)</f>
        <v>off</v>
      </c>
      <c r="G26" s="50" t="str">
        <f aca="false">IF(AND(G$18+0.5&gt;=$D$5,G$18+0.5&lt;$H$5),$Y$15,$Z$15)</f>
        <v>off</v>
      </c>
      <c r="H26" s="50" t="str">
        <f aca="false">IF(AND(H$18+0.5&gt;=$D$5,H$18+0.5&lt;$H$5),$Y$15,$Z$15)</f>
        <v>off</v>
      </c>
      <c r="I26" s="50" t="str">
        <f aca="false">IF(AND(I$18+0.5&gt;=$D$5,I$18+0.5&lt;$H$5),$Y$15,$Z$15)</f>
        <v>run</v>
      </c>
      <c r="J26" s="50" t="str">
        <f aca="false">IF(AND(J$18+0.5&gt;=$D$5,J$18+0.5&lt;$H$5),$Y$15,$Z$15)</f>
        <v>run</v>
      </c>
      <c r="K26" s="50" t="str">
        <f aca="false">IF(AND(K$18+0.5&gt;=$D$5,K$18+0.5&lt;$H$5),$Y$15,$Z$15)</f>
        <v>run</v>
      </c>
      <c r="L26" s="50" t="str">
        <f aca="false">IF(AND(L$18+0.5&gt;=$D$5,L$18+0.5&lt;$H$5),$Y$15,$Z$15)</f>
        <v>run</v>
      </c>
      <c r="M26" s="50" t="str">
        <f aca="false">IF(AND(M$18+0.5&gt;=$D$5,M$18+0.5&lt;$H$5),$Y$15,$Z$15)</f>
        <v>run</v>
      </c>
      <c r="N26" s="50" t="str">
        <f aca="false">IF(AND(N$18+0.5&gt;=$D$5,N$18+0.5&lt;$H$5),$Y$15,$Z$15)</f>
        <v>run</v>
      </c>
      <c r="O26" s="50" t="str">
        <f aca="false">IF(AND(O$18+0.5&gt;=$D$5,O$18+0.5&lt;$H$5),$Y$15,$Z$15)</f>
        <v>run</v>
      </c>
      <c r="P26" s="50" t="str">
        <f aca="false">IF(AND(P$18+0.5&gt;=$D$5,P$18+0.5&lt;$H$5),$Y$15,$Z$15)</f>
        <v>run</v>
      </c>
      <c r="Q26" s="50" t="str">
        <f aca="false">IF(AND(Q$18+0.5&gt;=$D$5,Q$18+0.5&lt;$H$5),$Y$15,$Z$15)</f>
        <v>run</v>
      </c>
      <c r="R26" s="50" t="str">
        <f aca="false">IF(AND(R$18+0.5&gt;=$D$5,R$18+0.5&lt;$H$5),$Y$15,$Z$15)</f>
        <v>run</v>
      </c>
      <c r="S26" s="50" t="str">
        <f aca="false">IF(AND(S$18+0.5&gt;=$D$5,S$18+0.5&lt;$H$5),$Y$15,$Z$15)</f>
        <v>run</v>
      </c>
      <c r="T26" s="50" t="str">
        <f aca="false">IF(AND(T$18+0.5&gt;=$D$5,T$18+0.5&lt;$H$5),$Y$15,$Z$15)</f>
        <v>run</v>
      </c>
      <c r="U26" s="50" t="str">
        <f aca="false">IF(AND(U$18+0.5&gt;=$D$5,U$18+0.5&lt;$H$5),$Y$15,$Z$15)</f>
        <v>off</v>
      </c>
      <c r="V26" s="50" t="str">
        <f aca="false">IF(AND(V$18+0.5&gt;=$D$5,V$18+0.5&lt;$H$5),$Y$15,$Z$15)</f>
        <v>off</v>
      </c>
      <c r="W26" s="50" t="str">
        <f aca="false">IF(AND(W$18+0.5&gt;=$D$5,W$18+0.5&lt;$H$5),$Y$15,$Z$15)</f>
        <v>off</v>
      </c>
      <c r="X26" s="50" t="str">
        <f aca="false">IF(AND(X$18+0.5&gt;=$D$5,X$18+0.5&lt;$H$5),$Y$15,$Z$15)</f>
        <v>off</v>
      </c>
      <c r="Y26" s="50" t="str">
        <f aca="false">IF(AND(Y$18+0.5&gt;=$D$5,Y$18+0.5&lt;$H$5),$Y$15,$Z$15)</f>
        <v>off</v>
      </c>
      <c r="Z26" s="50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1182</v>
      </c>
      <c r="B27" s="4"/>
      <c r="C27" s="34" t="n">
        <f aca="false">COUNTIF(C19:C26,"&lt;&gt;off")</f>
        <v>5</v>
      </c>
      <c r="D27" s="34" t="n">
        <f aca="false">COUNTIF(D19:D26,"&lt;&gt;off")</f>
        <v>5</v>
      </c>
      <c r="E27" s="34" t="n">
        <f aca="false">COUNTIF(E19:E26,"&lt;&gt;off")</f>
        <v>5</v>
      </c>
      <c r="F27" s="34" t="n">
        <f aca="false">COUNTIF(F19:F26,"&lt;&gt;off")</f>
        <v>5</v>
      </c>
      <c r="G27" s="34" t="n">
        <f aca="false">COUNTIF(G19:G26,"&lt;&gt;off")</f>
        <v>5</v>
      </c>
      <c r="H27" s="34" t="n">
        <f aca="false">COUNTIF(H19:H26,"&lt;&gt;off")</f>
        <v>5</v>
      </c>
      <c r="I27" s="34" t="n">
        <f aca="false">COUNTIF(I19:I26,"&lt;&gt;off")</f>
        <v>8</v>
      </c>
      <c r="J27" s="34" t="n">
        <f aca="false">COUNTIF(J19:J26,"&lt;&gt;off")</f>
        <v>8</v>
      </c>
      <c r="K27" s="34" t="n">
        <f aca="false">COUNTIF(K19:K26,"&lt;&gt;off")</f>
        <v>8</v>
      </c>
      <c r="L27" s="34" t="n">
        <f aca="false">COUNTIF(L19:L26,"&lt;&gt;off")</f>
        <v>8</v>
      </c>
      <c r="M27" s="34" t="n">
        <f aca="false">COUNTIF(M19:M26,"&lt;&gt;off")</f>
        <v>8</v>
      </c>
      <c r="N27" s="34" t="n">
        <f aca="false">COUNTIF(N19:N26,"&lt;&gt;off")</f>
        <v>8</v>
      </c>
      <c r="O27" s="34" t="n">
        <f aca="false">COUNTIF(O19:O26,"&lt;&gt;off")</f>
        <v>8</v>
      </c>
      <c r="P27" s="34" t="n">
        <f aca="false">COUNTIF(P19:P26,"&lt;&gt;off")</f>
        <v>8</v>
      </c>
      <c r="Q27" s="34" t="n">
        <f aca="false">COUNTIF(Q19:Q26,"&lt;&gt;off")</f>
        <v>8</v>
      </c>
      <c r="R27" s="34" t="n">
        <f aca="false">COUNTIF(R19:R26,"&lt;&gt;off")</f>
        <v>8</v>
      </c>
      <c r="S27" s="34" t="n">
        <f aca="false">COUNTIF(S19:S26,"&lt;&gt;off")</f>
        <v>8</v>
      </c>
      <c r="T27" s="34" t="n">
        <f aca="false">COUNTIF(T19:T26,"&lt;&gt;off")</f>
        <v>8</v>
      </c>
      <c r="U27" s="34" t="n">
        <f aca="false">COUNTIF(U19:U26,"&lt;&gt;off")</f>
        <v>5</v>
      </c>
      <c r="V27" s="34" t="n">
        <f aca="false">COUNTIF(V19:V26,"&lt;&gt;off")</f>
        <v>5</v>
      </c>
      <c r="W27" s="34" t="n">
        <f aca="false">COUNTIF(W19:W26,"&lt;&gt;off")</f>
        <v>5</v>
      </c>
      <c r="X27" s="34" t="n">
        <f aca="false">COUNTIF(X19:X26,"&lt;&gt;off")</f>
        <v>5</v>
      </c>
      <c r="Y27" s="34" t="n">
        <f aca="false">COUNTIF(Y19:Y26,"&lt;&gt;off")</f>
        <v>5</v>
      </c>
      <c r="Z27" s="34" t="n">
        <f aca="false">COUNTIF(Z19:Z26,"&lt;&gt;off")</f>
        <v>5</v>
      </c>
    </row>
    <row r="28" customFormat="false" ht="15" hidden="false" customHeight="false" outlineLevel="0" collapsed="false">
      <c r="A28" s="4" t="s">
        <v>1183</v>
      </c>
      <c r="B28" s="4"/>
      <c r="C28" s="51" t="str">
        <f aca="false">IF(AND(C$18+0.5&gt;=$D$5,C$18+0.5&lt;$H$5),"DAY","NIGHT")</f>
        <v>NIGHT</v>
      </c>
      <c r="D28" s="51" t="str">
        <f aca="false">IF(AND(D$18+0.5&gt;=$D$5,D$18+0.5&lt;$H$5),"DAY","NIGHT")</f>
        <v>NIGHT</v>
      </c>
      <c r="E28" s="51" t="str">
        <f aca="false">IF(AND(E$18+0.5&gt;=$D$5,E$18+0.5&lt;$H$5),"DAY","NIGHT")</f>
        <v>NIGHT</v>
      </c>
      <c r="F28" s="51" t="str">
        <f aca="false">IF(AND(F$18+0.5&gt;=$D$5,F$18+0.5&lt;$H$5),"DAY","NIGHT")</f>
        <v>NIGHT</v>
      </c>
      <c r="G28" s="51" t="str">
        <f aca="false">IF(AND(G$18+0.5&gt;=$D$5,G$18+0.5&lt;$H$5),"DAY","NIGHT")</f>
        <v>NIGHT</v>
      </c>
      <c r="H28" s="51" t="str">
        <f aca="false">IF(AND(H$18+0.5&gt;=$D$5,H$18+0.5&lt;$H$5),"DAY","NIGHT")</f>
        <v>NIGHT</v>
      </c>
      <c r="I28" s="51" t="str">
        <f aca="false">IF(AND(I$18+0.5&gt;=$D$5,I$18+0.5&lt;$H$5),"DAY","NIGHT")</f>
        <v>DAY</v>
      </c>
      <c r="J28" s="51" t="str">
        <f aca="false">IF(AND(J$18+0.5&gt;=$D$5,J$18+0.5&lt;$H$5),"DAY","NIGHT")</f>
        <v>DAY</v>
      </c>
      <c r="K28" s="51" t="str">
        <f aca="false">IF(AND(K$18+0.5&gt;=$D$5,K$18+0.5&lt;$H$5),"DAY","NIGHT")</f>
        <v>DAY</v>
      </c>
      <c r="L28" s="51" t="str">
        <f aca="false">IF(AND(L$18+0.5&gt;=$D$5,L$18+0.5&lt;$H$5),"DAY","NIGHT")</f>
        <v>DAY</v>
      </c>
      <c r="M28" s="51" t="str">
        <f aca="false">IF(AND(M$18+0.5&gt;=$D$5,M$18+0.5&lt;$H$5),"DAY","NIGHT")</f>
        <v>DAY</v>
      </c>
      <c r="N28" s="51" t="str">
        <f aca="false">IF(AND(N$18+0.5&gt;=$D$5,N$18+0.5&lt;$H$5),"DAY","NIGHT")</f>
        <v>DAY</v>
      </c>
      <c r="O28" s="51" t="str">
        <f aca="false">IF(AND(O$18+0.5&gt;=$D$5,O$18+0.5&lt;$H$5),"DAY","NIGHT")</f>
        <v>DAY</v>
      </c>
      <c r="P28" s="51" t="str">
        <f aca="false">IF(AND(P$18+0.5&gt;=$D$5,P$18+0.5&lt;$H$5),"DAY","NIGHT")</f>
        <v>DAY</v>
      </c>
      <c r="Q28" s="51" t="str">
        <f aca="false">IF(AND(Q$18+0.5&gt;=$D$5,Q$18+0.5&lt;$H$5),"DAY","NIGHT")</f>
        <v>DAY</v>
      </c>
      <c r="R28" s="51" t="str">
        <f aca="false">IF(AND(R$18+0.5&gt;=$D$5,R$18+0.5&lt;$H$5),"DAY","NIGHT")</f>
        <v>DAY</v>
      </c>
      <c r="S28" s="51" t="str">
        <f aca="false">IF(AND(S$18+0.5&gt;=$D$5,S$18+0.5&lt;$H$5),"DAY","NIGHT")</f>
        <v>DAY</v>
      </c>
      <c r="T28" s="51" t="str">
        <f aca="false">IF(AND(T$18+0.5&gt;=$D$5,T$18+0.5&lt;$H$5),"DAY","NIGHT")</f>
        <v>DAY</v>
      </c>
      <c r="U28" s="51" t="str">
        <f aca="false">IF(AND(U$18+0.5&gt;=$D$5,U$18+0.5&lt;$H$5),"DAY","NIGHT")</f>
        <v>NIGHT</v>
      </c>
      <c r="V28" s="51" t="str">
        <f aca="false">IF(AND(V$18+0.5&gt;=$D$5,V$18+0.5&lt;$H$5),"DAY","NIGHT")</f>
        <v>NIGHT</v>
      </c>
      <c r="W28" s="51" t="str">
        <f aca="false">IF(AND(W$18+0.5&gt;=$D$5,W$18+0.5&lt;$H$5),"DAY","NIGHT")</f>
        <v>NIGHT</v>
      </c>
      <c r="X28" s="51" t="str">
        <f aca="false">IF(AND(X$18+0.5&gt;=$D$5,X$18+0.5&lt;$H$5),"DAY","NIGHT")</f>
        <v>NIGHT</v>
      </c>
      <c r="Y28" s="51" t="str">
        <f aca="false">IF(AND(Y$18+0.5&gt;=$D$5,Y$18+0.5&lt;$H$5),"DAY","NIGHT")</f>
        <v>NIGHT</v>
      </c>
      <c r="Z28" s="51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1184</v>
      </c>
    </row>
    <row r="31" customFormat="false" ht="15" hidden="false" customHeight="false" outlineLevel="0" collapsed="false">
      <c r="A31" s="10" t="s">
        <v>1185</v>
      </c>
    </row>
    <row r="32" customFormat="false" ht="15" hidden="false" customHeight="true" outlineLevel="0" collapsed="false">
      <c r="A32" s="3" t="s">
        <v>1186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1187</v>
      </c>
      <c r="B33" s="4"/>
      <c r="C33" s="52" t="n">
        <f aca="false">1+2.5*C32</f>
        <v>1</v>
      </c>
      <c r="D33" s="52"/>
      <c r="E33" s="52" t="n">
        <f aca="false">1+2.5*E32</f>
        <v>3.5</v>
      </c>
      <c r="F33" s="52"/>
      <c r="G33" s="52" t="n">
        <f aca="false">1+2.5*G32</f>
        <v>6</v>
      </c>
      <c r="H33" s="52"/>
      <c r="I33" s="52" t="n">
        <f aca="false">1+2.5*I32</f>
        <v>8.5</v>
      </c>
      <c r="J33" s="52"/>
      <c r="K33" s="52" t="n">
        <f aca="false">1+2.5*K32</f>
        <v>11</v>
      </c>
      <c r="L33" s="52"/>
      <c r="M33" s="52" t="n">
        <f aca="false">1+2.5*M32</f>
        <v>13.5</v>
      </c>
      <c r="N33" s="52"/>
      <c r="O33" s="52" t="n">
        <f aca="false">1+2.5*O32</f>
        <v>16</v>
      </c>
      <c r="P33" s="52"/>
      <c r="Q33" s="52" t="n">
        <f aca="false">1+2.5*Q32</f>
        <v>18.5</v>
      </c>
      <c r="R33" s="52"/>
    </row>
    <row r="34" customFormat="false" ht="15" hidden="false" customHeight="false" outlineLevel="0" collapsed="false">
      <c r="A34" s="2" t="s">
        <v>1188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1189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1190</v>
      </c>
    </row>
    <row r="5" customFormat="false" ht="15" hidden="false" customHeight="false" outlineLevel="0" collapsed="false">
      <c r="A5" s="10" t="s">
        <v>1191</v>
      </c>
    </row>
    <row r="6" customFormat="false" ht="30" hidden="false" customHeight="true" outlineLevel="0" collapsed="false">
      <c r="A6" s="3" t="s">
        <v>1192</v>
      </c>
      <c r="B6" s="3" t="s">
        <v>1193</v>
      </c>
      <c r="C6" s="3" t="s">
        <v>1194</v>
      </c>
      <c r="D6" s="3" t="s">
        <v>1195</v>
      </c>
      <c r="E6" s="3" t="s">
        <v>1196</v>
      </c>
      <c r="F6" s="3" t="s">
        <v>1197</v>
      </c>
      <c r="G6" s="3" t="s">
        <v>1198</v>
      </c>
      <c r="H6" s="3" t="s">
        <v>1199</v>
      </c>
      <c r="I6" s="3" t="s">
        <v>1200</v>
      </c>
    </row>
    <row r="7" customFormat="false" ht="15" hidden="false" customHeight="false" outlineLevel="0" collapsed="false">
      <c r="A7" s="5" t="s">
        <v>1201</v>
      </c>
      <c r="B7" s="43" t="n">
        <v>11.8961</v>
      </c>
      <c r="C7" s="43" t="n">
        <v>16.9807</v>
      </c>
      <c r="D7" s="43" t="n">
        <v>84.0609</v>
      </c>
      <c r="E7" s="8" t="n">
        <v>242.385</v>
      </c>
      <c r="F7" s="8" t="n">
        <v>4112850</v>
      </c>
      <c r="G7" s="18" t="n">
        <f aca="false">IF(B7&gt;0,1000/B7,0)</f>
        <v>84.0611629021276</v>
      </c>
      <c r="H7" s="18" t="n">
        <f aca="false">G7-D7</f>
        <v>0.000262902127573739</v>
      </c>
      <c r="I7" s="7" t="n">
        <f aca="false">IF(E7&gt;0,F7/E7,0)</f>
        <v>16968.2529859521</v>
      </c>
    </row>
    <row r="8" customFormat="false" ht="15" hidden="false" customHeight="false" outlineLevel="0" collapsed="false">
      <c r="A8" s="5" t="s">
        <v>1202</v>
      </c>
      <c r="B8" s="43" t="n">
        <v>15.328</v>
      </c>
      <c r="C8" s="43" t="n">
        <v>20.5757</v>
      </c>
      <c r="D8" s="43" t="n">
        <v>65.2399</v>
      </c>
      <c r="E8" s="8" t="n">
        <v>961.927</v>
      </c>
      <c r="F8" s="8" t="n">
        <v>4116830</v>
      </c>
      <c r="G8" s="18" t="n">
        <f aca="false">IF(B8&gt;0,1000/B8,0)</f>
        <v>65.2400835073069</v>
      </c>
      <c r="H8" s="18" t="n">
        <f aca="false">G8-D8</f>
        <v>0.000183507306886099</v>
      </c>
      <c r="I8" s="7" t="n">
        <f aca="false">IF(E8&gt;0,F8/E8,0)</f>
        <v>4279.77382899118</v>
      </c>
    </row>
    <row r="9" customFormat="false" ht="15" hidden="false" customHeight="false" outlineLevel="0" collapsed="false">
      <c r="A9" s="5" t="s">
        <v>1203</v>
      </c>
      <c r="B9" s="43" t="n">
        <v>12.9298</v>
      </c>
      <c r="C9" s="43" t="n">
        <v>17.4494</v>
      </c>
      <c r="D9" s="43" t="n">
        <v>77.3409</v>
      </c>
      <c r="E9" s="8" t="n">
        <v>53.3408</v>
      </c>
      <c r="F9" s="8" t="n">
        <v>1477730</v>
      </c>
      <c r="G9" s="18" t="n">
        <f aca="false">IF(B9&gt;0,1000/B9,0)</f>
        <v>77.3407167937633</v>
      </c>
      <c r="H9" s="18" t="n">
        <f aca="false">G9-D9</f>
        <v>-0.000183206236755495</v>
      </c>
      <c r="I9" s="7" t="n">
        <f aca="false">IF(E9&gt;0,F9/E9,0)</f>
        <v>27703.5590017398</v>
      </c>
    </row>
    <row r="10" customFormat="false" ht="15" hidden="false" customHeight="false" outlineLevel="0" collapsed="false">
      <c r="A10" s="5" t="s">
        <v>1204</v>
      </c>
      <c r="B10" s="43" t="n">
        <v>13.3205</v>
      </c>
      <c r="C10" s="43" t="n">
        <v>17.3572</v>
      </c>
      <c r="D10" s="43" t="n">
        <v>75.0723</v>
      </c>
      <c r="E10" s="8" t="n">
        <v>61.0413</v>
      </c>
      <c r="F10" s="8" t="n">
        <v>1545670</v>
      </c>
      <c r="G10" s="18" t="n">
        <f aca="false">IF(B10&gt;0,1000/B10,0)</f>
        <v>75.0722570474081</v>
      </c>
      <c r="H10" s="18" t="n">
        <f aca="false">G10-D10</f>
        <v>-4.29525918690388E-005</v>
      </c>
      <c r="I10" s="7" t="n">
        <f aca="false">IF(E10&gt;0,F10/E10,0)</f>
        <v>25321.7084170881</v>
      </c>
    </row>
    <row r="11" customFormat="false" ht="15" hidden="false" customHeight="false" outlineLevel="0" collapsed="false">
      <c r="A11" s="5" t="s">
        <v>1205</v>
      </c>
      <c r="B11" s="43" t="n">
        <v>15.4275</v>
      </c>
      <c r="C11" s="43" t="n">
        <v>17.4757</v>
      </c>
      <c r="D11" s="43" t="n">
        <v>64.8193</v>
      </c>
      <c r="E11" s="8" t="n">
        <v>187.354</v>
      </c>
      <c r="F11" s="8" t="n">
        <v>4138570</v>
      </c>
      <c r="G11" s="18" t="n">
        <f aca="false">IF(B11&gt;0,1000/B11,0)</f>
        <v>64.8193161562146</v>
      </c>
      <c r="H11" s="18" t="n">
        <f aca="false">G11-D11</f>
        <v>1.61562145564176E-005</v>
      </c>
      <c r="I11" s="7" t="n">
        <f aca="false">IF(E11&gt;0,F11/E11,0)</f>
        <v>22089.5737480918</v>
      </c>
    </row>
    <row r="12" customFormat="false" ht="15" hidden="false" customHeight="false" outlineLevel="0" collapsed="false">
      <c r="A12" s="5" t="s">
        <v>1206</v>
      </c>
      <c r="B12" s="43" t="n">
        <v>16.7837</v>
      </c>
      <c r="C12" s="43" t="n">
        <v>24.0234</v>
      </c>
      <c r="D12" s="43" t="n">
        <v>59.5816</v>
      </c>
      <c r="E12" s="8" t="n">
        <v>886.196</v>
      </c>
      <c r="F12" s="8" t="n">
        <v>4170890</v>
      </c>
      <c r="G12" s="18" t="n">
        <f aca="false">IF(B12&gt;0,1000/B12,0)</f>
        <v>59.5816178792519</v>
      </c>
      <c r="H12" s="18" t="n">
        <f aca="false">G12-D12</f>
        <v>1.78792518923387E-005</v>
      </c>
      <c r="I12" s="7" t="n">
        <f aca="false">IF(E12&gt;0,F12/E12,0)</f>
        <v>4706.50962089651</v>
      </c>
    </row>
    <row r="13" customFormat="false" ht="15" hidden="false" customHeight="false" outlineLevel="0" collapsed="false">
      <c r="A13" s="5" t="s">
        <v>1207</v>
      </c>
      <c r="B13" s="43" t="n">
        <v>52.9678</v>
      </c>
      <c r="C13" s="43" t="n">
        <v>62.0608</v>
      </c>
      <c r="D13" s="43" t="n">
        <v>18.8794</v>
      </c>
      <c r="E13" s="8" t="n">
        <v>3827.73</v>
      </c>
      <c r="F13" s="8" t="n">
        <v>4133000</v>
      </c>
      <c r="G13" s="18" t="n">
        <f aca="false">IF(B13&gt;0,1000/B13,0)</f>
        <v>18.8793946510899</v>
      </c>
      <c r="H13" s="18" t="n">
        <f aca="false">G13-D13</f>
        <v>-5.34891009351668E-006</v>
      </c>
      <c r="I13" s="7" t="n">
        <f aca="false">IF(E13&gt;0,F13/E13,0)</f>
        <v>1079.75222912797</v>
      </c>
    </row>
    <row r="14" customFormat="false" ht="15" hidden="false" customHeight="false" outlineLevel="0" collapsed="false">
      <c r="A14" s="5" t="s">
        <v>1208</v>
      </c>
      <c r="B14" s="43" t="n">
        <v>16.686</v>
      </c>
      <c r="C14" s="43" t="n">
        <v>20.5126</v>
      </c>
      <c r="D14" s="43" t="n">
        <v>59.9305</v>
      </c>
      <c r="E14" s="8" t="n">
        <v>245.781</v>
      </c>
      <c r="F14" s="8" t="n">
        <v>2614220</v>
      </c>
      <c r="G14" s="18" t="n">
        <f aca="false">IF(B14&gt;0,1000/B14,0)</f>
        <v>59.9304806424548</v>
      </c>
      <c r="H14" s="18" t="n">
        <f aca="false">G14-D14</f>
        <v>-1.93575452485106E-005</v>
      </c>
      <c r="I14" s="7" t="n">
        <f aca="false">IF(E14&gt;0,F14/E14,0)</f>
        <v>10636.3795411362</v>
      </c>
    </row>
    <row r="15" customFormat="false" ht="15" hidden="false" customHeight="false" outlineLevel="0" collapsed="false">
      <c r="A15" s="5" t="s">
        <v>1209</v>
      </c>
      <c r="B15" s="43" t="n">
        <v>14.9135</v>
      </c>
      <c r="C15" s="43" t="n">
        <v>20.1891</v>
      </c>
      <c r="D15" s="43" t="n">
        <v>67.0533</v>
      </c>
      <c r="E15" s="8" t="n">
        <v>186.921</v>
      </c>
      <c r="F15" s="8" t="n">
        <v>1518500</v>
      </c>
      <c r="G15" s="18" t="n">
        <f aca="false">IF(B15&gt;0,1000/B15,0)</f>
        <v>67.053340932712</v>
      </c>
      <c r="H15" s="18" t="n">
        <f aca="false">G15-D15</f>
        <v>4.09327119683667E-005</v>
      </c>
      <c r="I15" s="7" t="n">
        <f aca="false">IF(E15&gt;0,F15/E15,0)</f>
        <v>8123.7528153605</v>
      </c>
    </row>
    <row r="16" customFormat="false" ht="15" hidden="false" customHeight="false" outlineLevel="0" collapsed="false">
      <c r="A16" s="5" t="s">
        <v>1210</v>
      </c>
      <c r="B16" s="43" t="n">
        <v>12.6165</v>
      </c>
      <c r="C16" s="43" t="n">
        <v>20.0443</v>
      </c>
      <c r="D16" s="43" t="n">
        <v>79.2615</v>
      </c>
      <c r="E16" s="8" t="n">
        <v>177.751</v>
      </c>
      <c r="F16" s="8" t="n">
        <v>1385390</v>
      </c>
      <c r="G16" s="18" t="n">
        <f aca="false">IF(B16&gt;0,1000/B16,0)</f>
        <v>79.261284825427</v>
      </c>
      <c r="H16" s="18" t="n">
        <f aca="false">G16-D16</f>
        <v>-0.000215174572986143</v>
      </c>
      <c r="I16" s="7" t="n">
        <f aca="false">IF(E16&gt;0,F16/E16,0)</f>
        <v>7793.99272015347</v>
      </c>
    </row>
    <row r="17" customFormat="false" ht="15" hidden="false" customHeight="false" outlineLevel="0" collapsed="false">
      <c r="A17" s="5" t="s">
        <v>1211</v>
      </c>
      <c r="B17" s="43" t="n">
        <v>11.6958</v>
      </c>
      <c r="C17" s="43" t="n">
        <v>19.0796</v>
      </c>
      <c r="D17" s="43" t="n">
        <v>85.5011</v>
      </c>
      <c r="E17" s="8" t="n">
        <v>154.075</v>
      </c>
      <c r="F17" s="8" t="n">
        <v>1441730</v>
      </c>
      <c r="G17" s="18" t="n">
        <f aca="false">IF(B17&gt;0,1000/B17,0)</f>
        <v>85.5007780570803</v>
      </c>
      <c r="H17" s="18" t="n">
        <f aca="false">G17-D17</f>
        <v>-0.000321942919669027</v>
      </c>
      <c r="I17" s="7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2026-10-09T23:38:27Z</dcterms:created>
  <dc:creator>openpyxl</dc:creator>
  <dc:description/>
  <dc:language>en-US</dc:language>
  <cp:lastModifiedBy/>
  <dcterms:modified xsi:type="dcterms:W3CDTF">2026-10-09T23:38:28Z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