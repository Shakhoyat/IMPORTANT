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imitives" sheetId="1" state="visible" r:id="rId3"/>
    <sheet name="Decomposition" sheetId="2" state="visible" r:id="rId4"/>
    <sheet name="Designs" sheetId="3" state="visible" r:id="rId5"/>
    <sheet name="Transform_Trace" sheetId="4" state="visible" r:id="rId6"/>
    <sheet name="Vertex_Groups" sheetId="5" state="visible" r:id="rId7"/>
    <sheet name="View_Projection" sheetId="6" state="visible" r:id="rId8"/>
    <sheet name="Clipping" sheetId="7" state="visible" r:id="rId9"/>
    <sheet name="Illumination" sheetId="8" state="visible" r:id="rId10"/>
    <sheet name="Color_Interp" sheetId="9" state="visible" r:id="rId11"/>
    <sheet name="Ray_Tracing" sheetId="10" state="visible" r:id="rId12"/>
    <sheet name="Thermal_Kernels" sheetId="11" state="visible" r:id="rId13"/>
    <sheet name="Tracking" sheetId="12" state="visible" r:id="rId14"/>
    <sheet name="Line_Follower" sheetId="13" state="visible" r:id="rId15"/>
    <sheet name="Explosion" sheetId="14" state="visible" r:id="rId16"/>
    <sheet name="Duty_Cycle" sheetId="15" state="visible" r:id="rId17"/>
    <sheet name="Performance" sheetId="16" state="visible" r:id="rId18"/>
  </sheets>
  <definedNames>
    <definedName function="false" hidden="false" localSheetId="6" name="_xlnm.Print_Area" vbProcedure="false">Clipping!$A$1:$U$42</definedName>
    <definedName function="false" hidden="false" localSheetId="8" name="_xlnm.Print_Area" vbProcedure="false">Color_Interp!$A$1:$U$36</definedName>
    <definedName function="false" hidden="false" localSheetId="1" name="_xlnm.Print_Area" vbProcedure="false">Decomposition!$A$1:$AC$202</definedName>
    <definedName function="false" hidden="false" localSheetId="2" name="_xlnm.Print_Area" vbProcedure="false">Designs!$A$1:$W$92</definedName>
    <definedName function="false" hidden="false" localSheetId="14" name="_xlnm.Print_Area" vbProcedure="false">Duty_Cycle!$A$1:$Z$34</definedName>
    <definedName function="false" hidden="false" localSheetId="13" name="_xlnm.Print_Area" vbProcedure="false">Explosion!$A$1:$S$56</definedName>
    <definedName function="false" hidden="false" localSheetId="7" name="_xlnm.Print_Area" vbProcedure="false">Illumination!$A$1:$K$54</definedName>
    <definedName function="false" hidden="false" localSheetId="12" name="_xlnm.Print_Area" vbProcedure="false">Line_Follower!$A$1:$M$26</definedName>
    <definedName function="false" hidden="false" localSheetId="15" name="_xlnm.Print_Area" vbProcedure="false">Performance!$A$1:$I$39</definedName>
    <definedName function="false" hidden="false" localSheetId="0" name="_xlnm.Print_Area" vbProcedure="false">Primitives!$A$1:$Q$43</definedName>
    <definedName function="false" hidden="false" localSheetId="9" name="_xlnm.Print_Area" vbProcedure="false">Ray_Tracing!$A$1:$J$39</definedName>
    <definedName function="false" hidden="false" localSheetId="10" name="_xlnm.Print_Area" vbProcedure="false">Thermal_Kernels!$A$1:$Z$28</definedName>
    <definedName function="false" hidden="false" localSheetId="11" name="_xlnm.Print_Area" vbProcedure="false">Tracking!$A$1:$U$42</definedName>
    <definedName function="false" hidden="false" localSheetId="3" name="_xlnm.Print_Area" vbProcedure="false">Transform_Trace!$A$1:$T$44</definedName>
    <definedName function="false" hidden="false" localSheetId="4" name="_xlnm.Print_Area" vbProcedure="false">Vertex_Groups!$A$1:$T$36</definedName>
    <definedName function="false" hidden="false" localSheetId="5" name="_xlnm.Print_Area" vbProcedure="false">View_Projection!$A$1:$M$40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<sst xmlns="http://schemas.openxmlformats.org/spreadsheetml/2006/main" count="1918" uniqueCount="1212">
  <si>
    <t xml:space="preserve">Primitives: vertex and triangle counts of the 16 mesh generators</t>
  </si>
  <si>
    <t xml:space="preserve">Legend: yellow = input from the code; white = formula.</t>
  </si>
  <si>
    <t xml:space="preserve">Source: src/primitives/*.cpp (Library.h lists the scene's generator calls); exported counts and parameters: ts --export-docs 'primitives' (P01..P16).</t>
  </si>
  <si>
    <t xml:space="preserve">Primitive</t>
  </si>
  <si>
    <t xml:space="preserve">Generator call</t>
  </si>
  <si>
    <t xml:space="preserve">param a</t>
  </si>
  <si>
    <t xml:space="preserve">param b</t>
  </si>
  <si>
    <t xml:space="preserve">V formula</t>
  </si>
  <si>
    <t xml:space="preserve">V</t>
  </si>
  <si>
    <t xml:space="preserve">T formula</t>
  </si>
  <si>
    <t xml:space="preserve">T</t>
  </si>
  <si>
    <t xml:space="preserve">indices I = 3T</t>
  </si>
  <si>
    <t xml:space="preserve">bytes indexed 24V+4I</t>
  </si>
  <si>
    <t xml:space="preserve">bytes non-indexed 72T</t>
  </si>
  <si>
    <t xml:space="preserve">V export</t>
  </si>
  <si>
    <t xml:space="preserve">T export</t>
  </si>
  <si>
    <t xml:space="preserve">dV</t>
  </si>
  <si>
    <t xml:space="preserve">dT</t>
  </si>
  <si>
    <t xml:space="preserve">instances (export)</t>
  </si>
  <si>
    <t xml:space="preserve">scene triangles T export x inst</t>
  </si>
  <si>
    <t xml:space="preserve">1 cube</t>
  </si>
  <si>
    <t xml:space="preserve">createCube()</t>
  </si>
  <si>
    <t xml:space="preserve">-</t>
  </si>
  <si>
    <t xml:space="preserve">6 x 4</t>
  </si>
  <si>
    <t xml:space="preserve">6 x 2</t>
  </si>
  <si>
    <t xml:space="preserve">2 cuboid</t>
  </si>
  <si>
    <t xml:space="preserve">createCube(), S non-uniform</t>
  </si>
  <si>
    <t xml:space="preserve">3 sphere</t>
  </si>
  <si>
    <t xml:space="preserve">createSphere(36, 18)</t>
  </si>
  <si>
    <t xml:space="preserve">(k-1)s + 2</t>
  </si>
  <si>
    <t xml:space="preserve">2s(k-1)</t>
  </si>
  <si>
    <t xml:space="preserve">4 hemisphere</t>
  </si>
  <si>
    <t xml:space="preserve">createHemisphere(36, 9)</t>
  </si>
  <si>
    <t xml:space="preserve">s(k+1) + 2</t>
  </si>
  <si>
    <t xml:space="preserve">2sk</t>
  </si>
  <si>
    <t xml:space="preserve">5 cylinder</t>
  </si>
  <si>
    <t xml:space="preserve">createCylinder(36)</t>
  </si>
  <si>
    <t xml:space="preserve">4s + 2</t>
  </si>
  <si>
    <t xml:space="preserve">4s</t>
  </si>
  <si>
    <t xml:space="preserve">6 frustum</t>
  </si>
  <si>
    <t xml:space="preserve">createCylinder(36, 0.03, 0.5, false)</t>
  </si>
  <si>
    <t xml:space="preserve">2s</t>
  </si>
  <si>
    <t xml:space="preserve">7 cone</t>
  </si>
  <si>
    <t xml:space="preserve">createCylinder(36, 0.5, 0, true)</t>
  </si>
  <si>
    <t xml:space="preserve">3s + 1</t>
  </si>
  <si>
    <t xml:space="preserve">8 torus</t>
  </si>
  <si>
    <t xml:space="preserve">createTorus(0.35, 0.15, 36, 16)</t>
  </si>
  <si>
    <t xml:space="preserve">uv</t>
  </si>
  <si>
    <t xml:space="preserve">2uv</t>
  </si>
  <si>
    <t xml:space="preserve">9 wedge</t>
  </si>
  <si>
    <t xml:space="preserve">createWedge()</t>
  </si>
  <si>
    <t xml:space="preserve">3 x 4 + 2 x 3</t>
  </si>
  <si>
    <t xml:space="preserve">3 x 2 + 2</t>
  </si>
  <si>
    <t xml:space="preserve">10 tapered box</t>
  </si>
  <si>
    <t xml:space="preserve">createTaperedBox(0.8, 0.8)</t>
  </si>
  <si>
    <t xml:space="preserve">11 pyramid</t>
  </si>
  <si>
    <t xml:space="preserve">createPyramid()</t>
  </si>
  <si>
    <t xml:space="preserve">4 + 4 x 3</t>
  </si>
  <si>
    <t xml:space="preserve">2 + 4</t>
  </si>
  <si>
    <t xml:space="preserve">12 capsule</t>
  </si>
  <si>
    <t xml:space="preserve">createCapsule(16, 3, 0.25)</t>
  </si>
  <si>
    <t xml:space="preserve">2cs + 2</t>
  </si>
  <si>
    <t xml:space="preserve">4cs</t>
  </si>
  <si>
    <t xml:space="preserve">13 annulus</t>
  </si>
  <si>
    <t xml:space="preserve">createAnnulus(0.43, 48)</t>
  </si>
  <si>
    <t xml:space="preserve">4n</t>
  </si>
  <si>
    <t xml:space="preserve">14 helix</t>
  </si>
  <si>
    <t xml:space="preserve">createHelix(0.475, 0.025, 5, 120, 6)</t>
  </si>
  <si>
    <t xml:space="preserve">(n+1)m + 2(m+1)</t>
  </si>
  <si>
    <t xml:space="preserve">2nm + 2m</t>
  </si>
  <si>
    <t xml:space="preserve">15 grass blade</t>
  </si>
  <si>
    <t xml:space="preserve">createGrassBlade()</t>
  </si>
  <si>
    <t xml:space="preserve">2 x rows + 1</t>
  </si>
  <si>
    <t xml:space="preserve">2(rows-1) + 1</t>
  </si>
  <si>
    <t xml:space="preserve">16 terrain disc</t>
  </si>
  <si>
    <t xml:space="preserve">createTerrainDisc(130, 384, 36)</t>
  </si>
  <si>
    <t xml:space="preserve">1 + ks</t>
  </si>
  <si>
    <t xml:space="preserve">s(2k-1) - D</t>
  </si>
  <si>
    <t xml:space="preserve">Scene total (parts)</t>
  </si>
  <si>
    <t xml:space="preserve">dV = dT = 0: the closed-form counts match the exported meshes. Terrain: D = triangles dropped inside the entrance trench (export params.trench_dropped). Grass blade: 0 scene parts, 450000 GPU instances at EPIC.</t>
  </si>
  <si>
    <t xml:space="preserve">Bytes: 24-byte vertex (position + normal, 6 floats), 4-byte indices; non-indexed = 3 vertices per triangle (72 bytes). Exported bytes_indexed / bytes_non_indexed agree.</t>
  </si>
  <si>
    <t xml:space="preserve">Parametric equations (local space, unit size; export 'parametric' and 'axis')</t>
  </si>
  <si>
    <t xml:space="preserve">Point p(parameters)</t>
  </si>
  <si>
    <t xml:space="preserve">Placement / axis</t>
  </si>
  <si>
    <t xml:space="preserve">corners: (0.5,-0.5,0.5) (0.5,-0.5,-0.5) (0.5,0.5,-0.5) (0.5,0.5,0.5) (-0.5,-0.5,-0.5) (-0.5,-0.5,0.5) (-0.5,0.5,0.5) (-0.5,0.5,-0.5)</t>
  </si>
  <si>
    <t xml:space="preserve">centred, x, y, z in [-0.5, 0.5]</t>
  </si>
  <si>
    <t xml:space="preserve">the cube mesh, S per part</t>
  </si>
  <si>
    <t xml:space="preserve">p = 0.5 (sin(theta) cos(phi), cos(theta), sin(theta) sin(phi)), theta = pi i / k, phi = 2 pi j / s; north half generated, south half by reflection y -&gt; -y</t>
  </si>
  <si>
    <t xml:space="preserve">poles on Y</t>
  </si>
  <si>
    <t xml:space="preserve">p = (0.5 sin(theta) cos(phi), -0.5 + cos(theta), -0.5 sin(theta) sin(phi)), theta = (pi / 2) i / k, phi = 2 pi j / s; base disc y = -0.5</t>
  </si>
  <si>
    <t xml:space="preserve">pole +Y, base disc at y = -0.5</t>
  </si>
  <si>
    <t xml:space="preserve">p = (r cos(phi), r sin(phi), +-0.5), phi = 2 pi j / s; caps: centre + own ring (normal +-Z)</t>
  </si>
  <si>
    <t xml:space="preserve">axis Z</t>
  </si>
  <si>
    <t xml:space="preserve">p = (r(z) cos(phi), r(z) sin(phi), z), r(-0.5) = r_bottom, r(+0.5) = r_top; side normal (cos, sin, r_bottom - r_top)</t>
  </si>
  <si>
    <t xml:space="preserve">axis Z, open ends</t>
  </si>
  <si>
    <t xml:space="preserve">cylinder generator with r_top = 0: apex (0, 0, 0.5), base disc z = -0.5</t>
  </si>
  <si>
    <t xml:space="preserve">axis Z, apex +Z</t>
  </si>
  <si>
    <t xml:space="preserve">p = ((R + r cos v) cos u, (R + r cos v) sin u, r sin v), n = (cos v cos u, cos v sin u, sin v)</t>
  </si>
  <si>
    <t xml:space="preserve">axis Z, R + r = 0.5, z in [-r, r]</t>
  </si>
  <si>
    <t xml:space="preserve">corners: (-0.5,-0.5,-0.5) (0.5,-0.5,-0.5) (0.5,-0.5,0.5) (-0.5,-0.5,0.5) (-0.5,0.5,-0.5) (0.5,0.5,-0.5)</t>
  </si>
  <si>
    <t xml:space="preserve">triangle (y, z) = (-,-) (-,+) (+,-) extruded along X; slope faces +Y +Z</t>
  </si>
  <si>
    <t xml:space="preserve">corners: (-0.5,-0.5,-0.5) (0.5,-0.5,-0.5) (0.5,-0.5,0.5) (-0.5,-0.5,0.5) (-0.4,0.5,-0.4) (-0.4,0.5,0.4) (0.4,0.5,0.4) (0.4,0.5,-0.4)</t>
  </si>
  <si>
    <t xml:space="preserve">bottom 1 x 1 at y = -0.5, top at y = +0.5</t>
  </si>
  <si>
    <t xml:space="preserve">corners: (-0.5,-0.5,-0.5) (0.5,-0.5,-0.5) (0.5,-0.5,0.5) (-0.5,-0.5,0.5) (0,0.5,0)</t>
  </si>
  <si>
    <t xml:space="preserve">base 1 x 1 at y = -0.5, apex +Y</t>
  </si>
  <si>
    <t xml:space="preserve">cylinder r = 0.5, |z| &lt;= 0.5 - h, + half-ellipsoid caps p = (0.5 sin(theta) cos(phi), 0.5 sin(theta) sin(phi), +-(0.5 - h + h cos(theta))), theta = (pi / 2) i / c</t>
  </si>
  <si>
    <t xml:space="preserve">outer (0.5 cos(phi), 0.5 sin(phi), 0), inner (r_i cos(phi), r_i sin(phi), 0), phi = 2 pi j / n; front face +Z and back face -Z</t>
  </si>
  <si>
    <t xml:space="preserve">XY plane (z = 0), normal +-Z</t>
  </si>
  <si>
    <t xml:space="preserve">c(t) = (R cos(2 pi k t), R sin(2 pi k t), L (t - 0.5)), L = 1 - 2 r; tube c(t) + r (cos(psi) N + sin(psi) B), N = (cos, sin, 0), B = T x N</t>
  </si>
  <si>
    <t xml:space="preserve">strip x = +-0.625 at y = t - 0.5 (t = 0, 0.38, 0.72), tip (0, 0.5, 0); bent and placed per instance in the grass vertex shader</t>
  </si>
  <si>
    <t xml:space="preserve">Y up, plane z = 0 (1.25 wide)</t>
  </si>
  <si>
    <t xml:space="preserve">polar grid r = R i / k, phi = 2 pi j / s, y = terrainHeight(x, z), n = terrain normal</t>
  </si>
  <si>
    <t xml:space="preserve">world units (radius R), Y up</t>
  </si>
  <si>
    <t xml:space="preserve">Decomposition: objects as hierarchies of primitive parts</t>
  </si>
  <si>
    <t xml:space="preserve">Source: ts --export-docs 'components' (S, R_deg, T, parent, colour, specular, shininess) and 'objects'; objects/*.cpp Builder. Rows below list every drawn part (leaf) of UAV-1 and of Soldier 1.</t>
  </si>
  <si>
    <t xml:space="preserve">1. Object-level primitive totals (whole scene, from the export)</t>
  </si>
  <si>
    <t xml:space="preserve">2. Parts per primitive (COUNTIFS over the part rows)</t>
  </si>
  <si>
    <t xml:space="preserve">Object</t>
  </si>
  <si>
    <t xml:space="preserve">Cube</t>
  </si>
  <si>
    <t xml:space="preserve">Wedge</t>
  </si>
  <si>
    <t xml:space="preserve">Tapered box</t>
  </si>
  <si>
    <t xml:space="preserve">Pyramid</t>
  </si>
  <si>
    <t xml:space="preserve">Sphere</t>
  </si>
  <si>
    <t xml:space="preserve">Hemisphere</t>
  </si>
  <si>
    <t xml:space="preserve">Capsule</t>
  </si>
  <si>
    <t xml:space="preserve">Cylinder</t>
  </si>
  <si>
    <t xml:space="preserve">Cylinder (frustum)</t>
  </si>
  <si>
    <t xml:space="preserve">Cone</t>
  </si>
  <si>
    <t xml:space="preserve">Torus</t>
  </si>
  <si>
    <t xml:space="preserve">Annulus</t>
  </si>
  <si>
    <t xml:space="preserve">Helix</t>
  </si>
  <si>
    <t xml:space="preserve">Terrain disc</t>
  </si>
  <si>
    <t xml:space="preserve">parts (sum)</t>
  </si>
  <si>
    <t xml:space="preserve">parts export</t>
  </si>
  <si>
    <t xml:space="preserve">check</t>
  </si>
  <si>
    <t xml:space="preserve">groups</t>
  </si>
  <si>
    <t xml:space="preserve">animated nodes</t>
  </si>
  <si>
    <t xml:space="preserve">UAV-1 COUNTIFS</t>
  </si>
  <si>
    <t xml:space="preserve">UAV-1 export</t>
  </si>
  <si>
    <t xml:space="preserve">Soldier 1 COUNTIFS</t>
  </si>
  <si>
    <t xml:space="preserve">Soldier 1 export</t>
  </si>
  <si>
    <t xml:space="preserve">Terrain</t>
  </si>
  <si>
    <t xml:space="preserve">Backdrop</t>
  </si>
  <si>
    <t xml:space="preserve">Environment</t>
  </si>
  <si>
    <t xml:space="preserve">Command Bunker</t>
  </si>
  <si>
    <t xml:space="preserve">Autonomous UAV</t>
  </si>
  <si>
    <t xml:space="preserve">Base</t>
  </si>
  <si>
    <t xml:space="preserve">Barracks hall</t>
  </si>
  <si>
    <t xml:space="preserve">UAV pads</t>
  </si>
  <si>
    <t xml:space="preserve">Target Rover</t>
  </si>
  <si>
    <t xml:space="preserve">Main Battle Tank</t>
  </si>
  <si>
    <t xml:space="preserve">Scout Helicopter</t>
  </si>
  <si>
    <t xml:space="preserve">AA Gatling Gun</t>
  </si>
  <si>
    <t xml:space="preserve">Air-defence radar</t>
  </si>
  <si>
    <t xml:space="preserve">SAM launcher</t>
  </si>
  <si>
    <t xml:space="preserve">Total parts</t>
  </si>
  <si>
    <t xml:space="preserve">MLRS rocket truck</t>
  </si>
  <si>
    <t xml:space="preserve">Main Battle Tank 2</t>
  </si>
  <si>
    <t xml:space="preserve">UAV-1 export = controllable 'UAV-1 DRONE' (root UAV-00);</t>
  </si>
  <si>
    <t xml:space="preserve">Main Battle Tank 3</t>
  </si>
  <si>
    <t xml:space="preserve">the object 'Autonomous UAV' below counts both UAVs.</t>
  </si>
  <si>
    <t xml:space="preserve">Ammunition bunker</t>
  </si>
  <si>
    <t xml:space="preserve">Camp camouflage</t>
  </si>
  <si>
    <t xml:space="preserve">Boom barrier</t>
  </si>
  <si>
    <t xml:space="preserve">Windsock</t>
  </si>
  <si>
    <t xml:space="preserve">Flag</t>
  </si>
  <si>
    <t xml:space="preserve">Soldier 1</t>
  </si>
  <si>
    <t xml:space="preserve">Soldier 2</t>
  </si>
  <si>
    <t xml:space="preserve">Soldier 3</t>
  </si>
  <si>
    <t xml:space="preserve">Soldier 4</t>
  </si>
  <si>
    <t xml:space="preserve">Soldier 5</t>
  </si>
  <si>
    <t xml:space="preserve">Soldier 6</t>
  </si>
  <si>
    <t xml:space="preserve">Soldier 7</t>
  </si>
  <si>
    <t xml:space="preserve">Soldier 8</t>
  </si>
  <si>
    <t xml:space="preserve">Sky Clock</t>
  </si>
  <si>
    <t xml:space="preserve">Scene total</t>
  </si>
  <si>
    <t xml:space="preserve">Instances (export)</t>
  </si>
  <si>
    <t xml:space="preserve">3. UAV-1 (root UAV-00 'Autonomous UAV'): 79 drawn parts. M = T Ry Rx Rz S, world = parent_world M (the export's object 'Autonomous UAV' holds 2 UAVs).</t>
  </si>
  <si>
    <t xml:space="preserve">ID</t>
  </si>
  <si>
    <t xml:space="preserve">Part</t>
  </si>
  <si>
    <t xml:space="preserve">Parent (group)</t>
  </si>
  <si>
    <t xml:space="preserve">Sx</t>
  </si>
  <si>
    <t xml:space="preserve">Sy</t>
  </si>
  <si>
    <t xml:space="preserve">Sz</t>
  </si>
  <si>
    <t xml:space="preserve">Rx (deg)</t>
  </si>
  <si>
    <t xml:space="preserve">Ry (deg)</t>
  </si>
  <si>
    <t xml:space="preserve">Rz (deg)</t>
  </si>
  <si>
    <t xml:space="preserve">Tx (m)</t>
  </si>
  <si>
    <t xml:space="preserve">Ty (m)</t>
  </si>
  <si>
    <t xml:space="preserve">Tz (m)</t>
  </si>
  <si>
    <t xml:space="preserve">R</t>
  </si>
  <si>
    <t xml:space="preserve">G</t>
  </si>
  <si>
    <t xml:space="preserve">B</t>
  </si>
  <si>
    <t xml:space="preserve">ks</t>
  </si>
  <si>
    <t xml:space="preserve">shininess n</t>
  </si>
  <si>
    <t xml:space="preserve">UAV-01</t>
  </si>
  <si>
    <t xml:space="preserve">Fuselage</t>
  </si>
  <si>
    <t xml:space="preserve">Autonomous UAV (UAV-00)</t>
  </si>
  <si>
    <t xml:space="preserve">UAV-02</t>
  </si>
  <si>
    <t xml:space="preserve">Canopy</t>
  </si>
  <si>
    <t xml:space="preserve">UAV-03</t>
  </si>
  <si>
    <t xml:space="preserve">Battery</t>
  </si>
  <si>
    <t xml:space="preserve">UAV-04</t>
  </si>
  <si>
    <t xml:space="preserve">GPS mast</t>
  </si>
  <si>
    <t xml:space="preserve">UAV-05</t>
  </si>
  <si>
    <t xml:space="preserve">GPS puck</t>
  </si>
  <si>
    <t xml:space="preserve">UAV-06</t>
  </si>
  <si>
    <t xml:space="preserve">Arm Front-left</t>
  </si>
  <si>
    <t xml:space="preserve">UAV-08</t>
  </si>
  <si>
    <t xml:space="preserve">Motor</t>
  </si>
  <si>
    <t xml:space="preserve">Motor mount Front-left (UAV-07)</t>
  </si>
  <si>
    <t xml:space="preserve">UAV-10</t>
  </si>
  <si>
    <t xml:space="preserve">Prop hub</t>
  </si>
  <si>
    <t xml:space="preserve">Rotor (UAV-09)</t>
  </si>
  <si>
    <t xml:space="preserve">UAV-11</t>
  </si>
  <si>
    <t xml:space="preserve">Prop blade</t>
  </si>
  <si>
    <t xml:space="preserve">UAV-12</t>
  </si>
  <si>
    <t xml:space="preserve">Rotor blur disc</t>
  </si>
  <si>
    <t xml:space="preserve">UAV-13</t>
  </si>
  <si>
    <t xml:space="preserve">Nav LED</t>
  </si>
  <si>
    <t xml:space="preserve">UAV-84</t>
  </si>
  <si>
    <t xml:space="preserve">Motor cooling ring</t>
  </si>
  <si>
    <t xml:space="preserve">UAV-14</t>
  </si>
  <si>
    <t xml:space="preserve">Arm Front-right</t>
  </si>
  <si>
    <t xml:space="preserve">UAV-16</t>
  </si>
  <si>
    <t xml:space="preserve">Motor mount Front-right (UAV-15)</t>
  </si>
  <si>
    <t xml:space="preserve">UAV-18</t>
  </si>
  <si>
    <t xml:space="preserve">Rotor (UAV-17)</t>
  </si>
  <si>
    <t xml:space="preserve">UAV-19</t>
  </si>
  <si>
    <t xml:space="preserve">UAV-20</t>
  </si>
  <si>
    <t xml:space="preserve">UAV-21</t>
  </si>
  <si>
    <t xml:space="preserve">UAV-85</t>
  </si>
  <si>
    <t xml:space="preserve">UAV-22</t>
  </si>
  <si>
    <t xml:space="preserve">Arm Rear-left</t>
  </si>
  <si>
    <t xml:space="preserve">UAV-24</t>
  </si>
  <si>
    <t xml:space="preserve">Motor mount Rear-left (UAV-23)</t>
  </si>
  <si>
    <t xml:space="preserve">UAV-26</t>
  </si>
  <si>
    <t xml:space="preserve">Rotor (UAV-25)</t>
  </si>
  <si>
    <t xml:space="preserve">UAV-27</t>
  </si>
  <si>
    <t xml:space="preserve">UAV-28</t>
  </si>
  <si>
    <t xml:space="preserve">UAV-86</t>
  </si>
  <si>
    <t xml:space="preserve">UAV-87</t>
  </si>
  <si>
    <t xml:space="preserve">Status LED</t>
  </si>
  <si>
    <t xml:space="preserve">UAV-29</t>
  </si>
  <si>
    <t xml:space="preserve">Arm Rear-right</t>
  </si>
  <si>
    <t xml:space="preserve">UAV-31</t>
  </si>
  <si>
    <t xml:space="preserve">Motor mount Rear-right (UAV-30)</t>
  </si>
  <si>
    <t xml:space="preserve">UAV-33</t>
  </si>
  <si>
    <t xml:space="preserve">Rotor (UAV-32)</t>
  </si>
  <si>
    <t xml:space="preserve">UAV-34</t>
  </si>
  <si>
    <t xml:space="preserve">UAV-35</t>
  </si>
  <si>
    <t xml:space="preserve">UAV-88</t>
  </si>
  <si>
    <t xml:space="preserve">UAV-89</t>
  </si>
  <si>
    <t xml:space="preserve">UAV-36</t>
  </si>
  <si>
    <t xml:space="preserve">Strobe</t>
  </si>
  <si>
    <t xml:space="preserve">UAV-37</t>
  </si>
  <si>
    <t xml:space="preserve">Landing strut</t>
  </si>
  <si>
    <t xml:space="preserve">UAV-38</t>
  </si>
  <si>
    <t xml:space="preserve">UAV-39</t>
  </si>
  <si>
    <t xml:space="preserve">Landing skid</t>
  </si>
  <si>
    <t xml:space="preserve">UAV-40</t>
  </si>
  <si>
    <t xml:space="preserve">UAV-41</t>
  </si>
  <si>
    <t xml:space="preserve">UAV-42</t>
  </si>
  <si>
    <t xml:space="preserve">UAV-44</t>
  </si>
  <si>
    <t xml:space="preserve">Gimbal yoke</t>
  </si>
  <si>
    <t xml:space="preserve">Gimbal yaw (UAV-43)</t>
  </si>
  <si>
    <t xml:space="preserve">UAV-46</t>
  </si>
  <si>
    <t xml:space="preserve">Lamp housing</t>
  </si>
  <si>
    <t xml:space="preserve">Gimbal pitch (UAV-45)</t>
  </si>
  <si>
    <t xml:space="preserve">UAV-47</t>
  </si>
  <si>
    <t xml:space="preserve">Lens</t>
  </si>
  <si>
    <t xml:space="preserve">UAV-48</t>
  </si>
  <si>
    <t xml:space="preserve">Thermal camera</t>
  </si>
  <si>
    <t xml:space="preserve">UAV-83</t>
  </si>
  <si>
    <t xml:space="preserve">Light cone</t>
  </si>
  <si>
    <t xml:space="preserve">UAV-94</t>
  </si>
  <si>
    <t xml:space="preserve">Camera window</t>
  </si>
  <si>
    <t xml:space="preserve">UAV-50</t>
  </si>
  <si>
    <t xml:space="preserve">Rail</t>
  </si>
  <si>
    <t xml:space="preserve">Launcher rail L (UAV-49)</t>
  </si>
  <si>
    <t xml:space="preserve">UAV-51</t>
  </si>
  <si>
    <t xml:space="preserve">Rail strut</t>
  </si>
  <si>
    <t xml:space="preserve">UAV-53</t>
  </si>
  <si>
    <t xml:space="preserve">Round body</t>
  </si>
  <si>
    <t xml:space="preserve">Round (UAV-52)</t>
  </si>
  <si>
    <t xml:space="preserve">UAV-54</t>
  </si>
  <si>
    <t xml:space="preserve">Round nose</t>
  </si>
  <si>
    <t xml:space="preserve">UAV-55</t>
  </si>
  <si>
    <t xml:space="preserve">Round fin</t>
  </si>
  <si>
    <t xml:space="preserve">UAV-56</t>
  </si>
  <si>
    <t xml:space="preserve">UAV-57</t>
  </si>
  <si>
    <t xml:space="preserve">UAV-58</t>
  </si>
  <si>
    <t xml:space="preserve">UAV-60</t>
  </si>
  <si>
    <t xml:space="preserve">Round (UAV-59)</t>
  </si>
  <si>
    <t xml:space="preserve">UAV-61</t>
  </si>
  <si>
    <t xml:space="preserve">UAV-62</t>
  </si>
  <si>
    <t xml:space="preserve">UAV-63</t>
  </si>
  <si>
    <t xml:space="preserve">UAV-64</t>
  </si>
  <si>
    <t xml:space="preserve">UAV-65</t>
  </si>
  <si>
    <t xml:space="preserve">UAV-67</t>
  </si>
  <si>
    <t xml:space="preserve">Launcher rail R (UAV-66)</t>
  </si>
  <si>
    <t xml:space="preserve">UAV-68</t>
  </si>
  <si>
    <t xml:space="preserve">UAV-70</t>
  </si>
  <si>
    <t xml:space="preserve">Round (UAV-69)</t>
  </si>
  <si>
    <t xml:space="preserve">UAV-71</t>
  </si>
  <si>
    <t xml:space="preserve">UAV-72</t>
  </si>
  <si>
    <t xml:space="preserve">UAV-73</t>
  </si>
  <si>
    <t xml:space="preserve">UAV-74</t>
  </si>
  <si>
    <t xml:space="preserve">UAV-75</t>
  </si>
  <si>
    <t xml:space="preserve">UAV-77</t>
  </si>
  <si>
    <t xml:space="preserve">Round (UAV-76)</t>
  </si>
  <si>
    <t xml:space="preserve">UAV-78</t>
  </si>
  <si>
    <t xml:space="preserve">UAV-79</t>
  </si>
  <si>
    <t xml:space="preserve">UAV-80</t>
  </si>
  <si>
    <t xml:space="preserve">UAV-81</t>
  </si>
  <si>
    <t xml:space="preserve">UAV-82</t>
  </si>
  <si>
    <t xml:space="preserve">UAV-90</t>
  </si>
  <si>
    <t xml:space="preserve">Telemetry antenna</t>
  </si>
  <si>
    <t xml:space="preserve">UAV-91</t>
  </si>
  <si>
    <t xml:space="preserve">UAV-92</t>
  </si>
  <si>
    <t xml:space="preserve">Battery strap</t>
  </si>
  <si>
    <t xml:space="preserve">UAV-93</t>
  </si>
  <si>
    <t xml:space="preserve">UAV-95</t>
  </si>
  <si>
    <t xml:space="preserve">Arming LED</t>
  </si>
  <si>
    <t xml:space="preserve">4. Soldier 1 (root SLD1-00): 75 drawn parts (joint angles live in the parent groups).</t>
  </si>
  <si>
    <t xml:space="preserve">SLD1-02</t>
  </si>
  <si>
    <t xml:space="preserve">Hips</t>
  </si>
  <si>
    <t xml:space="preserve">Pelvis (SLD1-01)</t>
  </si>
  <si>
    <t xml:space="preserve">SLD1-03</t>
  </si>
  <si>
    <t xml:space="preserve">Belt</t>
  </si>
  <si>
    <t xml:space="preserve">SLD1-05</t>
  </si>
  <si>
    <t xml:space="preserve">Hip joint</t>
  </si>
  <si>
    <t xml:space="preserve">Hip L (SLD1-04)</t>
  </si>
  <si>
    <t xml:space="preserve">SLD1-06</t>
  </si>
  <si>
    <t xml:space="preserve">Thigh</t>
  </si>
  <si>
    <t xml:space="preserve">SLD1-08</t>
  </si>
  <si>
    <t xml:space="preserve">Knee joint</t>
  </si>
  <si>
    <t xml:space="preserve">Knee L (SLD1-07)</t>
  </si>
  <si>
    <t xml:space="preserve">SLD1-09</t>
  </si>
  <si>
    <t xml:space="preserve">Shin</t>
  </si>
  <si>
    <t xml:space="preserve">SLD1-11</t>
  </si>
  <si>
    <t xml:space="preserve">Ankle joint</t>
  </si>
  <si>
    <t xml:space="preserve">Ankle L (SLD1-10)</t>
  </si>
  <si>
    <t xml:space="preserve">SLD1-12</t>
  </si>
  <si>
    <t xml:space="preserve">Boot</t>
  </si>
  <si>
    <t xml:space="preserve">SLD1-76</t>
  </si>
  <si>
    <t xml:space="preserve">Calf</t>
  </si>
  <si>
    <t xml:space="preserve">SLD1-77</t>
  </si>
  <si>
    <t xml:space="preserve">Knee pad</t>
  </si>
  <si>
    <t xml:space="preserve">SLD1-75</t>
  </si>
  <si>
    <t xml:space="preserve">Thigh muscle</t>
  </si>
  <si>
    <t xml:space="preserve">SLD1-14</t>
  </si>
  <si>
    <t xml:space="preserve">Hip R (SLD1-13)</t>
  </si>
  <si>
    <t xml:space="preserve">SLD1-15</t>
  </si>
  <si>
    <t xml:space="preserve">SLD1-17</t>
  </si>
  <si>
    <t xml:space="preserve">Knee R (SLD1-16)</t>
  </si>
  <si>
    <t xml:space="preserve">SLD1-18</t>
  </si>
  <si>
    <t xml:space="preserve">SLD1-20</t>
  </si>
  <si>
    <t xml:space="preserve">Ankle R (SLD1-19)</t>
  </si>
  <si>
    <t xml:space="preserve">SLD1-21</t>
  </si>
  <si>
    <t xml:space="preserve">SLD1-81</t>
  </si>
  <si>
    <t xml:space="preserve">SLD1-82</t>
  </si>
  <si>
    <t xml:space="preserve">SLD1-80</t>
  </si>
  <si>
    <t xml:space="preserve">SLD1-23</t>
  </si>
  <si>
    <t xml:space="preserve">Abdomen</t>
  </si>
  <si>
    <t xml:space="preserve">Spine (SLD1-22)</t>
  </si>
  <si>
    <t xml:space="preserve">SLD1-25</t>
  </si>
  <si>
    <t xml:space="preserve">Torso</t>
  </si>
  <si>
    <t xml:space="preserve">Chest (SLD1-24)</t>
  </si>
  <si>
    <t xml:space="preserve">SLD1-26</t>
  </si>
  <si>
    <t xml:space="preserve">Backpack</t>
  </si>
  <si>
    <t xml:space="preserve">SLD1-27</t>
  </si>
  <si>
    <t xml:space="preserve">Bedroll</t>
  </si>
  <si>
    <t xml:space="preserve">SLD1-30</t>
  </si>
  <si>
    <t xml:space="preserve">Rifle receiver</t>
  </si>
  <si>
    <t xml:space="preserve">Rifle (held) (SLD1-28)</t>
  </si>
  <si>
    <t xml:space="preserve">SLD1-31</t>
  </si>
  <si>
    <t xml:space="preserve">Rifle barrel</t>
  </si>
  <si>
    <t xml:space="preserve">SLD1-32</t>
  </si>
  <si>
    <t xml:space="preserve">Rifle magazine</t>
  </si>
  <si>
    <t xml:space="preserve">SLD1-89</t>
  </si>
  <si>
    <t xml:space="preserve">Pistol grip</t>
  </si>
  <si>
    <t xml:space="preserve">SLD1-90</t>
  </si>
  <si>
    <t xml:space="preserve">Handguard</t>
  </si>
  <si>
    <t xml:space="preserve">SLD1-91</t>
  </si>
  <si>
    <t xml:space="preserve">Optic</t>
  </si>
  <si>
    <t xml:space="preserve">SLD1-33</t>
  </si>
  <si>
    <t xml:space="preserve">Rifle (slung) (SLD1-29)</t>
  </si>
  <si>
    <t xml:space="preserve">SLD1-34</t>
  </si>
  <si>
    <t xml:space="preserve">SLD1-35</t>
  </si>
  <si>
    <t xml:space="preserve">SLD1-92</t>
  </si>
  <si>
    <t xml:space="preserve">SLD1-93</t>
  </si>
  <si>
    <t xml:space="preserve">SLD1-94</t>
  </si>
  <si>
    <t xml:space="preserve">SLD1-36</t>
  </si>
  <si>
    <t xml:space="preserve">Carried crate</t>
  </si>
  <si>
    <t xml:space="preserve">SLD1-38</t>
  </si>
  <si>
    <t xml:space="preserve">Neck</t>
  </si>
  <si>
    <t xml:space="preserve">Neck (SLD1-37)</t>
  </si>
  <si>
    <t xml:space="preserve">SLD1-40</t>
  </si>
  <si>
    <t xml:space="preserve">Head</t>
  </si>
  <si>
    <t xml:space="preserve">Head (SLD1-39)</t>
  </si>
  <si>
    <t xml:space="preserve">SLD1-41</t>
  </si>
  <si>
    <t xml:space="preserve">Helmet</t>
  </si>
  <si>
    <t xml:space="preserve">SLD1-42</t>
  </si>
  <si>
    <t xml:space="preserve">Helmet brim</t>
  </si>
  <si>
    <t xml:space="preserve">SLD1-61</t>
  </si>
  <si>
    <t xml:space="preserve">Jaw</t>
  </si>
  <si>
    <t xml:space="preserve">SLD1-62</t>
  </si>
  <si>
    <t xml:space="preserve">Nose</t>
  </si>
  <si>
    <t xml:space="preserve">SLD1-63</t>
  </si>
  <si>
    <t xml:space="preserve">Eye</t>
  </si>
  <si>
    <t xml:space="preserve">SLD1-64</t>
  </si>
  <si>
    <t xml:space="preserve">Ear</t>
  </si>
  <si>
    <t xml:space="preserve">SLD1-65</t>
  </si>
  <si>
    <t xml:space="preserve">Chin strap</t>
  </si>
  <si>
    <t xml:space="preserve">SLD1-66</t>
  </si>
  <si>
    <t xml:space="preserve">SLD1-67</t>
  </si>
  <si>
    <t xml:space="preserve">SLD1-68</t>
  </si>
  <si>
    <t xml:space="preserve">SLD1-69</t>
  </si>
  <si>
    <t xml:space="preserve">Goggles</t>
  </si>
  <si>
    <t xml:space="preserve">SLD1-70</t>
  </si>
  <si>
    <t xml:space="preserve">NVG mount</t>
  </si>
  <si>
    <t xml:space="preserve">SLD1-71</t>
  </si>
  <si>
    <t xml:space="preserve">Trapezius</t>
  </si>
  <si>
    <t xml:space="preserve">SLD1-73</t>
  </si>
  <si>
    <t xml:space="preserve">SLD1-44</t>
  </si>
  <si>
    <t xml:space="preserve">Shoulder joint</t>
  </si>
  <si>
    <t xml:space="preserve">Shoulder L (SLD1-43)</t>
  </si>
  <si>
    <t xml:space="preserve">SLD1-45</t>
  </si>
  <si>
    <t xml:space="preserve">Upper arm</t>
  </si>
  <si>
    <t xml:space="preserve">SLD1-47</t>
  </si>
  <si>
    <t xml:space="preserve">Elbow joint</t>
  </si>
  <si>
    <t xml:space="preserve">Elbow L (SLD1-46)</t>
  </si>
  <si>
    <t xml:space="preserve">SLD1-48</t>
  </si>
  <si>
    <t xml:space="preserve">Forearm</t>
  </si>
  <si>
    <t xml:space="preserve">SLD1-50</t>
  </si>
  <si>
    <t xml:space="preserve">Hand</t>
  </si>
  <si>
    <t xml:space="preserve">Wrist L (SLD1-49)</t>
  </si>
  <si>
    <t xml:space="preserve">SLD1-78</t>
  </si>
  <si>
    <t xml:space="preserve">Forearm muscle</t>
  </si>
  <si>
    <t xml:space="preserve">SLD1-79</t>
  </si>
  <si>
    <t xml:space="preserve">Elbow pad</t>
  </si>
  <si>
    <t xml:space="preserve">SLD1-72</t>
  </si>
  <si>
    <t xml:space="preserve">Deltoid</t>
  </si>
  <si>
    <t xml:space="preserve">SLD1-52</t>
  </si>
  <si>
    <t xml:space="preserve">Shoulder R (SLD1-51)</t>
  </si>
  <si>
    <t xml:space="preserve">SLD1-53</t>
  </si>
  <si>
    <t xml:space="preserve">SLD1-55</t>
  </si>
  <si>
    <t xml:space="preserve">Elbow R (SLD1-54)</t>
  </si>
  <si>
    <t xml:space="preserve">SLD1-56</t>
  </si>
  <si>
    <t xml:space="preserve">SLD1-58</t>
  </si>
  <si>
    <t xml:space="preserve">Wrist R (SLD1-57)</t>
  </si>
  <si>
    <t xml:space="preserve">SLD1-59</t>
  </si>
  <si>
    <t xml:space="preserve">Wrench</t>
  </si>
  <si>
    <t xml:space="preserve">SLD1-83</t>
  </si>
  <si>
    <t xml:space="preserve">SLD1-84</t>
  </si>
  <si>
    <t xml:space="preserve">SLD1-74</t>
  </si>
  <si>
    <t xml:space="preserve">SLD1-60</t>
  </si>
  <si>
    <t xml:space="preserve">Plate carrier</t>
  </si>
  <si>
    <t xml:space="preserve">SLD1-85</t>
  </si>
  <si>
    <t xml:space="preserve">Magazine pouches</t>
  </si>
  <si>
    <t xml:space="preserve">SLD1-86</t>
  </si>
  <si>
    <t xml:space="preserve">Admin pouch</t>
  </si>
  <si>
    <t xml:space="preserve">SLD1-87</t>
  </si>
  <si>
    <t xml:space="preserve">Radio</t>
  </si>
  <si>
    <t xml:space="preserve">SLD1-88</t>
  </si>
  <si>
    <t xml:space="preserve">Radio antenna</t>
  </si>
  <si>
    <t xml:space="preserve">Designs: every object design, its instances and its primitives</t>
  </si>
  <si>
    <t xml:space="preserve">Source: ts --export-docs 'designs' (src/report/Designs.cpp) and src/report/PrimitiveColors.h. Section 19 of the report draws one card per design.</t>
  </si>
  <si>
    <t xml:space="preserve">1. Designs: parts by primitive over all instances (yellow: export), totals and checks (formulas)</t>
  </si>
  <si>
    <t xml:space="preserve">Design</t>
  </si>
  <si>
    <t xml:space="preserve">Family</t>
  </si>
  <si>
    <t xml:space="preserve">x n</t>
  </si>
  <si>
    <t xml:space="preserve">parts / inst.</t>
  </si>
  <si>
    <t xml:space="preserve">parts total</t>
  </si>
  <si>
    <t xml:space="preserve">n x parts</t>
  </si>
  <si>
    <t xml:space="preserve">Cuboid</t>
  </si>
  <si>
    <t xml:space="preserve">sum</t>
  </si>
  <si>
    <t xml:space="preserve">Soldier</t>
  </si>
  <si>
    <t xml:space="preserve">people</t>
  </si>
  <si>
    <t xml:space="preserve">Main battle tank</t>
  </si>
  <si>
    <t xml:space="preserve">vehicles and aircraft</t>
  </si>
  <si>
    <t xml:space="preserve">Scout helicopter</t>
  </si>
  <si>
    <t xml:space="preserve">Cargo truck</t>
  </si>
  <si>
    <t xml:space="preserve">Target rover</t>
  </si>
  <si>
    <t xml:space="preserve">weapons and munitions</t>
  </si>
  <si>
    <t xml:space="preserve">AA Gatling gun</t>
  </si>
  <si>
    <t xml:space="preserve">SAM missile</t>
  </si>
  <si>
    <t xml:space="preserve">MLRS rocket</t>
  </si>
  <si>
    <t xml:space="preserve">UAV round</t>
  </si>
  <si>
    <t xml:space="preserve">AA shell casing</t>
  </si>
  <si>
    <t xml:space="preserve">Command bunker</t>
  </si>
  <si>
    <t xml:space="preserve">buildings</t>
  </si>
  <si>
    <t xml:space="preserve">Motor pool</t>
  </si>
  <si>
    <t xml:space="preserve">Helipad</t>
  </si>
  <si>
    <t xml:space="preserve">Guard tower</t>
  </si>
  <si>
    <t xml:space="preserve">Watchtower</t>
  </si>
  <si>
    <t xml:space="preserve">Fuel depot</t>
  </si>
  <si>
    <t xml:space="preserve">Quonset hut</t>
  </si>
  <si>
    <t xml:space="preserve">Radio mast</t>
  </si>
  <si>
    <t xml:space="preserve">Camouflaged tent</t>
  </si>
  <si>
    <t xml:space="preserve">Container</t>
  </si>
  <si>
    <t xml:space="preserve">Guard booth</t>
  </si>
  <si>
    <t xml:space="preserve">UAV pad</t>
  </si>
  <si>
    <t xml:space="preserve">HESCO perimeter</t>
  </si>
  <si>
    <t xml:space="preserve">fortifications</t>
  </si>
  <si>
    <t xml:space="preserve">Concertina wire</t>
  </si>
  <si>
    <t xml:space="preserve">Perimeter fence</t>
  </si>
  <si>
    <t xml:space="preserve">Outer gate</t>
  </si>
  <si>
    <t xml:space="preserve">Camouflage net</t>
  </si>
  <si>
    <t xml:space="preserve">37..84</t>
  </si>
  <si>
    <t xml:space="preserve">Earth revetment</t>
  </si>
  <si>
    <t xml:space="preserve">42..56</t>
  </si>
  <si>
    <t xml:space="preserve">Radar surround</t>
  </si>
  <si>
    <t xml:space="preserve">AA gun surround</t>
  </si>
  <si>
    <t xml:space="preserve">Sandbag wall</t>
  </si>
  <si>
    <t xml:space="preserve">15..24</t>
  </si>
  <si>
    <t xml:space="preserve">HESCO blocks</t>
  </si>
  <si>
    <t xml:space="preserve">2..6</t>
  </si>
  <si>
    <t xml:space="preserve">Tank trap</t>
  </si>
  <si>
    <t xml:space="preserve">Jersey barrier</t>
  </si>
  <si>
    <t xml:space="preserve">Broadleaf tree</t>
  </si>
  <si>
    <t xml:space="preserve">vegetation</t>
  </si>
  <si>
    <t xml:space="preserve">Pine</t>
  </si>
  <si>
    <t xml:space="preserve">7..8</t>
  </si>
  <si>
    <t xml:space="preserve">Cut branches</t>
  </si>
  <si>
    <t xml:space="preserve">Bush</t>
  </si>
  <si>
    <t xml:space="preserve">5..7</t>
  </si>
  <si>
    <t xml:space="preserve">Treeline pine</t>
  </si>
  <si>
    <t xml:space="preserve">props</t>
  </si>
  <si>
    <t xml:space="preserve">Supply cache</t>
  </si>
  <si>
    <t xml:space="preserve">4..7</t>
  </si>
  <si>
    <t xml:space="preserve">Boulder</t>
  </si>
  <si>
    <t xml:space="preserve">3..4</t>
  </si>
  <si>
    <t xml:space="preserve">Lamp post</t>
  </si>
  <si>
    <t xml:space="preserve">Track sign</t>
  </si>
  <si>
    <t xml:space="preserve">Fire barrel</t>
  </si>
  <si>
    <t xml:space="preserve">Sky clock (sun)</t>
  </si>
  <si>
    <t xml:space="preserve">Moon</t>
  </si>
  <si>
    <t xml:space="preserve">terrain and backdrop</t>
  </si>
  <si>
    <t xml:space="preserve">Far ground</t>
  </si>
  <si>
    <t xml:space="preserve">Distant hills</t>
  </si>
  <si>
    <t xml:space="preserve">Far radio tower</t>
  </si>
  <si>
    <t xml:space="preserve">Road</t>
  </si>
  <si>
    <t xml:space="preserve">Tyre tracks</t>
  </si>
  <si>
    <t xml:space="preserve">Tank spot marking</t>
  </si>
  <si>
    <t xml:space="preserve">Scene</t>
  </si>
  <si>
    <t xml:space="preserve">Scene parts (export leaf_count)</t>
  </si>
  <si>
    <t xml:space="preserve">2. The report's primitive colour key: sRGB inputs, greyscale lightness L* by formula</t>
  </si>
  <si>
    <t xml:space="preserve">colour</t>
  </si>
  <si>
    <t xml:space="preserve">Y (linear)</t>
  </si>
  <si>
    <t xml:space="preserve">L*</t>
  </si>
  <si>
    <t xml:space="preserve">box</t>
  </si>
  <si>
    <t xml:space="preserve">round</t>
  </si>
  <si>
    <t xml:space="preserve">cylinder</t>
  </si>
  <si>
    <t xml:space="preserve">ring</t>
  </si>
  <si>
    <t xml:space="preserve">Grass blade</t>
  </si>
  <si>
    <t xml:space="preserve">special</t>
  </si>
  <si>
    <t xml:space="preserve">Each family has its own L* band (box 30-45, ring 50-57, special 60-61, cylinder 64-69, round 74-88), so the families stay apart in greyscale.</t>
  </si>
  <si>
    <t xml:space="preserve">Transform_Trace: one real UAV vertex from local space to the window</t>
  </si>
  <si>
    <t xml:space="preserve">Source: ts --export-docs component UAV-14 'Arm Front-right' (S, R_deg, T, local_matrix, world_matrix, parent UAV-00 world_matrix); objects/Builder M = T Ry Rx Rz S; View_Projection sheet (V, P, viewport).</t>
  </si>
  <si>
    <t xml:space="preserve">UAV-14 Arm Front-right (Cube, createCube)</t>
  </si>
  <si>
    <t xml:space="preserve">Parent</t>
  </si>
  <si>
    <t xml:space="preserve">UAV-00 Autonomous UAV (root, R = (0, 180, 0), T = (0, 7.5, 12.5))</t>
  </si>
  <si>
    <t xml:space="preserve">x</t>
  </si>
  <si>
    <t xml:space="preserve">y</t>
  </si>
  <si>
    <t xml:space="preserve">z</t>
  </si>
  <si>
    <t xml:space="preserve">w</t>
  </si>
  <si>
    <t xml:space="preserve">S (scale)</t>
  </si>
  <si>
    <t xml:space="preserve">R_deg (pitch x, yaw y, roll z)</t>
  </si>
  <si>
    <t xml:space="preserve">T (m)</t>
  </si>
  <si>
    <t xml:space="preserve">local vertex p (cube corner)</t>
  </si>
  <si>
    <t xml:space="preserve">createCube() vertex 3 = (0.5, 0.5, 0.5), +X face (mesh_samples in the export)</t>
  </si>
  <si>
    <t xml:space="preserve">S = scale(Sx, Sy, Sz)</t>
  </si>
  <si>
    <t xml:space="preserve">Rx(pitch)</t>
  </si>
  <si>
    <t xml:space="preserve">Ry(yaw)</t>
  </si>
  <si>
    <t xml:space="preserve">Rz(roll)</t>
  </si>
  <si>
    <t xml:space="preserve">T = translate(Tx, Ty, Tz)</t>
  </si>
  <si>
    <t xml:space="preserve">Ry Rx</t>
  </si>
  <si>
    <t xml:space="preserve">R = Ry Rx Rz</t>
  </si>
  <si>
    <t xml:space="preserve">R S</t>
  </si>
  <si>
    <t xml:space="preserve">M = T R S (local matrix)</t>
  </si>
  <si>
    <t xml:space="preserve">M exported (local_matrix)</t>
  </si>
  <si>
    <t xml:space="preserve">|M - M exported|</t>
  </si>
  <si>
    <t xml:space="preserve">Parent world (UAV-00, exported)</t>
  </si>
  <si>
    <t xml:space="preserve">World = Parent M</t>
  </si>
  <si>
    <t xml:space="preserve">World exported (world_matrix)</t>
  </si>
  <si>
    <t xml:space="preserve">|World - World exported|</t>
  </si>
  <si>
    <t xml:space="preserve">View V (View_Projection sheet)</t>
  </si>
  <si>
    <t xml:space="preserve">Projection P (View_Projection sheet)</t>
  </si>
  <si>
    <t xml:space="preserve">Vertex pipeline (column vectors)</t>
  </si>
  <si>
    <t xml:space="preserve">Checks</t>
  </si>
  <si>
    <t xml:space="preserve">stage</t>
  </si>
  <si>
    <t xml:space="preserve">value</t>
  </si>
  <si>
    <t xml:space="preserve">local p</t>
  </si>
  <si>
    <t xml:space="preserve">max |M - export|</t>
  </si>
  <si>
    <t xml:space="preserve">world = World p</t>
  </si>
  <si>
    <t xml:space="preserve">max |World - export|</t>
  </si>
  <si>
    <t xml:space="preserve">eye = V world</t>
  </si>
  <si>
    <t xml:space="preserve">inside clip volume |x|,|y|,|z| &lt;= w</t>
  </si>
  <si>
    <t xml:space="preserve">clip = P eye</t>
  </si>
  <si>
    <t xml:space="preserve">eye-space distance -z_eye (m)</t>
  </si>
  <si>
    <t xml:space="preserve">NDC = clip / w</t>
  </si>
  <si>
    <t xml:space="preserve">window (x px, y px top-left, depth, -)</t>
  </si>
  <si>
    <t xml:space="preserve">Exported matrices are float32: differences of ~1e-7 are rounding. Window: x = (ndc.x/2+0.5) W, y = (1-(ndc.y/2+0.5)) H, d = ndc.z/2+0.5 (glDepthRange 0..1).</t>
  </si>
  <si>
    <t xml:space="preserve">Vertex_Groups: parts built from unit primitives by matrices (report Section 7.1)</t>
  </si>
  <si>
    <t xml:space="preserve">Source: ts --export-docs: BNK-11 'Retaining wall W' (S, R_deg, T, parent world), cube corners (primitives P01), v6.garrison.gait (thigh, shin, cycle), UAV gimbal parts; objects/Builder M = T Ry Rx Rz S; scene/Gait legFK.</t>
  </si>
  <si>
    <t xml:space="preserve">A. Retaining wall W (BNK-11): unit cube -&gt; world</t>
  </si>
  <si>
    <t xml:space="preserve">S</t>
  </si>
  <si>
    <t xml:space="preserve">R_deg</t>
  </si>
  <si>
    <t xml:space="preserve">M = T Ry Rx Rz S</t>
  </si>
  <si>
    <t xml:space="preserve">W parent (export)</t>
  </si>
  <si>
    <t xml:space="preserve">W = W parent M</t>
  </si>
  <si>
    <t xml:space="preserve">W exported</t>
  </si>
  <si>
    <t xml:space="preserve">max |W - W exported|</t>
  </si>
  <si>
    <t xml:space="preserve">C. Leg FK: x = L1 sin h + L2 sin(h - k), y = -L1 cos h - L2 cos(h - k)</t>
  </si>
  <si>
    <t xml:space="preserve">corner</t>
  </si>
  <si>
    <t xml:space="preserve">world x</t>
  </si>
  <si>
    <t xml:space="preserve">world y</t>
  </si>
  <si>
    <t xml:space="preserve">world z</t>
  </si>
  <si>
    <t xml:space="preserve">L1 thigh</t>
  </si>
  <si>
    <t xml:space="preserve">L2 shin</t>
  </si>
  <si>
    <t xml:space="preserve">v0</t>
  </si>
  <si>
    <t xml:space="preserve">phase</t>
  </si>
  <si>
    <t xml:space="preserve">hip h</t>
  </si>
  <si>
    <t xml:space="preserve">knee k</t>
  </si>
  <si>
    <t xml:space="preserve">x FK</t>
  </si>
  <si>
    <t xml:space="preserve">y FK</t>
  </si>
  <si>
    <t xml:space="preserve">x export</t>
  </si>
  <si>
    <t xml:space="preserve">y export</t>
  </si>
  <si>
    <t xml:space="preserve">|diff|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</si>
  <si>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</si>
  <si>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</si>
  <si>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</si>
  <si>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</si>
  <si>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</si>
  <si>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</si>
  <si>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</si>
  <si>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D. UAV camera: view axis = R_UAV Ry(yaw) Rx(pitch) (0, 0, 1)</t>
  </si>
  <si>
    <t xml:space="preserve">yaw (deg)</t>
  </si>
  <si>
    <t xml:space="preserve">pitch (deg)</t>
  </si>
  <si>
    <t xml:space="preserve">R_UAV (rotation of UAV-00 world, export)</t>
  </si>
  <si>
    <t xml:space="preserve">gimbal axis</t>
  </si>
  <si>
    <t xml:space="preserve">world view axis</t>
  </si>
  <si>
    <t xml:space="preserve">below horizon (deg)</t>
  </si>
  <si>
    <t xml:space="preserve">Change yaw / pitch (yellow): the axis turns; the pitch alone sets the angle below the horizon (the UAV flies level).</t>
  </si>
  <si>
    <t xml:space="preserve">View_Projection: default orbit camera, lookAt basis, perspective and depth</t>
  </si>
  <si>
    <t xml:space="preserve">Source: scene/Camera.h (target, yaw 32, pitch 27, distance 34, fov 50), Camera.cpp compute() (orbit eye), Math3D.cpp lookAt / perspective, near 0.05 far 600, 24-bit depth (FrameBuffers.cpp).</t>
  </si>
  <si>
    <t xml:space="preserve">Depth mapping (24-bit fixed point: step = 1 / (2^24 - 1))</t>
  </si>
  <si>
    <t xml:space="preserve">Input / derived</t>
  </si>
  <si>
    <t xml:space="preserve">z_eye (m)</t>
  </si>
  <si>
    <t xml:space="preserve">z_ndc (near 0.05)</t>
  </si>
  <si>
    <t xml:space="preserve">depth d (near 0.05)</t>
  </si>
  <si>
    <t xml:space="preserve">metres per depth step (near 0.05)</t>
  </si>
  <si>
    <t xml:space="preserve">z_ndc (near 0.5)</t>
  </si>
  <si>
    <t xml:space="preserve">depth d (near 0.5)</t>
  </si>
  <si>
    <t xml:space="preserve">metres per depth step (near 0.5)</t>
  </si>
  <si>
    <t xml:space="preserve">target (m)</t>
  </si>
  <si>
    <t xml:space="preserve">clipped</t>
  </si>
  <si>
    <t xml:space="preserve">up</t>
  </si>
  <si>
    <t xml:space="preserve">distance (m)</t>
  </si>
  <si>
    <t xml:space="preserve">fov y (deg)</t>
  </si>
  <si>
    <t xml:space="preserve">width (px)</t>
  </si>
  <si>
    <t xml:space="preserve">height (px)</t>
  </si>
  <si>
    <t xml:space="preserve">near (m)</t>
  </si>
  <si>
    <t xml:space="preserve">far (m)</t>
  </si>
  <si>
    <t xml:space="preserve">near, comparison (m)</t>
  </si>
  <si>
    <t xml:space="preserve">aspect = width / height</t>
  </si>
  <si>
    <t xml:space="preserve">eye = target + d (cos p sin y, sin p, cos p cos y)</t>
  </si>
  <si>
    <t xml:space="preserve">eye - target</t>
  </si>
  <si>
    <t xml:space="preserve">n = normalize(eye - target)</t>
  </si>
  <si>
    <t xml:space="preserve">Summary</t>
  </si>
  <si>
    <t xml:space="preserve">up x n</t>
  </si>
  <si>
    <t xml:space="preserve">depth step at 100 m (m)</t>
  </si>
  <si>
    <t xml:space="preserve">u = normalize(up x n)</t>
  </si>
  <si>
    <t xml:space="preserve">ratio near 0.05 / near 0.5 at 100 m</t>
  </si>
  <si>
    <t xml:space="preserve">v = n x u</t>
  </si>
  <si>
    <t xml:space="preserve">share of [0, 1] depth used by the first 1 m</t>
  </si>
  <si>
    <t xml:space="preserve">code: s = normalize(f x up), f = -n; |s - u|</t>
  </si>
  <si>
    <t xml:space="preserve">share of depth used beyond 10 m</t>
  </si>
  <si>
    <t xml:space="preserve">u . v,  u . n,  v . n (orthogonal: 0)</t>
  </si>
  <si>
    <t xml:space="preserve">d = (F / (F - N)) (1 - N / |z|): precision falls with z^2.</t>
  </si>
  <si>
    <t xml:space="preserve">View V = lookAt(eye, target, up): rows u, v, n; last column -(axis . eye)</t>
  </si>
  <si>
    <t xml:space="preserve">Step size dz = step (F - N) z^2 / (F N): ten times the near plane = ten times finer steps.</t>
  </si>
  <si>
    <t xml:space="preserve">row 0 (u)</t>
  </si>
  <si>
    <t xml:space="preserve">Two surfaces closer than one step at 100 m share a depth value: z-fighting.</t>
  </si>
  <si>
    <t xml:space="preserve">row 1 (v)</t>
  </si>
  <si>
    <t xml:space="preserve">The code keeps near 0.05 m for the first-person views; 24-bit depth.</t>
  </si>
  <si>
    <t xml:space="preserve">row 2 (n)</t>
  </si>
  <si>
    <t xml:space="preserve">row 3</t>
  </si>
  <si>
    <t xml:space="preserve">t = 1 / tan(fov / 2)</t>
  </si>
  <si>
    <t xml:space="preserve">Perspective P (Math3D perspective, OpenGL clip z in [-w, w])</t>
  </si>
  <si>
    <t xml:space="preserve">row 0</t>
  </si>
  <si>
    <t xml:space="preserve">row 1</t>
  </si>
  <si>
    <t xml:space="preserve">row 2</t>
  </si>
  <si>
    <t xml:space="preserve">Code (lookAt): f = normalize(target - eye), s = normalize(f x up), u' = s x f; rows s, u', -f. Since f = -n: s = u and u' = v, the same matrix.</t>
  </si>
  <si>
    <t xml:space="preserve">Clipping: Cohen-Sutherland, Liang-Barsky, Sutherland-Hodgman (textbook worked example)</t>
  </si>
  <si>
    <t xml:space="preserve">Source: Worked textbook example (window and lines chosen for teaching). The code itself clips on the GPU (clip volume -w &lt;= x, y, z &lt;= w) and culls on the CPU with math/Frustum (6 planes, sphere test).</t>
  </si>
  <si>
    <t xml:space="preserve">Window</t>
  </si>
  <si>
    <t xml:space="preserve">xmin</t>
  </si>
  <si>
    <t xml:space="preserve">xmax</t>
  </si>
  <si>
    <t xml:space="preserve">ymin</t>
  </si>
  <si>
    <t xml:space="preserve">ymax</t>
  </si>
  <si>
    <t xml:space="preserve">Outcode bits T B R L = (y &gt; ymax)(y &lt; ymin)(x &gt; xmax)(x &lt; xmin); code = 8T + 4B + 2R + L</t>
  </si>
  <si>
    <t xml:space="preserve">1. Cohen-Sutherland outcodes</t>
  </si>
  <si>
    <t xml:space="preserve">line</t>
  </si>
  <si>
    <t xml:space="preserve">x0</t>
  </si>
  <si>
    <t xml:space="preserve">y0</t>
  </si>
  <si>
    <t xml:space="preserve">x1</t>
  </si>
  <si>
    <t xml:space="preserve">y1</t>
  </si>
  <si>
    <t xml:space="preserve">T0</t>
  </si>
  <si>
    <t xml:space="preserve">B0</t>
  </si>
  <si>
    <t xml:space="preserve">R0</t>
  </si>
  <si>
    <t xml:space="preserve">L0</t>
  </si>
  <si>
    <t xml:space="preserve">code0</t>
  </si>
  <si>
    <t xml:space="preserve">T1</t>
  </si>
  <si>
    <t xml:space="preserve">B1</t>
  </si>
  <si>
    <t xml:space="preserve">R1</t>
  </si>
  <si>
    <t xml:space="preserve">L1</t>
  </si>
  <si>
    <t xml:space="preserve">code1</t>
  </si>
  <si>
    <t xml:space="preserve">bits 0</t>
  </si>
  <si>
    <t xml:space="preserve">bits 1</t>
  </si>
  <si>
    <t xml:space="preserve">AND of codes</t>
  </si>
  <si>
    <t xml:space="preserve">decision</t>
  </si>
  <si>
    <t xml:space="preserve">L2</t>
  </si>
  <si>
    <t xml:space="preserve">L3</t>
  </si>
  <si>
    <t xml:space="preserve">L4</t>
  </si>
  <si>
    <t xml:space="preserve">2. Liang-Barsky: x = x0 + t dx, y = y0 + t dy; p1 = -dx, q1 = x0 - xmin; p2 = dx, q2 = xmax - x0; p3 = -dy, q3 = y0 - ymin; p4 = dy, q4 = ymax - y0</t>
  </si>
  <si>
    <t xml:space="preserve">dx</t>
  </si>
  <si>
    <t xml:space="preserve">dy</t>
  </si>
  <si>
    <t xml:space="preserve">p1</t>
  </si>
  <si>
    <t xml:space="preserve">p2</t>
  </si>
  <si>
    <t xml:space="preserve">p3</t>
  </si>
  <si>
    <t xml:space="preserve">p4</t>
  </si>
  <si>
    <t xml:space="preserve">q1</t>
  </si>
  <si>
    <t xml:space="preserve">q2</t>
  </si>
  <si>
    <t xml:space="preserve">q3</t>
  </si>
  <si>
    <t xml:space="preserve">q4</t>
  </si>
  <si>
    <t xml:space="preserve">t enter = max(0, q/p, p&lt;0)</t>
  </si>
  <si>
    <t xml:space="preserve">t exit = min(1, q/p, p&gt;0)</t>
  </si>
  <si>
    <t xml:space="preserve">parallel outside</t>
  </si>
  <si>
    <t xml:space="preserve">visible</t>
  </si>
  <si>
    <t xml:space="preserve">x0'</t>
  </si>
  <si>
    <t xml:space="preserve">y0'</t>
  </si>
  <si>
    <t xml:space="preserve">x1'</t>
  </si>
  <si>
    <t xml:space="preserve">y1'</t>
  </si>
  <si>
    <t xml:space="preserve">3. Sutherland-Hodgman: triangle clipped against the 4 window edges in turn (output list -&gt; next stage input)</t>
  </si>
  <si>
    <t xml:space="preserve">Triangle</t>
  </si>
  <si>
    <t xml:space="preserve">A</t>
  </si>
  <si>
    <t xml:space="preserve">C</t>
  </si>
  <si>
    <t xml:space="preserve">Stage 1: left x &gt;= xmin</t>
  </si>
  <si>
    <t xml:space="preserve">Stage 2: right x &lt;= xmax</t>
  </si>
  <si>
    <t xml:space="preserve">edge</t>
  </si>
  <si>
    <t xml:space="preserve">Px</t>
  </si>
  <si>
    <t xml:space="preserve">Py</t>
  </si>
  <si>
    <t xml:space="preserve">S in</t>
  </si>
  <si>
    <t xml:space="preserve">P in</t>
  </si>
  <si>
    <t xml:space="preserve">Ix</t>
  </si>
  <si>
    <t xml:space="preserve">Iy</t>
  </si>
  <si>
    <t xml:space="preserve">output</t>
  </si>
  <si>
    <t xml:space="preserve">1-2</t>
  </si>
  <si>
    <t xml:space="preserve">2-3</t>
  </si>
  <si>
    <t xml:space="preserve">3-1</t>
  </si>
  <si>
    <t xml:space="preserve">3-4</t>
  </si>
  <si>
    <t xml:space="preserve">out</t>
  </si>
  <si>
    <t xml:space="preserve">4-1</t>
  </si>
  <si>
    <t xml:space="preserve">4 vertices</t>
  </si>
  <si>
    <t xml:space="preserve">5 vertices</t>
  </si>
  <si>
    <t xml:space="preserve">Stage 3: bottom y &gt;= ymin</t>
  </si>
  <si>
    <t xml:space="preserve">Stage 4: top y &lt;= ymax</t>
  </si>
  <si>
    <t xml:space="preserve">4-5</t>
  </si>
  <si>
    <t xml:space="preserve">5-1</t>
  </si>
  <si>
    <t xml:space="preserve">5-6</t>
  </si>
  <si>
    <t xml:space="preserve">6-1</t>
  </si>
  <si>
    <t xml:space="preserve">6 vertices</t>
  </si>
  <si>
    <t xml:space="preserve">7 vertices</t>
  </si>
  <si>
    <t xml:space="preserve">Each stage keeps the output-list rule: in-in -&gt; P; in-out -&gt; I; out-in -&gt; I, P; out-out -&gt; none. The final list is the clipped polygon (fan-triangulated afterwards).</t>
  </si>
  <si>
    <t xml:space="preserve">Illumination: ambient + Lambert diffuse + Blinn-Phong specular at one roof point</t>
  </si>
  <si>
    <t xml:space="preserve">Source: scene/DayCycle (solar model, transmittance, 3.2 smoothstep(-1, 10, e), ambient mixLog); export 'lights'; ShaderSources.cpp brdf(); the command bunker's part 'Roof slab A'.</t>
  </si>
  <si>
    <t xml:space="preserve">Quantity</t>
  </si>
  <si>
    <t xml:space="preserve">Noon</t>
  </si>
  <si>
    <t xml:space="preserve">Sunset</t>
  </si>
  <si>
    <t xml:space="preserve">Night (moon)</t>
  </si>
  <si>
    <t xml:space="preserve">UAV spot (beam axis)</t>
  </si>
  <si>
    <t xml:space="preserve">UAV spot (roof point)</t>
  </si>
  <si>
    <t xml:space="preserve">Input (from the code)</t>
  </si>
  <si>
    <t xml:space="preserve">x / R</t>
  </si>
  <si>
    <t xml:space="preserve">y / G</t>
  </si>
  <si>
    <t xml:space="preserve">z / B</t>
  </si>
  <si>
    <t xml:space="preserve">hour (clock)</t>
  </si>
  <si>
    <t xml:space="preserve">latitude phi, declination delta (deg)</t>
  </si>
  <si>
    <t xml:space="preserve">H = 15 (hour - 12) (deg)</t>
  </si>
  <si>
    <t xml:space="preserve">sun intensity, key above (deg)</t>
  </si>
  <si>
    <t xml:space="preserve">sin e = sin phi sin d + cos phi cos d cos H</t>
  </si>
  <si>
    <t xml:space="preserve">optical depth tau (R, G, B)</t>
  </si>
  <si>
    <t xml:space="preserve">sun elevation e (deg)</t>
  </si>
  <si>
    <t xml:space="preserve">moon direction (travel)</t>
  </si>
  <si>
    <t xml:space="preserve">daylight w = smoothstep(-8, 6, e)</t>
  </si>
  <si>
    <t xml:space="preserve">moon colour</t>
  </si>
  <si>
    <t xml:space="preserve">surface point P.x (m)</t>
  </si>
  <si>
    <t xml:space="preserve">moon intensity</t>
  </si>
  <si>
    <t xml:space="preserve">surface point P.y (m)</t>
  </si>
  <si>
    <t xml:space="preserve">spot position (m)</t>
  </si>
  <si>
    <t xml:space="preserve">surface point P.z (m)</t>
  </si>
  <si>
    <t xml:space="preserve">spot direction</t>
  </si>
  <si>
    <t xml:space="preserve">to light (unnormalised) x</t>
  </si>
  <si>
    <t xml:space="preserve">spot colour</t>
  </si>
  <si>
    <t xml:space="preserve">to light (unnormalised) y</t>
  </si>
  <si>
    <t xml:space="preserve">spot intensity, inner, outer (deg)</t>
  </si>
  <si>
    <t xml:space="preserve">to light (unnormalised) z</t>
  </si>
  <si>
    <t xml:space="preserve">spot attenuation linear, quadratic</t>
  </si>
  <si>
    <t xml:space="preserve">distance d = |to light| (m)</t>
  </si>
  <si>
    <t xml:space="preserve">night ambient (LightRig)</t>
  </si>
  <si>
    <t xml:space="preserve">L.x (unit)</t>
  </si>
  <si>
    <t xml:space="preserve">day ambient (kDayAmbient)</t>
  </si>
  <si>
    <t xml:space="preserve">L.y (unit)</t>
  </si>
  <si>
    <t xml:space="preserve">roof albedo kd (Roof slab A colour)</t>
  </si>
  <si>
    <t xml:space="preserve">L.z (unit)</t>
  </si>
  <si>
    <t xml:space="preserve">roof ks, shininess n</t>
  </si>
  <si>
    <t xml:space="preserve">angle to spot axis (deg)</t>
  </si>
  <si>
    <t xml:space="preserve">roof point P (top face, m)</t>
  </si>
  <si>
    <t xml:space="preserve">spot cone c^2, c = clamp((cos a - cos o)/(cos i - cos o))</t>
  </si>
  <si>
    <t xml:space="preserve">normal N</t>
  </si>
  <si>
    <t xml:space="preserve">attenuation 1 / (1 + kl d + kq d^2)</t>
  </si>
  <si>
    <t xml:space="preserve">viewer: orbit eye (View_Projection)</t>
  </si>
  <si>
    <t xml:space="preserve">air mass m (Kasten-Young)</t>
  </si>
  <si>
    <t xml:space="preserve">light intensity (scalar)</t>
  </si>
  <si>
    <t xml:space="preserve">Model (display-referred Blinn-Phong path), per channel:</t>
  </si>
  <si>
    <t xml:space="preserve">N . L (clamped at 0)</t>
  </si>
  <si>
    <t xml:space="preserve">  I = kd Ia + kd Il (N.L) + ks Il (N.H)^n</t>
  </si>
  <si>
    <t xml:space="preserve">L + V (H before normalising) x</t>
  </si>
  <si>
    <t xml:space="preserve">Not modelled: shadows, AO, relief, HDR sky SH ambient,</t>
  </si>
  <si>
    <t xml:space="preserve">L + V y</t>
  </si>
  <si>
    <t xml:space="preserve">  moon tint.</t>
  </si>
  <si>
    <t xml:space="preserve">L + V z</t>
  </si>
  <si>
    <t xml:space="preserve">Spot cone (shader): c = clamp((cos a - cos outer) /</t>
  </si>
  <si>
    <t xml:space="preserve">N . H</t>
  </si>
  <si>
    <t xml:space="preserve">  (cos inner - cos outer)), weight c^2 (not smoothstep).</t>
  </si>
  <si>
    <t xml:space="preserve">(N . H)^n (0 when N . L = 0)</t>
  </si>
  <si>
    <t xml:space="preserve">Roof point: 20 deg off the spot axis at t = 0, outside</t>
  </si>
  <si>
    <t xml:space="preserve">  the 14 deg cone. Column E: the up-facing point on the</t>
  </si>
  <si>
    <t xml:space="preserve">Per-channel terms (light colour = transmittance for the sun)</t>
  </si>
  <si>
    <t xml:space="preserve">  beam axis at roof height.</t>
  </si>
  <si>
    <t xml:space="preserve">Term (channel)</t>
  </si>
  <si>
    <t xml:space="preserve">Sun key direction is quantised to 1 deg in the code.</t>
  </si>
  <si>
    <t xml:space="preserve">Il = light colour x intensity  R</t>
  </si>
  <si>
    <t xml:space="preserve">Il = light colour x intensity  G</t>
  </si>
  <si>
    <t xml:space="preserve">Il = light colour x intensity  B</t>
  </si>
  <si>
    <t xml:space="preserve">ambient Ia  R</t>
  </si>
  <si>
    <t xml:space="preserve">ambient Ia  G</t>
  </si>
  <si>
    <t xml:space="preserve">ambient Ia  B</t>
  </si>
  <si>
    <t xml:space="preserve">ambient kd Ia  R</t>
  </si>
  <si>
    <t xml:space="preserve">ambient kd Ia  G</t>
  </si>
  <si>
    <t xml:space="preserve">ambient kd Ia  B</t>
  </si>
  <si>
    <t xml:space="preserve">diffuse kd Il (N.L)  R</t>
  </si>
  <si>
    <t xml:space="preserve">diffuse kd Il (N.L)  G</t>
  </si>
  <si>
    <t xml:space="preserve">diffuse kd Il (N.L)  B</t>
  </si>
  <si>
    <t xml:space="preserve">specular ks Il (N.H)^n  R</t>
  </si>
  <si>
    <t xml:space="preserve">specular ks Il (N.H)^n  G</t>
  </si>
  <si>
    <t xml:space="preserve">specular ks Il (N.H)^n  B</t>
  </si>
  <si>
    <t xml:space="preserve">total I  R</t>
  </si>
  <si>
    <t xml:space="preserve">total I  G</t>
  </si>
  <si>
    <t xml:space="preserve">total I  B</t>
  </si>
  <si>
    <t xml:space="preserve">luminance Y of total (Rec. 709)</t>
  </si>
  <si>
    <t xml:space="preserve">Ambient Ia = night^(1-w) day^w (DayCycle mixLog); spot columns: beams on at night only (sun below -2 deg). Linear HDR units (the sun's irradiance is 3.2).</t>
  </si>
  <si>
    <t xml:space="preserve">Color_Interp: barycentric weights, Gouraud vs Phong, perspective-correct interpolation, sRGB blending, sky colour over the day</t>
  </si>
  <si>
    <t xml:space="preserve">Source: math/ExplorerMath edgeFunction / interpolateAffine / interpolatePerspective / srgbEncode (sections A-D: worked example values); section E: DayCycle solar model + export v6.day_cycle.grid (sky_zenith).</t>
  </si>
  <si>
    <t xml:space="preserve">A. Screen triangle (worked example) with per-vertex data</t>
  </si>
  <si>
    <t xml:space="preserve">E. Blending two sRGB colours: naive (in sRGB) vs correct (in linear light)</t>
  </si>
  <si>
    <t xml:space="preserve">vertex</t>
  </si>
  <si>
    <t xml:space="preserve">x (px)</t>
  </si>
  <si>
    <t xml:space="preserve">y (px)</t>
  </si>
  <si>
    <t xml:space="preserve">clip w</t>
  </si>
  <si>
    <t xml:space="preserve">tex u</t>
  </si>
  <si>
    <t xml:space="preserve">N.x</t>
  </si>
  <si>
    <t xml:space="preserve">N.y</t>
  </si>
  <si>
    <t xml:space="preserve">N.z</t>
  </si>
  <si>
    <t xml:space="preserve">I vertex</t>
  </si>
  <si>
    <t xml:space="preserve">R (0-255)</t>
  </si>
  <si>
    <t xml:space="preserve">R linear</t>
  </si>
  <si>
    <t xml:space="preserve">G linear</t>
  </si>
  <si>
    <t xml:space="preserve">B linear</t>
  </si>
  <si>
    <t xml:space="preserve">V0</t>
  </si>
  <si>
    <t xml:space="preserve">V1</t>
  </si>
  <si>
    <t xml:space="preserve">V2</t>
  </si>
  <si>
    <t xml:space="preserve">t</t>
  </si>
  <si>
    <t xml:space="preserve">naive R</t>
  </si>
  <si>
    <t xml:space="preserve">naive G</t>
  </si>
  <si>
    <t xml:space="preserve">naive B</t>
  </si>
  <si>
    <t xml:space="preserve">linear R</t>
  </si>
  <si>
    <t xml:space="preserve">linear G</t>
  </si>
  <si>
    <t xml:space="preserve">linear B</t>
  </si>
  <si>
    <t xml:space="preserve">Y naive</t>
  </si>
  <si>
    <t xml:space="preserve">Y linear</t>
  </si>
  <si>
    <t xml:space="preserve">light</t>
  </si>
  <si>
    <t xml:space="preserve">L = V = (0, 0, 1), H = (0, 0, 1)</t>
  </si>
  <si>
    <t xml:space="preserve">kd, ks, n</t>
  </si>
  <si>
    <t xml:space="preserve">2 x area (edge fn)</t>
  </si>
  <si>
    <t xml:space="preserve">B. Barycentric weights at sample points: w0 = E12(p) / area, w1 = E20(p) / area, w2 = E01(p) / area</t>
  </si>
  <si>
    <t xml:space="preserve">sample</t>
  </si>
  <si>
    <t xml:space="preserve">px</t>
  </si>
  <si>
    <t xml:space="preserve">py</t>
  </si>
  <si>
    <t xml:space="preserve">w0</t>
  </si>
  <si>
    <t xml:space="preserve">w1</t>
  </si>
  <si>
    <t xml:space="preserve">w2</t>
  </si>
  <si>
    <t xml:space="preserve">inside</t>
  </si>
  <si>
    <t xml:space="preserve">sRGB decode: c &lt;= 0.04045 ? c/12.92 : ((c+0.055)/1.055)^2.4; encode = srgbEncode (ExplorerMath).</t>
  </si>
  <si>
    <t xml:space="preserve">centroid</t>
  </si>
  <si>
    <t xml:space="preserve">Y = relative luminance (Rec. 709). The naive mid-point is darker than the light-correct one.</t>
  </si>
  <si>
    <t xml:space="preserve">near V1</t>
  </si>
  <si>
    <t xml:space="preserve">edge V0-V2 mid</t>
  </si>
  <si>
    <t xml:space="preserve">F. Sky zenith colour over the day (solar model formulas; sky colour from the export)</t>
  </si>
  <si>
    <t xml:space="preserve">phi, delta:</t>
  </si>
  <si>
    <t xml:space="preserve">centre-left</t>
  </si>
  <si>
    <t xml:space="preserve">hour</t>
  </si>
  <si>
    <t xml:space="preserve">e formula (deg)</t>
  </si>
  <si>
    <t xml:space="preserve">e export (deg)</t>
  </si>
  <si>
    <t xml:space="preserve">diff</t>
  </si>
  <si>
    <t xml:space="preserve">daylight w</t>
  </si>
  <si>
    <t xml:space="preserve">phase (no hysteresis)</t>
  </si>
  <si>
    <t xml:space="preserve">zenith R</t>
  </si>
  <si>
    <t xml:space="preserve">zenith G</t>
  </si>
  <si>
    <t xml:space="preserve">zenith B</t>
  </si>
  <si>
    <t xml:space="preserve">Y zenith</t>
  </si>
  <si>
    <t xml:space="preserve">phase export</t>
  </si>
  <si>
    <t xml:space="preserve">outside</t>
  </si>
  <si>
    <t xml:space="preserve">NIGHT</t>
  </si>
  <si>
    <t xml:space="preserve">C. Gouraud (interpolate vertex I) vs Phong (interpolate N, normalise, then light)</t>
  </si>
  <si>
    <t xml:space="preserve">I Gouraud</t>
  </si>
  <si>
    <t xml:space="preserve">|N|</t>
  </si>
  <si>
    <t xml:space="preserve">I Phong</t>
  </si>
  <si>
    <t xml:space="preserve">Phong - Gouraud</t>
  </si>
  <si>
    <t xml:space="preserve">DAWN</t>
  </si>
  <si>
    <t xml:space="preserve">DAY</t>
  </si>
  <si>
    <t xml:space="preserve">The highlight sits inside the triangle (interpolated N close to H): Phong finds it, Gouraud misses it.</t>
  </si>
  <si>
    <t xml:space="preserve">D. Texture coordinate u: affine vs perspective-correct (clip w per vertex)</t>
  </si>
  <si>
    <t xml:space="preserve">u affine</t>
  </si>
  <si>
    <t xml:space="preserve">u persp.</t>
  </si>
  <si>
    <t xml:space="preserve">error</t>
  </si>
  <si>
    <t xml:space="preserve">DUSK</t>
  </si>
  <si>
    <t xml:space="preserve">Day sky: Preetham analytic sky (math/SkyModel), blended with the night preset in log space (mixLog, weight w).</t>
  </si>
  <si>
    <t xml:space="preserve">Perspective-correct: interpolate u / w and 1 / w linearly in screen space, then divide.</t>
  </si>
  <si>
    <t xml:space="preserve">The export applies 0.25 deg hysteresis to the phase, so DAWN / DUSK can last a little longer.</t>
  </si>
  <si>
    <t xml:space="preserve">Ray_Tracing: intersections, reflection, refraction, recursion (worked example)</t>
  </si>
  <si>
    <t xml:space="preserve">Source: Worked textbook example. The code: raytrace/Intersect (sphere / box / heightfield), Optics.h reflectDir, refractDir, fresnelDielectric; RayTracer.h whittedDepth = 5 (';' render modes).</t>
  </si>
  <si>
    <t xml:space="preserve">1. Ray-sphere</t>
  </si>
  <si>
    <t xml:space="preserve">3. Snell refraction (air -&gt; glass)</t>
  </si>
  <si>
    <t xml:space="preserve">ray origin o</t>
  </si>
  <si>
    <t xml:space="preserve">incident d (unnormalised)</t>
  </si>
  <si>
    <t xml:space="preserve">direction (unnormalised)</t>
  </si>
  <si>
    <t xml:space="preserve">d = normalize</t>
  </si>
  <si>
    <t xml:space="preserve">normal n (facing against d)</t>
  </si>
  <si>
    <t xml:space="preserve">sphere centre c</t>
  </si>
  <si>
    <t xml:space="preserve">n1, n2</t>
  </si>
  <si>
    <t xml:space="preserve">radius r</t>
  </si>
  <si>
    <t xml:space="preserve">eta = n1 / n2</t>
  </si>
  <si>
    <t xml:space="preserve">oc = o - c</t>
  </si>
  <si>
    <t xml:space="preserve">cos i = -d . n</t>
  </si>
  <si>
    <t xml:space="preserve">a = d . d</t>
  </si>
  <si>
    <t xml:space="preserve">k = 1 - eta^2 (1 - cos^2 i)</t>
  </si>
  <si>
    <t xml:space="preserve">b = 2 d . oc</t>
  </si>
  <si>
    <t xml:space="preserve">t = eta d + (eta cos i - sqrt k) n</t>
  </si>
  <si>
    <t xml:space="preserve">c' = oc . oc - r^2</t>
  </si>
  <si>
    <t xml:space="preserve">incidence angle (deg)</t>
  </si>
  <si>
    <t xml:space="preserve">discriminant b^2 - 4 a c'</t>
  </si>
  <si>
    <t xml:space="preserve">refraction angle (deg)</t>
  </si>
  <si>
    <t xml:space="preserve">t1 = (-b - sqrt(disc)) / 2a (near)</t>
  </si>
  <si>
    <t xml:space="preserve">Snell check n1 sin i - n2 sin t</t>
  </si>
  <si>
    <t xml:space="preserve">t2 = (-b + sqrt(disc)) / 2a (far)</t>
  </si>
  <si>
    <t xml:space="preserve">Fresnel R (exact, fresnelDielectric)</t>
  </si>
  <si>
    <t xml:space="preserve">hit p = o + t1 d</t>
  </si>
  <si>
    <t xml:space="preserve">Schlick R0 = ((n1 - n2) / (n1 + n2))^2</t>
  </si>
  <si>
    <t xml:space="preserve">normal n = (p - c) / r</t>
  </si>
  <si>
    <t xml:space="preserve">d . n</t>
  </si>
  <si>
    <t xml:space="preserve">4. Total internal reflection (glass -&gt; air, eta = 1.5)</t>
  </si>
  <si>
    <t xml:space="preserve">reflection r = d - 2 (d . n) n</t>
  </si>
  <si>
    <t xml:space="preserve">k = 1 - eta^2 sin^2 i</t>
  </si>
  <si>
    <t xml:space="preserve">TIR?</t>
  </si>
  <si>
    <t xml:space="preserve">Fresnel R</t>
  </si>
  <si>
    <t xml:space="preserve">check |r| (= 1)</t>
  </si>
  <si>
    <t xml:space="preserve">critical angle asin(1/1.5)</t>
  </si>
  <si>
    <t xml:space="preserve">2. Ray-plane (ground y = 0)</t>
  </si>
  <si>
    <t xml:space="preserve">plane normal n</t>
  </si>
  <si>
    <t xml:space="preserve">point on plane p0</t>
  </si>
  <si>
    <t xml:space="preserve">5. Whitted recursion: weight of bounce k = kr^k</t>
  </si>
  <si>
    <t xml:space="preserve">n . d</t>
  </si>
  <si>
    <t xml:space="preserve">reflectance kr, depth limit (whittedDepth)</t>
  </si>
  <si>
    <t xml:space="preserve">t = n . (p0 - o) / (n . d)</t>
  </si>
  <si>
    <t xml:space="preserve">bounce k</t>
  </si>
  <si>
    <t xml:space="preserve">kr^k</t>
  </si>
  <si>
    <t xml:space="preserve">cumulative</t>
  </si>
  <si>
    <t xml:space="preserve">share of the infinite sum</t>
  </si>
  <si>
    <t xml:space="preserve">hit p = o + t d</t>
  </si>
  <si>
    <t xml:space="preserve">Bounces past the limit (k &gt; 5) contribute 0; the lost share of the infinite sum is kr^6.</t>
  </si>
  <si>
    <t xml:space="preserve">Thermal_Kernels: Gaussian and Sobel kernels on a 5x5 thermal patch</t>
  </si>
  <si>
    <t xml:space="preserve">Source: math/ExplorerMath.cpp kernel(): Gaussian 5x5 = binomial [1 4 6 4 1] (x) [1 4 6 4 1] / 256 (sigma ~ 1), Sobel Gx / Gy, convolve() (correlation, kernel row 0 = row above, clamp-to-edge), applyGamma v^(1/g).</t>
  </si>
  <si>
    <t xml:space="preserve">sigma</t>
  </si>
  <si>
    <t xml:space="preserve">size 5 (offsets -2..2)</t>
  </si>
  <si>
    <t xml:space="preserve">threshold T on |G|</t>
  </si>
  <si>
    <t xml:space="preserve">Gamma: out = v^(1/g)</t>
  </si>
  <si>
    <t xml:space="preserve">v</t>
  </si>
  <si>
    <t xml:space="preserve">g = 0.5</t>
  </si>
  <si>
    <t xml:space="preserve">g = 1.0</t>
  </si>
  <si>
    <t xml:space="preserve">g = 2.2</t>
  </si>
  <si>
    <t xml:space="preserve">Gaussian exp(-(x^2+y^2)/(2 s^2))</t>
  </si>
  <si>
    <t xml:space="preserve">normalised (sum = 1)</t>
  </si>
  <si>
    <t xml:space="preserve">code: b_y b_x / 256</t>
  </si>
  <si>
    <t xml:space="preserve">binomial</t>
  </si>
  <si>
    <t xml:space="preserve">g:</t>
  </si>
  <si>
    <t xml:space="preserve">max |normalised - code|</t>
  </si>
  <si>
    <t xml:space="preserve">5x5 thermal patch (worked example, 0..1)</t>
  </si>
  <si>
    <t xml:space="preserve">Sobel Gx</t>
  </si>
  <si>
    <t xml:space="preserve">Sobel Gy</t>
  </si>
  <si>
    <t xml:space="preserve">Gx step: patch x kernel at the centre</t>
  </si>
  <si>
    <t xml:space="preserve">SUMPRODUCT:</t>
  </si>
  <si>
    <t xml:space="preserve">g &gt; 1 lifts dark tones (applyGamma).</t>
  </si>
  <si>
    <t xml:space="preserve">Gaussian 5x5 at the centre = SUMPRODUCT(patch, normalised kernel)</t>
  </si>
  <si>
    <t xml:space="preserve">code kernel:</t>
  </si>
  <si>
    <t xml:space="preserve">centre input:</t>
  </si>
  <si>
    <t xml:space="preserve">Gx (3x3 valid output)</t>
  </si>
  <si>
    <t xml:space="preserve">Gy (3x3 valid output)</t>
  </si>
  <si>
    <t xml:space="preserve">|G| = sqrt(Gx^2 + Gy^2)</t>
  </si>
  <si>
    <t xml:space="preserve">edge = |G| &gt;= T</t>
  </si>
  <si>
    <t xml:space="preserve">Valid region: output (i, j) uses patch rows i..i+2, cols j..j+2 (the code clamps at the border).</t>
  </si>
  <si>
    <t xml:space="preserve">The Frame Explorer shows Gx, Gy with bias 0.5 (zero = mid-grey); Sobel |G| uses both kernels.</t>
  </si>
  <si>
    <t xml:space="preserve">Tracking: Kalman predict / gate / update, two-view triangulation, time on target</t>
  </si>
  <si>
    <t xml:space="preserve">Source: vision/MultiTracker.cpp predict, mahalanobis2, kalmanUpdate, triangulate; ai/Squad.cpp roundFlightTime, planStrike. Worked example values in yellow; q, gate, flight model from --export-docs.</t>
  </si>
  <si>
    <t xml:space="preserve">A. Predict: x' = F x, P' = F P F^T + Q (white-noise acceleration q)</t>
  </si>
  <si>
    <t xml:space="preserve">dt (s)</t>
  </si>
  <si>
    <t xml:space="preserve">q (m/s2)</t>
  </si>
  <si>
    <t xml:space="preserve">gate</t>
  </si>
  <si>
    <t xml:space="preserve">meas. sigma (m)</t>
  </si>
  <si>
    <t xml:space="preserve">x = (x, z, vx, vz)</t>
  </si>
  <si>
    <t xml:space="preserve">F</t>
  </si>
  <si>
    <t xml:space="preserve">P (before)</t>
  </si>
  <si>
    <t xml:space="preserve">Q</t>
  </si>
  <si>
    <t xml:space="preserve">F P</t>
  </si>
  <si>
    <t xml:space="preserve">x' = F x</t>
  </si>
  <si>
    <t xml:space="preserve">P' = F P F^T + Q</t>
  </si>
  <si>
    <t xml:space="preserve">B. Gate and update with a measurement m (ground point)</t>
  </si>
  <si>
    <t xml:space="preserve">D. Time on target (roundFlightTime, planStrike)</t>
  </si>
  <si>
    <t xml:space="preserve">m = (x, z)</t>
  </si>
  <si>
    <t xml:space="preserve">accel</t>
  </si>
  <si>
    <t xml:space="preserve">ramp (s)</t>
  </si>
  <si>
    <t xml:space="preserve">cruise</t>
  </si>
  <si>
    <t xml:space="preserve">fuse (m)</t>
  </si>
  <si>
    <t xml:space="preserve">innovation nu</t>
  </si>
  <si>
    <t xml:space="preserve">S = H P' H^T + sigma^2 I</t>
  </si>
  <si>
    <t xml:space="preserve">S^-1</t>
  </si>
  <si>
    <t xml:space="preserve">K = P' H^T S^-1 (4x2)</t>
  </si>
  <si>
    <t xml:space="preserve">x_new = x' + K nu</t>
  </si>
  <si>
    <t xml:space="preserve">UAV</t>
  </si>
  <si>
    <t xml:space="preserve">distance</t>
  </si>
  <si>
    <t xml:space="preserve">d - fuse</t>
  </si>
  <si>
    <t xml:space="preserve">ramp dist</t>
  </si>
  <si>
    <t xml:space="preserve">T (s)</t>
  </si>
  <si>
    <t xml:space="preserve">launch +s</t>
  </si>
  <si>
    <t xml:space="preserve">both rounds arrive together: launch delay = T_far - T_k</t>
  </si>
  <si>
    <t xml:space="preserve">d^2 = nu^T S^-1 nu</t>
  </si>
  <si>
    <t xml:space="preserve">C. Two-view triangulation: minimise |o1 + s d1 - (o2 + t d2)|</t>
  </si>
  <si>
    <t xml:space="preserve">o1 (UAV 1)</t>
  </si>
  <si>
    <t xml:space="preserve">d1</t>
  </si>
  <si>
    <t xml:space="preserve">o2 (UAV 2)</t>
  </si>
  <si>
    <t xml:space="preserve">d2</t>
  </si>
  <si>
    <t xml:space="preserve">a = d1.d1</t>
  </si>
  <si>
    <t xml:space="preserve">b = d1.d2</t>
  </si>
  <si>
    <t xml:space="preserve">c = d2.d2</t>
  </si>
  <si>
    <t xml:space="preserve">d = d1.w</t>
  </si>
  <si>
    <t xml:space="preserve">e = d2.w</t>
  </si>
  <si>
    <t xml:space="preserve">s</t>
  </si>
  <si>
    <t xml:space="preserve">p1 = o1 + s d1</t>
  </si>
  <si>
    <t xml:space="preserve">p2 = o2 + t d2</t>
  </si>
  <si>
    <t xml:space="preserve">midpoint</t>
  </si>
  <si>
    <t xml:space="preserve">residual |p1-p2|</t>
  </si>
  <si>
    <t xml:space="preserve">Line_Follower: IR sensor array, PD steering, differential drive (one tick)</t>
  </si>
  <si>
    <t xml:space="preserve">Source: ai/HideController.cpp followLine (kSensorForward, kSensorSpacing, kLineHalfWidth, kKp, kKd, kMaxSpeed); objects/Rover.h kRoverTrackWidth. Line offset, previous error and dt are worked-example inputs.</t>
  </si>
  <si>
    <t xml:space="preserve">spacing (m)</t>
  </si>
  <si>
    <t xml:space="preserve">half width</t>
  </si>
  <si>
    <t xml:space="preserve">err scale</t>
  </si>
  <si>
    <t xml:space="preserve">Kp</t>
  </si>
  <si>
    <t xml:space="preserve">Kd</t>
  </si>
  <si>
    <t xml:space="preserve">v max</t>
  </si>
  <si>
    <t xml:space="preserve">slow-down</t>
  </si>
  <si>
    <t xml:space="preserve">omega max</t>
  </si>
  <si>
    <t xml:space="preserve">track w</t>
  </si>
  <si>
    <t xml:space="preserve">line offset</t>
  </si>
  <si>
    <t xml:space="preserve">prev e</t>
  </si>
  <si>
    <t xml:space="preserve">inputs</t>
  </si>
  <si>
    <t xml:space="preserve">A. Sensors: lateral offset x_i = -2 spacing + i spacing (left &gt; 0); on the line if |x_i - line| &lt; half width</t>
  </si>
  <si>
    <t xml:space="preserve">sensor i</t>
  </si>
  <si>
    <t xml:space="preserve">x_i (m)</t>
  </si>
  <si>
    <t xml:space="preserve">|x_i - line|</t>
  </si>
  <si>
    <t xml:space="preserve">on line</t>
  </si>
  <si>
    <t xml:space="preserve">B. PD steering and wheel speeds</t>
  </si>
  <si>
    <t xml:space="preserve">active sensors</t>
  </si>
  <si>
    <t xml:space="preserve">error e</t>
  </si>
  <si>
    <t xml:space="preserve">de/dt</t>
  </si>
  <si>
    <t xml:space="preserve">omega (rad/s)</t>
  </si>
  <si>
    <t xml:space="preserve">speed v (m/s)</t>
  </si>
  <si>
    <t xml:space="preserve">left wheel</t>
  </si>
  <si>
    <t xml:space="preserve">right wheel</t>
  </si>
  <si>
    <t xml:space="preserve">turn</t>
  </si>
  <si>
    <t xml:space="preserve">Rate limits (kWheelAccel) and the line-lost search are not modelled here; see followLine.</t>
  </si>
  <si>
    <t xml:space="preserve">Explosion: colour from temperature, particle motion, debris bounce</t>
  </si>
  <si>
    <t xml:space="preserve">Source: rendering/Effects.cpp bb(T), fire / spark colour; scene/Combat.cpp updateParticles (spark integrator); scene/Scene.cpp updateDebris (restitution). Yellow = constants copied from the code.</t>
  </si>
  <si>
    <t xml:space="preserve">bb R exp</t>
  </si>
  <si>
    <t xml:space="preserve">bb G exp</t>
  </si>
  <si>
    <t xml:space="preserve">bb B gain</t>
  </si>
  <si>
    <t xml:space="preserve">bb B exp</t>
  </si>
  <si>
    <t xml:space="preserve">fire life exp</t>
  </si>
  <si>
    <t xml:space="preserve">emit a</t>
  </si>
  <si>
    <t xml:space="preserve">emit b</t>
  </si>
  <si>
    <t xml:space="preserve">spark cool</t>
  </si>
  <si>
    <t xml:space="preserve">A. Blackbody ramp bb(T) = (T^a, T^b, k T^c) and fire emission bb(T)(a' + b' T^2)</t>
  </si>
  <si>
    <t xml:space="preserve">B. A flame core and a spark over their lives (t = age / life)</t>
  </si>
  <si>
    <t xml:space="preserve">a'+b'T^2</t>
  </si>
  <si>
    <t xml:space="preserve">R emit</t>
  </si>
  <si>
    <t xml:space="preserve">G emit</t>
  </si>
  <si>
    <t xml:space="preserve">B emit</t>
  </si>
  <si>
    <t xml:space="preserve">fire T</t>
  </si>
  <si>
    <t xml:space="preserve">spark Tn</t>
  </si>
  <si>
    <t xml:space="preserve">bb arg</t>
  </si>
  <si>
    <t xml:space="preserve">C. One spark, step by step: v_y -= g dt; v *= exp(-k dt); p += v dt; below ground: v_y = -e v_y, v_x *= f</t>
  </si>
  <si>
    <t xml:space="preserve">D. Debris bounces (restitution e, no drag): apex = v^2 / 2g, flight = 2v / g</t>
  </si>
  <si>
    <t xml:space="preserve">g</t>
  </si>
  <si>
    <t xml:space="preserve">drag k</t>
  </si>
  <si>
    <t xml:space="preserve">bounce e</t>
  </si>
  <si>
    <t xml:space="preserve">keep f</t>
  </si>
  <si>
    <t xml:space="preserve">v_x0</t>
  </si>
  <si>
    <t xml:space="preserve">v_y0</t>
  </si>
  <si>
    <t xml:space="preserve">e</t>
  </si>
  <si>
    <t xml:space="preserve">v0 (m/s)</t>
  </si>
  <si>
    <t xml:space="preserve">rest below</t>
  </si>
  <si>
    <t xml:space="preserve">step</t>
  </si>
  <si>
    <t xml:space="preserve">t (s)</t>
  </si>
  <si>
    <t xml:space="preserve">v_x</t>
  </si>
  <si>
    <t xml:space="preserve">v_y</t>
  </si>
  <si>
    <t xml:space="preserve">bounce n</t>
  </si>
  <si>
    <t xml:space="preserve">v_n (m/s)</t>
  </si>
  <si>
    <t xml:space="preserve">apex (m)</t>
  </si>
  <si>
    <t xml:space="preserve">flight (s)</t>
  </si>
  <si>
    <t xml:space="preserve">moving?</t>
  </si>
  <si>
    <t xml:space="preserve">total time</t>
  </si>
  <si>
    <t xml:space="preserve">Duty_Cycle: 24-hour roster of the 8 on-duty soldiers (2 shifts, not 6-hour shifts)</t>
  </si>
  <si>
    <t xml:space="preserve">Source: scene/Garrison.h kDayShiftStart 6.4, kDayShiftEnd 17.6, dayShift(); Garrison.cpp makePrograms() and shiftDelay = 1 + 2.5 rank s; rosters from ts --export-docs v6.garrison.soldiers.</t>
  </si>
  <si>
    <t xml:space="preserve">day start (h)</t>
  </si>
  <si>
    <t xml:space="preserve">day end (h)</t>
  </si>
  <si>
    <t xml:space="preserve">day shift</t>
  </si>
  <si>
    <t xml:space="preserve">hours</t>
  </si>
  <si>
    <t xml:space="preserve">night hours</t>
  </si>
  <si>
    <t xml:space="preserve">DayBreak, Dusk</t>
  </si>
  <si>
    <t xml:space="preserve">#</t>
  </si>
  <si>
    <t xml:space="preserve">role</t>
  </si>
  <si>
    <t xml:space="preserve">day roster (export)</t>
  </si>
  <si>
    <t xml:space="preserve">night roster (export)</t>
  </si>
  <si>
    <t xml:space="preserve">day</t>
  </si>
  <si>
    <t xml:space="preserve">night</t>
  </si>
  <si>
    <t xml:space="preserve">SENTRY</t>
  </si>
  <si>
    <t xml:space="preserve">guard: inner gate and gate road (INNER GATE -&gt; GATE ROAD)</t>
  </si>
  <si>
    <t xml:space="preserve">guard: inner gate (INNER GATE)</t>
  </si>
  <si>
    <t xml:space="preserve">WATCH</t>
  </si>
  <si>
    <t xml:space="preserve">guard: watchtower and east wood look-out (WATCHTOWER -&gt; EAST WOOD)</t>
  </si>
  <si>
    <t xml:space="preserve">guard: sandbag guard post (SANDBAG POST)</t>
  </si>
  <si>
    <t xml:space="preserve">GUNNER</t>
  </si>
  <si>
    <t xml:space="preserve">walk: patrol loop on the east apron</t>
  </si>
  <si>
    <t xml:space="preserve">guard: machine-gun nest (MG NEST)</t>
  </si>
  <si>
    <t xml:space="preserve">MECHANIC</t>
  </si>
  <si>
    <t xml:space="preserve">work: wrench at the parked tank and the helicopter (MBT-2 ENGINE DECK -&gt; HELICOPTER)</t>
  </si>
  <si>
    <t xml:space="preserve">off duty: bunk room (south bunk) (BUNK ROOM)</t>
  </si>
  <si>
    <t xml:space="preserve">LOGISTICS</t>
  </si>
  <si>
    <t xml:space="preserve">work: carry crates from the depot to the ammunition bunker (FUEL DEPOT -&gt; AMMO BUNKER)</t>
  </si>
  <si>
    <t xml:space="preserve">off duty: bunk room (mess table) (MESS BENCH)</t>
  </si>
  <si>
    <t xml:space="preserve">TECHNICIAN</t>
  </si>
  <si>
    <t xml:space="preserve">work: inspect the radar and the AA gun (RADAR -&gt; AA GUN PIT)</t>
  </si>
  <si>
    <t xml:space="preserve">work: plotting table in the command room (COMMAND ROOM)</t>
  </si>
  <si>
    <t xml:space="preserve">PATROL</t>
  </si>
  <si>
    <t xml:space="preserve">walk: patrol loop inside the compound</t>
  </si>
  <si>
    <t xml:space="preserve">guard: east guard tower (GUARD TOWER E)</t>
  </si>
  <si>
    <t xml:space="preserve">RUNNER</t>
  </si>
  <si>
    <t xml:space="preserve">run: running loop on the south apron</t>
  </si>
  <si>
    <t xml:space="preserve">off duty: bunk room (north bunk) (BUNK ROOM)</t>
  </si>
  <si>
    <t xml:space="preserve">24-hour grid: state at the middle of each hour = IF(day start &lt;= h + 0.5 &lt; day end, day kind, night kind)</t>
  </si>
  <si>
    <t xml:space="preserve">on duty (not off)</t>
  </si>
  <si>
    <t xml:space="preserve">shift</t>
  </si>
  <si>
    <t xml:space="preserve">Colours: grey off duty, red guard, blue work, green walk (patrol), yellow run.</t>
  </si>
  <si>
    <t xml:space="preserve">Staggered shift change: departure delay = 1 + 2.5 rank (s, simulation time; rank = seeded order)</t>
  </si>
  <si>
    <t xml:space="preserve">rank</t>
  </si>
  <si>
    <t xml:space="preserve">delay (s)</t>
  </si>
  <si>
    <t xml:space="preserve">The day shift follows the sun (DayBreak about 06:27, Dusk 17:36 at latitude 22.8 deg). Two shifts; the spec's 6-hour shifts are not in the code.</t>
  </si>
  <si>
    <t xml:space="preserve">Performance: benchmark import (report/data/bench.csv)</t>
  </si>
  <si>
    <t xml:space="preserve">Source: report/data/bench.csv written by the benchmark run (ts --benchmark / --bench-shots); this sheet is rebuilt by tools/v10/build_cg_workbook.py.</t>
  </si>
  <si>
    <t xml:space="preserve">IMPORT AREA: rows below are copied from bench.csv (yellow); derived columns are formulas.</t>
  </si>
  <si>
    <t xml:space="preserve">config</t>
  </si>
  <si>
    <t xml:space="preserve">avg_ms</t>
  </si>
  <si>
    <t xml:space="preserve">p95_ms</t>
  </si>
  <si>
    <t xml:space="preserve">avg_fps</t>
  </si>
  <si>
    <t xml:space="preserve">draw_calls</t>
  </si>
  <si>
    <t xml:space="preserve">triangles</t>
  </si>
  <si>
    <t xml:space="preserve">1000 / avg_ms (fps)</t>
  </si>
  <si>
    <t xml:space="preserve">fps check (diff)</t>
  </si>
  <si>
    <t xml:space="preserve">triangles per draw</t>
  </si>
  <si>
    <t xml:space="preserve">EPIC day 10:30</t>
  </si>
  <si>
    <t xml:space="preserve">EPIC night 23:00 (game: waves, UAVs)</t>
  </si>
  <si>
    <t xml:space="preserve">EPIC day, thermal view</t>
  </si>
  <si>
    <t xml:space="preserve">EPIC night, thermal view</t>
  </si>
  <si>
    <t xml:space="preserve">EPIC day, shadows off</t>
  </si>
  <si>
    <t xml:space="preserve">EPIC night, shadows off</t>
  </si>
  <si>
    <t xml:space="preserve">EPIC day, non-indexed</t>
  </si>
  <si>
    <t xml:space="preserve">ULTRA day</t>
  </si>
  <si>
    <t xml:space="preserve">HIGH day</t>
  </si>
  <si>
    <t xml:space="preserve">LOW day</t>
  </si>
  <si>
    <t xml:space="preserve">v1 look (no post) day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</si>
</sst>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00"/>
    <numFmt numFmtId="167" formatCode="0.0"/>
    <numFmt numFmtId="168" formatCode="0.00E+00"/>
    <numFmt numFmtId="169" formatCode="0.000"/>
    <numFmt numFmtId="170" formatCode="0.0E+00"/>
    <numFmt numFmtId="171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9"/>
      <name val="Calibri"/>
      <family val="0"/>
      <charset val="1"/>
    </font>
    <font>
      <sz val="8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F9F9F9"/>
      </patternFill>
    </fill>
    <fill>
      <patternFill patternType="solid">
        <fgColor rgb="FF004690"/>
        <bgColor rgb="FF005850"/>
      </patternFill>
    </fill>
    <fill>
      <patternFill patternType="solid">
        <fgColor rgb="FF006DB2"/>
        <bgColor rgb="FF007685"/>
      </patternFill>
    </fill>
    <fill>
      <patternFill patternType="solid">
        <fgColor rgb="FF007685"/>
        <bgColor rgb="FF006DB2"/>
      </patternFill>
    </fill>
    <fill>
      <patternFill patternType="solid">
        <fgColor rgb="FF506593"/>
        <bgColor rgb="FF4F81BD"/>
      </patternFill>
    </fill>
    <fill>
      <patternFill patternType="solid">
        <fgColor rgb="FF005850"/>
        <bgColor rgb="FF004690"/>
      </patternFill>
    </fill>
    <fill>
      <patternFill patternType="solid">
        <fgColor rgb="FFFFA032"/>
        <bgColor rgb="FFFFC878"/>
      </patternFill>
    </fill>
    <fill>
      <patternFill patternType="solid">
        <fgColor rgb="FFFFDC45"/>
        <bgColor rgb="FFFFC878"/>
      </patternFill>
    </fill>
    <fill>
      <patternFill patternType="solid">
        <fgColor rgb="FFFFC878"/>
        <bgColor rgb="FFF8CBAD"/>
      </patternFill>
    </fill>
    <fill>
      <patternFill patternType="solid">
        <fgColor rgb="FF57B45D"/>
        <bgColor rgb="FF33AE8D"/>
      </patternFill>
    </fill>
    <fill>
      <patternFill patternType="solid">
        <fgColor rgb="FF94B446"/>
        <bgColor rgb="FF57B45D"/>
      </patternFill>
    </fill>
    <fill>
      <patternFill patternType="solid">
        <fgColor rgb="FF33AE8D"/>
        <bgColor rgb="FF57B45D"/>
      </patternFill>
    </fill>
    <fill>
      <patternFill patternType="solid">
        <fgColor rgb="FFD24790"/>
        <bgColor rgb="FFC0504D"/>
      </patternFill>
    </fill>
    <fill>
      <patternFill patternType="solid">
        <fgColor rgb="FF8268C0"/>
        <bgColor rgb="FF7F7F7F"/>
      </patternFill>
    </fill>
    <fill>
      <patternFill patternType="solid">
        <fgColor rgb="FFBD6BBA"/>
        <bgColor rgb="FF8268C0"/>
      </patternFill>
    </fill>
    <fill>
      <patternFill patternType="solid">
        <fgColor rgb="FF95938E"/>
        <bgColor rgb="FF878787"/>
      </patternFill>
    </fill>
    <fill>
      <patternFill patternType="solid">
        <fgColor rgb="FFAF8967"/>
        <bgColor rgb="FF95938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D9D9D9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8EA9DB"/>
        </patternFill>
      </fill>
    </dxf>
    <dxf>
      <fill>
        <patternFill>
          <bgColor rgb="FFFFF2CC"/>
        </patternFill>
      </fill>
    </dxf>
  </dxf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F8967"/>
      <rgbColor rgb="FF800080"/>
      <rgbColor rgb="FF007685"/>
      <rgbColor rgb="FFD9D9D9"/>
      <rgbColor rgb="FF7F7F7F"/>
      <rgbColor rgb="FF8EA9DB"/>
      <rgbColor rgb="FFC0504D"/>
      <rgbColor rgb="FFFFF2CC"/>
      <rgbColor rgb="FFD9E1F2"/>
      <rgbColor rgb="FF660066"/>
      <rgbColor rgb="FF878787"/>
      <rgbColor rgb="FF006DB2"/>
      <rgbColor rgb="FFBDD7EE"/>
      <rgbColor rgb="FF000080"/>
      <rgbColor rgb="FFFF00FF"/>
      <rgbColor rgb="FFFFFF00"/>
      <rgbColor rgb="FF00FFFF"/>
      <rgbColor rgb="FF800080"/>
      <rgbColor rgb="FF800000"/>
      <rgbColor rgb="FF005850"/>
      <rgbColor rgb="FF0000FF"/>
      <rgbColor rgb="FF00CCFF"/>
      <rgbColor rgb="FFCCFFFF"/>
      <rgbColor rgb="FFC6EFCE"/>
      <rgbColor rgb="FFFFE699"/>
      <rgbColor rgb="FF99CCFF"/>
      <rgbColor rgb="FFFFC878"/>
      <rgbColor rgb="FFBD6BBA"/>
      <rgbColor rgb="FFF8CBAD"/>
      <rgbColor rgb="FF4F81BD"/>
      <rgbColor rgb="FF57B45D"/>
      <rgbColor rgb="FF94B446"/>
      <rgbColor rgb="FFFFDC45"/>
      <rgbColor rgb="FFFFA032"/>
      <rgbColor rgb="FFFF6600"/>
      <rgbColor rgb="FF506593"/>
      <rgbColor rgb="FF95938E"/>
      <rgbColor rgb="FF004690"/>
      <rgbColor rgb="FF33AE8D"/>
      <rgbColor rgb="FF003300"/>
      <rgbColor rgb="FF333300"/>
      <rgbColor rgb="FF993300"/>
      <rgbColor rgb="FFD24790"/>
      <rgbColor rgb="FF8268C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Frame time per configuration (ms)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Performance!B6</c:f>
              <c:strCache>
                <c:ptCount val="1"/>
                <c:pt idx="0">
                  <c:v>avg_ms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Performance!$A$7:$A$17</c:f>
              <c:strCache>
                <c:ptCount val="11"/>
                <c:pt idx="0">
                  <c:v>EPIC day 10:30</c:v>
                </c:pt>
                <c:pt idx="1">
                  <c:v>EPIC night 23:00 (game: waves, UAVs)</c:v>
                </c:pt>
                <c:pt idx="2">
                  <c:v>EPIC day, thermal view</c:v>
                </c:pt>
                <c:pt idx="3">
                  <c:v>EPIC night, thermal view</c:v>
                </c:pt>
                <c:pt idx="4">
                  <c:v>EPIC day, shadows off</c:v>
                </c:pt>
                <c:pt idx="5">
                  <c:v>EPIC night, shadows off</c:v>
                </c:pt>
                <c:pt idx="6">
                  <c:v>EPIC day, non-indexed</c:v>
                </c:pt>
                <c:pt idx="7">
                  <c:v>ULTRA day</c:v>
                </c:pt>
                <c:pt idx="8">
                  <c:v>HIGH day</c:v>
                </c:pt>
                <c:pt idx="9">
                  <c:v>LOW day</c:v>
                </c:pt>
                <c:pt idx="10">
                  <c:v>v1 look (no post) day</c:v>
                </c:pt>
              </c:strCache>
            </c:strRef>
          </c:cat>
          <c:val>
            <c:numRef>
              <c:f>Performance!$B$7:$B$17</c:f>
              <c:numCache>
                <c:formatCode>0.00</c:formatCode>
                <c:ptCount val="11"/>
                <c:pt idx="0">
                  <c:v>11.8961</c:v>
                </c:pt>
                <c:pt idx="1">
                  <c:v>15.328</c:v>
                </c:pt>
                <c:pt idx="2">
                  <c:v>12.9298</c:v>
                </c:pt>
                <c:pt idx="3">
                  <c:v>13.3205</c:v>
                </c:pt>
                <c:pt idx="4">
                  <c:v>15.4275</c:v>
                </c:pt>
                <c:pt idx="5">
                  <c:v>16.7837</c:v>
                </c:pt>
                <c:pt idx="6">
                  <c:v>52.9678</c:v>
                </c:pt>
                <c:pt idx="7">
                  <c:v>16.686</c:v>
                </c:pt>
                <c:pt idx="8">
                  <c:v>14.9135</c:v>
                </c:pt>
                <c:pt idx="9">
                  <c:v>12.6165</c:v>
                </c:pt>
                <c:pt idx="10">
                  <c:v>11.6958</c:v>
                </c:pt>
              </c:numCache>
            </c:numRef>
          </c:val>
        </c:ser>
        <c:ser>
          <c:idx val="1"/>
          <c:order val="1"/>
          <c:tx>
            <c:strRef>
              <c:f>Performance!C6</c:f>
              <c:strCache>
                <c:ptCount val="1"/>
                <c:pt idx="0">
                  <c:v>p95_ms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Performance!$A$7:$A$17</c:f>
              <c:strCache>
                <c:ptCount val="11"/>
                <c:pt idx="0">
                  <c:v>EPIC day 10:30</c:v>
                </c:pt>
                <c:pt idx="1">
                  <c:v>EPIC night 23:00 (game: waves, UAVs)</c:v>
                </c:pt>
                <c:pt idx="2">
                  <c:v>EPIC day, thermal view</c:v>
                </c:pt>
                <c:pt idx="3">
                  <c:v>EPIC night, thermal view</c:v>
                </c:pt>
                <c:pt idx="4">
                  <c:v>EPIC day, shadows off</c:v>
                </c:pt>
                <c:pt idx="5">
                  <c:v>EPIC night, shadows off</c:v>
                </c:pt>
                <c:pt idx="6">
                  <c:v>EPIC day, non-indexed</c:v>
                </c:pt>
                <c:pt idx="7">
                  <c:v>ULTRA day</c:v>
                </c:pt>
                <c:pt idx="8">
                  <c:v>HIGH day</c:v>
                </c:pt>
                <c:pt idx="9">
                  <c:v>LOW day</c:v>
                </c:pt>
                <c:pt idx="10">
                  <c:v>v1 look (no post) day</c:v>
                </c:pt>
              </c:strCache>
            </c:strRef>
          </c:cat>
          <c:val>
            <c:numRef>
              <c:f>Performance!$C$7:$C$17</c:f>
              <c:numCache>
                <c:formatCode>0.00</c:formatCode>
                <c:ptCount val="11"/>
                <c:pt idx="0">
                  <c:v>16.9807</c:v>
                </c:pt>
                <c:pt idx="1">
                  <c:v>20.5757</c:v>
                </c:pt>
                <c:pt idx="2">
                  <c:v>17.4494</c:v>
                </c:pt>
                <c:pt idx="3">
                  <c:v>17.3572</c:v>
                </c:pt>
                <c:pt idx="4">
                  <c:v>17.4757</c:v>
                </c:pt>
                <c:pt idx="5">
                  <c:v>24.0234</c:v>
                </c:pt>
                <c:pt idx="6">
                  <c:v>62.0608</c:v>
                </c:pt>
                <c:pt idx="7">
                  <c:v>20.5126</c:v>
                </c:pt>
                <c:pt idx="8">
                  <c:v>20.1891</c:v>
                </c:pt>
                <c:pt idx="9">
                  <c:v>20.0443</c:v>
                </c:pt>
                <c:pt idx="10">
                  <c:v>19.0796</c:v>
                </c:pt>
              </c:numCache>
            </c:numRef>
          </c:val>
        </c:ser>
        <c:gapWidth val="150"/>
        <c:overlap val="0"/>
        <c:axId val="37479949"/>
        <c:axId val="32096833"/>
      </c:barChart>
      <c:catAx>
        <c:axId val="374799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096833"/>
        <c:crosses val="autoZero"/>
        <c:auto val="1"/>
        <c:lblAlgn val="ctr"/>
        <c:lblOffset val="100"/>
        <c:noMultiLvlLbl val="0"/>
      </c:catAx>
      <c:valAx>
        <c:axId val="320968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4799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175680</xdr:rowOff>
    </xdr:from>
    <xdr:to>
      <xdr:col>7</xdr:col>
      <xdr:colOff>941760</xdr:colOff>
      <xdr:row>35</xdr:row>
      <xdr:rowOff>176760</xdr:rowOff>
    </xdr:to>
    <xdr:graphicFrame>
      <xdr:nvGraphicFramePr>
        <xdr:cNvPr id="1" name="Chart 1"/>
        <xdr:cNvGraphicFramePr/>
      </xdr:nvGraphicFramePr>
      <xdr:xfrm>
        <a:off x="0" y="3809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7"/>
    <col collapsed="false" customWidth="true" hidden="false" outlineLevel="0" max="4" min="3" style="0" width="7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7"/>
    <col collapsed="false" customWidth="true" hidden="false" outlineLevel="0" max="9" min="9" style="0" width="8"/>
    <col collapsed="false" customWidth="true" hidden="false" outlineLevel="0" max="11" min="10" style="0" width="10"/>
    <col collapsed="false" customWidth="true" hidden="false" outlineLevel="0" max="13" min="12" style="0" width="8"/>
    <col collapsed="false" customWidth="true" hidden="false" outlineLevel="0" max="15" min="14" style="0" width="6"/>
    <col collapsed="false" customWidth="true" hidden="false" outlineLevel="0" max="16" min="16" style="0" width="9"/>
    <col collapsed="false" customWidth="true" hidden="false" outlineLevel="0" max="17" min="17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42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</row>
    <row r="6" customFormat="false" ht="15" hidden="false" customHeight="false" outlineLevel="0" collapsed="false">
      <c r="A6" s="4" t="s">
        <v>20</v>
      </c>
      <c r="B6" s="5" t="s">
        <v>21</v>
      </c>
      <c r="C6" s="6" t="s">
        <v>22</v>
      </c>
      <c r="D6" s="6" t="s">
        <v>22</v>
      </c>
      <c r="E6" s="6" t="s">
        <v>23</v>
      </c>
      <c r="F6" s="7" t="n">
        <f aca="false">6*4</f>
        <v>24</v>
      </c>
      <c r="G6" s="6" t="s">
        <v>24</v>
      </c>
      <c r="H6" s="7" t="n">
        <f aca="false">6*2</f>
        <v>12</v>
      </c>
      <c r="I6" s="7" t="n">
        <f aca="false">3*H6</f>
        <v>36</v>
      </c>
      <c r="J6" s="7" t="n">
        <f aca="false">24*F6+4*I6</f>
        <v>720</v>
      </c>
      <c r="K6" s="7" t="n">
        <f aca="false">72*H6</f>
        <v>864</v>
      </c>
      <c r="L6" s="8" t="n">
        <v>24</v>
      </c>
      <c r="M6" s="8" t="n">
        <v>12</v>
      </c>
      <c r="N6" s="7" t="n">
        <f aca="false">F6-L6</f>
        <v>0</v>
      </c>
      <c r="O6" s="7" t="n">
        <f aca="false">H6-M6</f>
        <v>0</v>
      </c>
      <c r="P6" s="8" t="n">
        <v>24</v>
      </c>
      <c r="Q6" s="7" t="n">
        <f aca="false">M6*P6</f>
        <v>288</v>
      </c>
    </row>
    <row r="7" customFormat="false" ht="15" hidden="false" customHeight="false" outlineLevel="0" collapsed="false">
      <c r="A7" s="4" t="s">
        <v>25</v>
      </c>
      <c r="B7" s="5" t="s">
        <v>26</v>
      </c>
      <c r="C7" s="6" t="s">
        <v>22</v>
      </c>
      <c r="D7" s="6" t="s">
        <v>22</v>
      </c>
      <c r="E7" s="6" t="s">
        <v>23</v>
      </c>
      <c r="F7" s="7" t="n">
        <f aca="false">6*4</f>
        <v>24</v>
      </c>
      <c r="G7" s="6" t="s">
        <v>24</v>
      </c>
      <c r="H7" s="7" t="n">
        <f aca="false">6*2</f>
        <v>12</v>
      </c>
      <c r="I7" s="7" t="n">
        <f aca="false">3*H7</f>
        <v>36</v>
      </c>
      <c r="J7" s="7" t="n">
        <f aca="false">24*F7+4*I7</f>
        <v>720</v>
      </c>
      <c r="K7" s="7" t="n">
        <f aca="false">72*H7</f>
        <v>864</v>
      </c>
      <c r="L7" s="8" t="n">
        <v>24</v>
      </c>
      <c r="M7" s="8" t="n">
        <v>12</v>
      </c>
      <c r="N7" s="7" t="n">
        <f aca="false">F7-L7</f>
        <v>0</v>
      </c>
      <c r="O7" s="7" t="n">
        <f aca="false">H7-M7</f>
        <v>0</v>
      </c>
      <c r="P7" s="8" t="n">
        <v>2453</v>
      </c>
      <c r="Q7" s="7" t="n">
        <f aca="false">M7*P7</f>
        <v>29436</v>
      </c>
    </row>
    <row r="8" customFormat="false" ht="15" hidden="false" customHeight="false" outlineLevel="0" collapsed="false">
      <c r="A8" s="4" t="s">
        <v>27</v>
      </c>
      <c r="B8" s="5" t="s">
        <v>28</v>
      </c>
      <c r="C8" s="9" t="n">
        <v>36</v>
      </c>
      <c r="D8" s="9" t="n">
        <v>18</v>
      </c>
      <c r="E8" s="6" t="s">
        <v>29</v>
      </c>
      <c r="F8" s="7" t="n">
        <f aca="false">(D8-1)*C8+2</f>
        <v>614</v>
      </c>
      <c r="G8" s="6" t="s">
        <v>30</v>
      </c>
      <c r="H8" s="7" t="n">
        <f aca="false">2*C8*(D8-1)</f>
        <v>1224</v>
      </c>
      <c r="I8" s="7" t="n">
        <f aca="false">3*H8</f>
        <v>3672</v>
      </c>
      <c r="J8" s="7" t="n">
        <f aca="false">24*F8+4*I8</f>
        <v>29424</v>
      </c>
      <c r="K8" s="7" t="n">
        <f aca="false">72*H8</f>
        <v>88128</v>
      </c>
      <c r="L8" s="8" t="n">
        <v>614</v>
      </c>
      <c r="M8" s="8" t="n">
        <v>1224</v>
      </c>
      <c r="N8" s="7" t="n">
        <f aca="false">F8-L8</f>
        <v>0</v>
      </c>
      <c r="O8" s="7" t="n">
        <f aca="false">H8-M8</f>
        <v>0</v>
      </c>
      <c r="P8" s="8" t="n">
        <v>810</v>
      </c>
      <c r="Q8" s="7" t="n">
        <f aca="false">M8*P8</f>
        <v>991440</v>
      </c>
    </row>
    <row r="9" customFormat="false" ht="15" hidden="false" customHeight="false" outlineLevel="0" collapsed="false">
      <c r="A9" s="4" t="s">
        <v>31</v>
      </c>
      <c r="B9" s="5" t="s">
        <v>32</v>
      </c>
      <c r="C9" s="9" t="n">
        <v>36</v>
      </c>
      <c r="D9" s="9" t="n">
        <v>9</v>
      </c>
      <c r="E9" s="6" t="s">
        <v>33</v>
      </c>
      <c r="F9" s="7" t="n">
        <f aca="false">C9*(D9+1)+2</f>
        <v>362</v>
      </c>
      <c r="G9" s="6" t="s">
        <v>34</v>
      </c>
      <c r="H9" s="7" t="n">
        <f aca="false">2*C9*D9</f>
        <v>648</v>
      </c>
      <c r="I9" s="7" t="n">
        <f aca="false">3*H9</f>
        <v>1944</v>
      </c>
      <c r="J9" s="7" t="n">
        <f aca="false">24*F9+4*I9</f>
        <v>16464</v>
      </c>
      <c r="K9" s="7" t="n">
        <f aca="false">72*H9</f>
        <v>46656</v>
      </c>
      <c r="L9" s="8" t="n">
        <v>362</v>
      </c>
      <c r="M9" s="8" t="n">
        <v>648</v>
      </c>
      <c r="N9" s="7" t="n">
        <f aca="false">F9-L9</f>
        <v>0</v>
      </c>
      <c r="O9" s="7" t="n">
        <f aca="false">H9-M9</f>
        <v>0</v>
      </c>
      <c r="P9" s="8" t="n">
        <v>10</v>
      </c>
      <c r="Q9" s="7" t="n">
        <f aca="false">M9*P9</f>
        <v>6480</v>
      </c>
    </row>
    <row r="10" customFormat="false" ht="15" hidden="false" customHeight="false" outlineLevel="0" collapsed="false">
      <c r="A10" s="4" t="s">
        <v>35</v>
      </c>
      <c r="B10" s="5" t="s">
        <v>36</v>
      </c>
      <c r="C10" s="9" t="n">
        <v>36</v>
      </c>
      <c r="D10" s="6" t="s">
        <v>22</v>
      </c>
      <c r="E10" s="6" t="s">
        <v>37</v>
      </c>
      <c r="F10" s="7" t="n">
        <f aca="false">4*C10+2</f>
        <v>146</v>
      </c>
      <c r="G10" s="6" t="s">
        <v>38</v>
      </c>
      <c r="H10" s="7" t="n">
        <f aca="false">4*C10</f>
        <v>144</v>
      </c>
      <c r="I10" s="7" t="n">
        <f aca="false">3*H10</f>
        <v>432</v>
      </c>
      <c r="J10" s="7" t="n">
        <f aca="false">24*F10+4*I10</f>
        <v>5232</v>
      </c>
      <c r="K10" s="7" t="n">
        <f aca="false">72*H10</f>
        <v>10368</v>
      </c>
      <c r="L10" s="8" t="n">
        <v>146</v>
      </c>
      <c r="M10" s="8" t="n">
        <v>144</v>
      </c>
      <c r="N10" s="7" t="n">
        <f aca="false">F10-L10</f>
        <v>0</v>
      </c>
      <c r="O10" s="7" t="n">
        <f aca="false">H10-M10</f>
        <v>0</v>
      </c>
      <c r="P10" s="8" t="n">
        <v>1359</v>
      </c>
      <c r="Q10" s="7" t="n">
        <f aca="false">M10*P10</f>
        <v>195696</v>
      </c>
    </row>
    <row r="11" customFormat="false" ht="15" hidden="false" customHeight="false" outlineLevel="0" collapsed="false">
      <c r="A11" s="4" t="s">
        <v>39</v>
      </c>
      <c r="B11" s="5" t="s">
        <v>40</v>
      </c>
      <c r="C11" s="9" t="n">
        <v>36</v>
      </c>
      <c r="D11" s="6" t="s">
        <v>22</v>
      </c>
      <c r="E11" s="6" t="s">
        <v>41</v>
      </c>
      <c r="F11" s="7" t="n">
        <f aca="false">2*C11</f>
        <v>72</v>
      </c>
      <c r="G11" s="6" t="s">
        <v>41</v>
      </c>
      <c r="H11" s="7" t="n">
        <f aca="false">2*C11</f>
        <v>72</v>
      </c>
      <c r="I11" s="7" t="n">
        <f aca="false">3*H11</f>
        <v>216</v>
      </c>
      <c r="J11" s="7" t="n">
        <f aca="false">24*F11+4*I11</f>
        <v>2592</v>
      </c>
      <c r="K11" s="7" t="n">
        <f aca="false">72*H11</f>
        <v>5184</v>
      </c>
      <c r="L11" s="8" t="n">
        <v>72</v>
      </c>
      <c r="M11" s="8" t="n">
        <v>72</v>
      </c>
      <c r="N11" s="7" t="n">
        <f aca="false">F11-L11</f>
        <v>0</v>
      </c>
      <c r="O11" s="7" t="n">
        <f aca="false">H11-M11</f>
        <v>0</v>
      </c>
      <c r="P11" s="8" t="n">
        <v>3</v>
      </c>
      <c r="Q11" s="7" t="n">
        <f aca="false">M11*P11</f>
        <v>216</v>
      </c>
    </row>
    <row r="12" customFormat="false" ht="15" hidden="false" customHeight="false" outlineLevel="0" collapsed="false">
      <c r="A12" s="4" t="s">
        <v>42</v>
      </c>
      <c r="B12" s="5" t="s">
        <v>43</v>
      </c>
      <c r="C12" s="9" t="n">
        <v>36</v>
      </c>
      <c r="D12" s="6" t="s">
        <v>22</v>
      </c>
      <c r="E12" s="6" t="s">
        <v>44</v>
      </c>
      <c r="F12" s="7" t="n">
        <f aca="false">3*C12+1</f>
        <v>109</v>
      </c>
      <c r="G12" s="6" t="s">
        <v>41</v>
      </c>
      <c r="H12" s="7" t="n">
        <f aca="false">2*C12</f>
        <v>72</v>
      </c>
      <c r="I12" s="7" t="n">
        <f aca="false">3*H12</f>
        <v>216</v>
      </c>
      <c r="J12" s="7" t="n">
        <f aca="false">24*F12+4*I12</f>
        <v>3480</v>
      </c>
      <c r="K12" s="7" t="n">
        <f aca="false">72*H12</f>
        <v>5184</v>
      </c>
      <c r="L12" s="8" t="n">
        <v>109</v>
      </c>
      <c r="M12" s="8" t="n">
        <v>72</v>
      </c>
      <c r="N12" s="7" t="n">
        <f aca="false">F12-L12</f>
        <v>0</v>
      </c>
      <c r="O12" s="7" t="n">
        <f aca="false">H12-M12</f>
        <v>0</v>
      </c>
      <c r="P12" s="8" t="n">
        <v>295</v>
      </c>
      <c r="Q12" s="7" t="n">
        <f aca="false">M12*P12</f>
        <v>21240</v>
      </c>
    </row>
    <row r="13" customFormat="false" ht="15" hidden="false" customHeight="false" outlineLevel="0" collapsed="false">
      <c r="A13" s="4" t="s">
        <v>45</v>
      </c>
      <c r="B13" s="5" t="s">
        <v>46</v>
      </c>
      <c r="C13" s="9" t="n">
        <v>36</v>
      </c>
      <c r="D13" s="9" t="n">
        <v>16</v>
      </c>
      <c r="E13" s="6" t="s">
        <v>47</v>
      </c>
      <c r="F13" s="7" t="n">
        <f aca="false">C13*D13</f>
        <v>576</v>
      </c>
      <c r="G13" s="6" t="s">
        <v>48</v>
      </c>
      <c r="H13" s="7" t="n">
        <f aca="false">2*C13*D13</f>
        <v>1152</v>
      </c>
      <c r="I13" s="7" t="n">
        <f aca="false">3*H13</f>
        <v>3456</v>
      </c>
      <c r="J13" s="7" t="n">
        <f aca="false">24*F13+4*I13</f>
        <v>27648</v>
      </c>
      <c r="K13" s="7" t="n">
        <f aca="false">72*H13</f>
        <v>82944</v>
      </c>
      <c r="L13" s="8" t="n">
        <v>576</v>
      </c>
      <c r="M13" s="8" t="n">
        <v>1152</v>
      </c>
      <c r="N13" s="7" t="n">
        <f aca="false">F13-L13</f>
        <v>0</v>
      </c>
      <c r="O13" s="7" t="n">
        <f aca="false">H13-M13</f>
        <v>0</v>
      </c>
      <c r="P13" s="8" t="n">
        <v>97</v>
      </c>
      <c r="Q13" s="7" t="n">
        <f aca="false">M13*P13</f>
        <v>111744</v>
      </c>
    </row>
    <row r="14" customFormat="false" ht="15" hidden="false" customHeight="false" outlineLevel="0" collapsed="false">
      <c r="A14" s="4" t="s">
        <v>49</v>
      </c>
      <c r="B14" s="5" t="s">
        <v>50</v>
      </c>
      <c r="C14" s="6" t="s">
        <v>22</v>
      </c>
      <c r="D14" s="6" t="s">
        <v>22</v>
      </c>
      <c r="E14" s="6" t="s">
        <v>51</v>
      </c>
      <c r="F14" s="7" t="n">
        <f aca="false">3*4+2*3</f>
        <v>18</v>
      </c>
      <c r="G14" s="6" t="s">
        <v>52</v>
      </c>
      <c r="H14" s="7" t="n">
        <f aca="false">3*2+2*1</f>
        <v>8</v>
      </c>
      <c r="I14" s="7" t="n">
        <f aca="false">3*H14</f>
        <v>24</v>
      </c>
      <c r="J14" s="7" t="n">
        <f aca="false">24*F14+4*I14</f>
        <v>528</v>
      </c>
      <c r="K14" s="7" t="n">
        <f aca="false">72*H14</f>
        <v>576</v>
      </c>
      <c r="L14" s="8" t="n">
        <v>18</v>
      </c>
      <c r="M14" s="8" t="n">
        <v>8</v>
      </c>
      <c r="N14" s="7" t="n">
        <f aca="false">F14-L14</f>
        <v>0</v>
      </c>
      <c r="O14" s="7" t="n">
        <f aca="false">H14-M14</f>
        <v>0</v>
      </c>
      <c r="P14" s="8" t="n">
        <v>6</v>
      </c>
      <c r="Q14" s="7" t="n">
        <f aca="false">M14*P14</f>
        <v>48</v>
      </c>
    </row>
    <row r="15" customFormat="false" ht="15" hidden="false" customHeight="false" outlineLevel="0" collapsed="false">
      <c r="A15" s="4" t="s">
        <v>53</v>
      </c>
      <c r="B15" s="5" t="s">
        <v>54</v>
      </c>
      <c r="C15" s="6" t="s">
        <v>22</v>
      </c>
      <c r="D15" s="6" t="s">
        <v>22</v>
      </c>
      <c r="E15" s="6" t="s">
        <v>23</v>
      </c>
      <c r="F15" s="7" t="n">
        <f aca="false">6*4</f>
        <v>24</v>
      </c>
      <c r="G15" s="6" t="s">
        <v>24</v>
      </c>
      <c r="H15" s="7" t="n">
        <f aca="false">6*2</f>
        <v>12</v>
      </c>
      <c r="I15" s="7" t="n">
        <f aca="false">3*H15</f>
        <v>36</v>
      </c>
      <c r="J15" s="7" t="n">
        <f aca="false">24*F15+4*I15</f>
        <v>720</v>
      </c>
      <c r="K15" s="7" t="n">
        <f aca="false">72*H15</f>
        <v>864</v>
      </c>
      <c r="L15" s="8" t="n">
        <v>24</v>
      </c>
      <c r="M15" s="8" t="n">
        <v>12</v>
      </c>
      <c r="N15" s="7" t="n">
        <f aca="false">F15-L15</f>
        <v>0</v>
      </c>
      <c r="O15" s="7" t="n">
        <f aca="false">H15-M15</f>
        <v>0</v>
      </c>
      <c r="P15" s="8" t="n">
        <v>11</v>
      </c>
      <c r="Q15" s="7" t="n">
        <f aca="false">M15*P15</f>
        <v>132</v>
      </c>
    </row>
    <row r="16" customFormat="false" ht="15" hidden="false" customHeight="false" outlineLevel="0" collapsed="false">
      <c r="A16" s="4" t="s">
        <v>55</v>
      </c>
      <c r="B16" s="5" t="s">
        <v>56</v>
      </c>
      <c r="C16" s="6" t="s">
        <v>22</v>
      </c>
      <c r="D16" s="6" t="s">
        <v>22</v>
      </c>
      <c r="E16" s="6" t="s">
        <v>57</v>
      </c>
      <c r="F16" s="7" t="n">
        <f aca="false">4+4*3</f>
        <v>16</v>
      </c>
      <c r="G16" s="6" t="s">
        <v>58</v>
      </c>
      <c r="H16" s="7" t="n">
        <f aca="false">2+4</f>
        <v>6</v>
      </c>
      <c r="I16" s="7" t="n">
        <f aca="false">3*H16</f>
        <v>18</v>
      </c>
      <c r="J16" s="7" t="n">
        <f aca="false">24*F16+4*I16</f>
        <v>456</v>
      </c>
      <c r="K16" s="7" t="n">
        <f aca="false">72*H16</f>
        <v>432</v>
      </c>
      <c r="L16" s="8" t="n">
        <v>16</v>
      </c>
      <c r="M16" s="8" t="n">
        <v>6</v>
      </c>
      <c r="N16" s="7" t="n">
        <f aca="false">F16-L16</f>
        <v>0</v>
      </c>
      <c r="O16" s="7" t="n">
        <f aca="false">H16-M16</f>
        <v>0</v>
      </c>
      <c r="P16" s="8" t="n">
        <v>2</v>
      </c>
      <c r="Q16" s="7" t="n">
        <f aca="false">M16*P16</f>
        <v>12</v>
      </c>
    </row>
    <row r="17" customFormat="false" ht="15" hidden="false" customHeight="false" outlineLevel="0" collapsed="false">
      <c r="A17" s="4" t="s">
        <v>59</v>
      </c>
      <c r="B17" s="5" t="s">
        <v>60</v>
      </c>
      <c r="C17" s="9" t="n">
        <v>16</v>
      </c>
      <c r="D17" s="9" t="n">
        <v>3</v>
      </c>
      <c r="E17" s="6" t="s">
        <v>61</v>
      </c>
      <c r="F17" s="7" t="n">
        <f aca="false">2*D17*C17+2</f>
        <v>98</v>
      </c>
      <c r="G17" s="6" t="s">
        <v>62</v>
      </c>
      <c r="H17" s="7" t="n">
        <f aca="false">4*D17*C17</f>
        <v>192</v>
      </c>
      <c r="I17" s="7" t="n">
        <f aca="false">3*H17</f>
        <v>576</v>
      </c>
      <c r="J17" s="7" t="n">
        <f aca="false">24*F17+4*I17</f>
        <v>4656</v>
      </c>
      <c r="K17" s="7" t="n">
        <f aca="false">72*H17</f>
        <v>13824</v>
      </c>
      <c r="L17" s="8" t="n">
        <v>98</v>
      </c>
      <c r="M17" s="8" t="n">
        <v>192</v>
      </c>
      <c r="N17" s="7" t="n">
        <f aca="false">F17-L17</f>
        <v>0</v>
      </c>
      <c r="O17" s="7" t="n">
        <f aca="false">H17-M17</f>
        <v>0</v>
      </c>
      <c r="P17" s="8" t="n">
        <v>349</v>
      </c>
      <c r="Q17" s="7" t="n">
        <f aca="false">M17*P17</f>
        <v>67008</v>
      </c>
    </row>
    <row r="18" customFormat="false" ht="15" hidden="false" customHeight="false" outlineLevel="0" collapsed="false">
      <c r="A18" s="4" t="s">
        <v>63</v>
      </c>
      <c r="B18" s="5" t="s">
        <v>64</v>
      </c>
      <c r="C18" s="9" t="n">
        <v>48</v>
      </c>
      <c r="D18" s="6" t="s">
        <v>22</v>
      </c>
      <c r="E18" s="6" t="s">
        <v>65</v>
      </c>
      <c r="F18" s="7" t="n">
        <f aca="false">4*C18</f>
        <v>192</v>
      </c>
      <c r="G18" s="6" t="s">
        <v>65</v>
      </c>
      <c r="H18" s="7" t="n">
        <f aca="false">4*C18</f>
        <v>192</v>
      </c>
      <c r="I18" s="7" t="n">
        <f aca="false">3*H18</f>
        <v>576</v>
      </c>
      <c r="J18" s="7" t="n">
        <f aca="false">24*F18+4*I18</f>
        <v>6912</v>
      </c>
      <c r="K18" s="7" t="n">
        <f aca="false">72*H18</f>
        <v>13824</v>
      </c>
      <c r="L18" s="8" t="n">
        <v>192</v>
      </c>
      <c r="M18" s="8" t="n">
        <v>192</v>
      </c>
      <c r="N18" s="7" t="n">
        <f aca="false">F18-L18</f>
        <v>0</v>
      </c>
      <c r="O18" s="7" t="n">
        <f aca="false">H18-M18</f>
        <v>0</v>
      </c>
      <c r="P18" s="8" t="n">
        <v>2</v>
      </c>
      <c r="Q18" s="7" t="n">
        <f aca="false">M18*P18</f>
        <v>384</v>
      </c>
    </row>
    <row r="19" customFormat="false" ht="15" hidden="false" customHeight="false" outlineLevel="0" collapsed="false">
      <c r="A19" s="4" t="s">
        <v>66</v>
      </c>
      <c r="B19" s="5" t="s">
        <v>67</v>
      </c>
      <c r="C19" s="9" t="n">
        <v>120</v>
      </c>
      <c r="D19" s="9" t="n">
        <v>6</v>
      </c>
      <c r="E19" s="6" t="s">
        <v>68</v>
      </c>
      <c r="F19" s="7" t="n">
        <f aca="false">(C19+1)*D19+2*(D19+1)</f>
        <v>740</v>
      </c>
      <c r="G19" s="6" t="s">
        <v>69</v>
      </c>
      <c r="H19" s="7" t="n">
        <f aca="false">2*C19*D19+2*D19</f>
        <v>1452</v>
      </c>
      <c r="I19" s="7" t="n">
        <f aca="false">3*H19</f>
        <v>4356</v>
      </c>
      <c r="J19" s="7" t="n">
        <f aca="false">24*F19+4*I19</f>
        <v>35184</v>
      </c>
      <c r="K19" s="7" t="n">
        <f aca="false">72*H19</f>
        <v>104544</v>
      </c>
      <c r="L19" s="8" t="n">
        <v>740</v>
      </c>
      <c r="M19" s="8" t="n">
        <v>1452</v>
      </c>
      <c r="N19" s="7" t="n">
        <f aca="false">F19-L19</f>
        <v>0</v>
      </c>
      <c r="O19" s="7" t="n">
        <f aca="false">H19-M19</f>
        <v>0</v>
      </c>
      <c r="P19" s="8" t="n">
        <v>52</v>
      </c>
      <c r="Q19" s="7" t="n">
        <f aca="false">M19*P19</f>
        <v>75504</v>
      </c>
    </row>
    <row r="20" customFormat="false" ht="15" hidden="false" customHeight="false" outlineLevel="0" collapsed="false">
      <c r="A20" s="4" t="s">
        <v>70</v>
      </c>
      <c r="B20" s="5" t="s">
        <v>71</v>
      </c>
      <c r="C20" s="6" t="s">
        <v>22</v>
      </c>
      <c r="D20" s="9" t="n">
        <v>3</v>
      </c>
      <c r="E20" s="6" t="s">
        <v>72</v>
      </c>
      <c r="F20" s="7" t="n">
        <f aca="false">2*D20+1</f>
        <v>7</v>
      </c>
      <c r="G20" s="6" t="s">
        <v>73</v>
      </c>
      <c r="H20" s="7" t="n">
        <f aca="false">2*(D20-1)+1</f>
        <v>5</v>
      </c>
      <c r="I20" s="7" t="n">
        <f aca="false">3*H20</f>
        <v>15</v>
      </c>
      <c r="J20" s="7" t="n">
        <f aca="false">24*F20+4*I20</f>
        <v>228</v>
      </c>
      <c r="K20" s="7" t="n">
        <f aca="false">72*H20</f>
        <v>360</v>
      </c>
      <c r="L20" s="8" t="n">
        <v>7</v>
      </c>
      <c r="M20" s="8" t="n">
        <v>5</v>
      </c>
      <c r="N20" s="7" t="n">
        <f aca="false">F20-L20</f>
        <v>0</v>
      </c>
      <c r="O20" s="7" t="n">
        <f aca="false">H20-M20</f>
        <v>0</v>
      </c>
      <c r="P20" s="8" t="n">
        <v>0</v>
      </c>
      <c r="Q20" s="7" t="n">
        <f aca="false">M20*P20</f>
        <v>0</v>
      </c>
    </row>
    <row r="21" customFormat="false" ht="15" hidden="false" customHeight="false" outlineLevel="0" collapsed="false">
      <c r="A21" s="4" t="s">
        <v>74</v>
      </c>
      <c r="B21" s="5" t="s">
        <v>75</v>
      </c>
      <c r="C21" s="9" t="n">
        <v>384</v>
      </c>
      <c r="D21" s="9" t="n">
        <v>130</v>
      </c>
      <c r="E21" s="6" t="s">
        <v>76</v>
      </c>
      <c r="F21" s="7" t="n">
        <f aca="false">1+D21*C21</f>
        <v>49921</v>
      </c>
      <c r="G21" s="6" t="s">
        <v>77</v>
      </c>
      <c r="H21" s="7" t="n">
        <f aca="false">C21*(2*D21-1)-2016</f>
        <v>97440</v>
      </c>
      <c r="I21" s="7" t="n">
        <f aca="false">3*H21</f>
        <v>292320</v>
      </c>
      <c r="J21" s="7" t="n">
        <f aca="false">24*F21+4*I21</f>
        <v>2367384</v>
      </c>
      <c r="K21" s="7" t="n">
        <f aca="false">72*H21</f>
        <v>7015680</v>
      </c>
      <c r="L21" s="8" t="n">
        <v>49921</v>
      </c>
      <c r="M21" s="8" t="n">
        <v>97440</v>
      </c>
      <c r="N21" s="7" t="n">
        <f aca="false">F21-L21</f>
        <v>0</v>
      </c>
      <c r="O21" s="7" t="n">
        <f aca="false">H21-M21</f>
        <v>0</v>
      </c>
      <c r="P21" s="8" t="n">
        <v>1</v>
      </c>
      <c r="Q21" s="7" t="n">
        <f aca="false">M21*P21</f>
        <v>97440</v>
      </c>
    </row>
    <row r="22" customFormat="false" ht="15" hidden="false" customHeight="false" outlineLevel="0" collapsed="false">
      <c r="A22" s="4" t="s">
        <v>78</v>
      </c>
      <c r="P22" s="7" t="n">
        <f aca="false">SUM(P6:P21)</f>
        <v>5474</v>
      </c>
      <c r="Q22" s="7" t="n">
        <f aca="false">SUM(Q6:Q21)</f>
        <v>1597068</v>
      </c>
    </row>
    <row r="23" customFormat="false" ht="15" hidden="false" customHeight="false" outlineLevel="0" collapsed="false">
      <c r="A23" s="2" t="s">
        <v>79</v>
      </c>
    </row>
    <row r="24" customFormat="false" ht="15" hidden="false" customHeight="false" outlineLevel="0" collapsed="false">
      <c r="A24" s="2" t="s">
        <v>80</v>
      </c>
    </row>
    <row r="26" customFormat="false" ht="15" hidden="false" customHeight="false" outlineLevel="0" collapsed="false">
      <c r="A26" s="10" t="s">
        <v>81</v>
      </c>
    </row>
    <row r="27" customFormat="false" ht="15" hidden="false" customHeight="true" outlineLevel="0" collapsed="false">
      <c r="A27" s="3" t="s">
        <v>3</v>
      </c>
      <c r="B27" s="3" t="s">
        <v>82</v>
      </c>
      <c r="C27" s="3"/>
      <c r="D27" s="3"/>
      <c r="E27" s="3"/>
      <c r="F27" s="3"/>
      <c r="G27" s="3"/>
      <c r="H27" s="3"/>
      <c r="I27" s="3"/>
      <c r="J27" s="3" t="s">
        <v>83</v>
      </c>
      <c r="K27" s="3"/>
      <c r="L27" s="3"/>
      <c r="M27" s="3"/>
      <c r="N27" s="3"/>
      <c r="O27" s="3"/>
      <c r="P27" s="3"/>
      <c r="Q27" s="3"/>
    </row>
    <row r="28" customFormat="false" ht="30" hidden="false" customHeight="true" outlineLevel="0" collapsed="false">
      <c r="A28" s="4" t="s">
        <v>20</v>
      </c>
      <c r="B28" s="11" t="s">
        <v>84</v>
      </c>
      <c r="C28" s="11"/>
      <c r="D28" s="11"/>
      <c r="E28" s="11"/>
      <c r="F28" s="11"/>
      <c r="G28" s="11"/>
      <c r="H28" s="11"/>
      <c r="I28" s="11"/>
      <c r="J28" s="11" t="s">
        <v>85</v>
      </c>
      <c r="K28" s="11"/>
      <c r="L28" s="11"/>
      <c r="M28" s="11"/>
      <c r="N28" s="11"/>
      <c r="O28" s="11"/>
      <c r="P28" s="11"/>
      <c r="Q28" s="11"/>
    </row>
    <row r="29" customFormat="false" ht="30" hidden="false" customHeight="true" outlineLevel="0" collapsed="false">
      <c r="A29" s="4" t="s">
        <v>25</v>
      </c>
      <c r="B29" s="11" t="s">
        <v>84</v>
      </c>
      <c r="C29" s="11"/>
      <c r="D29" s="11"/>
      <c r="E29" s="11"/>
      <c r="F29" s="11"/>
      <c r="G29" s="11"/>
      <c r="H29" s="11"/>
      <c r="I29" s="11"/>
      <c r="J29" s="11" t="s">
        <v>86</v>
      </c>
      <c r="K29" s="11"/>
      <c r="L29" s="11"/>
      <c r="M29" s="11"/>
      <c r="N29" s="11"/>
      <c r="O29" s="11"/>
      <c r="P29" s="11"/>
      <c r="Q29" s="11"/>
    </row>
    <row r="30" customFormat="false" ht="30" hidden="false" customHeight="true" outlineLevel="0" collapsed="false">
      <c r="A30" s="4" t="s">
        <v>27</v>
      </c>
      <c r="B30" s="11" t="s">
        <v>87</v>
      </c>
      <c r="C30" s="11"/>
      <c r="D30" s="11"/>
      <c r="E30" s="11"/>
      <c r="F30" s="11"/>
      <c r="G30" s="11"/>
      <c r="H30" s="11"/>
      <c r="I30" s="11"/>
      <c r="J30" s="11" t="s">
        <v>88</v>
      </c>
      <c r="K30" s="11"/>
      <c r="L30" s="11"/>
      <c r="M30" s="11"/>
      <c r="N30" s="11"/>
      <c r="O30" s="11"/>
      <c r="P30" s="11"/>
      <c r="Q30" s="11"/>
    </row>
    <row r="31" customFormat="false" ht="30" hidden="false" customHeight="true" outlineLevel="0" collapsed="false">
      <c r="A31" s="4" t="s">
        <v>31</v>
      </c>
      <c r="B31" s="11" t="s">
        <v>89</v>
      </c>
      <c r="C31" s="11"/>
      <c r="D31" s="11"/>
      <c r="E31" s="11"/>
      <c r="F31" s="11"/>
      <c r="G31" s="11"/>
      <c r="H31" s="11"/>
      <c r="I31" s="11"/>
      <c r="J31" s="11" t="s">
        <v>90</v>
      </c>
      <c r="K31" s="11"/>
      <c r="L31" s="11"/>
      <c r="M31" s="11"/>
      <c r="N31" s="11"/>
      <c r="O31" s="11"/>
      <c r="P31" s="11"/>
      <c r="Q31" s="11"/>
    </row>
    <row r="32" customFormat="false" ht="30" hidden="false" customHeight="true" outlineLevel="0" collapsed="false">
      <c r="A32" s="4" t="s">
        <v>35</v>
      </c>
      <c r="B32" s="11" t="s">
        <v>91</v>
      </c>
      <c r="C32" s="11"/>
      <c r="D32" s="11"/>
      <c r="E32" s="11"/>
      <c r="F32" s="11"/>
      <c r="G32" s="11"/>
      <c r="H32" s="11"/>
      <c r="I32" s="11"/>
      <c r="J32" s="11" t="s">
        <v>92</v>
      </c>
      <c r="K32" s="11"/>
      <c r="L32" s="11"/>
      <c r="M32" s="11"/>
      <c r="N32" s="11"/>
      <c r="O32" s="11"/>
      <c r="P32" s="11"/>
      <c r="Q32" s="11"/>
    </row>
    <row r="33" customFormat="false" ht="30" hidden="false" customHeight="true" outlineLevel="0" collapsed="false">
      <c r="A33" s="4" t="s">
        <v>39</v>
      </c>
      <c r="B33" s="11" t="s">
        <v>93</v>
      </c>
      <c r="C33" s="11"/>
      <c r="D33" s="11"/>
      <c r="E33" s="11"/>
      <c r="F33" s="11"/>
      <c r="G33" s="11"/>
      <c r="H33" s="11"/>
      <c r="I33" s="11"/>
      <c r="J33" s="11" t="s">
        <v>94</v>
      </c>
      <c r="K33" s="11"/>
      <c r="L33" s="11"/>
      <c r="M33" s="11"/>
      <c r="N33" s="11"/>
      <c r="O33" s="11"/>
      <c r="P33" s="11"/>
      <c r="Q33" s="11"/>
    </row>
    <row r="34" customFormat="false" ht="15" hidden="false" customHeight="true" outlineLevel="0" collapsed="false">
      <c r="A34" s="4" t="s">
        <v>42</v>
      </c>
      <c r="B34" s="11" t="s">
        <v>95</v>
      </c>
      <c r="C34" s="11"/>
      <c r="D34" s="11"/>
      <c r="E34" s="11"/>
      <c r="F34" s="11"/>
      <c r="G34" s="11"/>
      <c r="H34" s="11"/>
      <c r="I34" s="11"/>
      <c r="J34" s="11" t="s">
        <v>96</v>
      </c>
      <c r="K34" s="11"/>
      <c r="L34" s="11"/>
      <c r="M34" s="11"/>
      <c r="N34" s="11"/>
      <c r="O34" s="11"/>
      <c r="P34" s="11"/>
      <c r="Q34" s="11"/>
    </row>
    <row r="35" customFormat="false" ht="30" hidden="false" customHeight="true" outlineLevel="0" collapsed="false">
      <c r="A35" s="4" t="s">
        <v>45</v>
      </c>
      <c r="B35" s="11" t="s">
        <v>97</v>
      </c>
      <c r="C35" s="11"/>
      <c r="D35" s="11"/>
      <c r="E35" s="11"/>
      <c r="F35" s="11"/>
      <c r="G35" s="11"/>
      <c r="H35" s="11"/>
      <c r="I35" s="11"/>
      <c r="J35" s="11" t="s">
        <v>98</v>
      </c>
      <c r="K35" s="11"/>
      <c r="L35" s="11"/>
      <c r="M35" s="11"/>
      <c r="N35" s="11"/>
      <c r="O35" s="11"/>
      <c r="P35" s="11"/>
      <c r="Q35" s="11"/>
    </row>
    <row r="36" customFormat="false" ht="30" hidden="false" customHeight="true" outlineLevel="0" collapsed="false">
      <c r="A36" s="4" t="s">
        <v>49</v>
      </c>
      <c r="B36" s="11" t="s">
        <v>99</v>
      </c>
      <c r="C36" s="11"/>
      <c r="D36" s="11"/>
      <c r="E36" s="11"/>
      <c r="F36" s="11"/>
      <c r="G36" s="11"/>
      <c r="H36" s="11"/>
      <c r="I36" s="11"/>
      <c r="J36" s="11" t="s">
        <v>100</v>
      </c>
      <c r="K36" s="11"/>
      <c r="L36" s="11"/>
      <c r="M36" s="11"/>
      <c r="N36" s="11"/>
      <c r="O36" s="11"/>
      <c r="P36" s="11"/>
      <c r="Q36" s="11"/>
    </row>
    <row r="37" customFormat="false" ht="30" hidden="false" customHeight="true" outlineLevel="0" collapsed="false">
      <c r="A37" s="4" t="s">
        <v>53</v>
      </c>
      <c r="B37" s="11" t="s">
        <v>101</v>
      </c>
      <c r="C37" s="11"/>
      <c r="D37" s="11"/>
      <c r="E37" s="11"/>
      <c r="F37" s="11"/>
      <c r="G37" s="11"/>
      <c r="H37" s="11"/>
      <c r="I37" s="11"/>
      <c r="J37" s="11" t="s">
        <v>102</v>
      </c>
      <c r="K37" s="11"/>
      <c r="L37" s="11"/>
      <c r="M37" s="11"/>
      <c r="N37" s="11"/>
      <c r="O37" s="11"/>
      <c r="P37" s="11"/>
      <c r="Q37" s="11"/>
    </row>
    <row r="38" customFormat="false" ht="15" hidden="false" customHeight="true" outlineLevel="0" collapsed="false">
      <c r="A38" s="4" t="s">
        <v>55</v>
      </c>
      <c r="B38" s="11" t="s">
        <v>103</v>
      </c>
      <c r="C38" s="11"/>
      <c r="D38" s="11"/>
      <c r="E38" s="11"/>
      <c r="F38" s="11"/>
      <c r="G38" s="11"/>
      <c r="H38" s="11"/>
      <c r="I38" s="11"/>
      <c r="J38" s="11" t="s">
        <v>104</v>
      </c>
      <c r="K38" s="11"/>
      <c r="L38" s="11"/>
      <c r="M38" s="11"/>
      <c r="N38" s="11"/>
      <c r="O38" s="11"/>
      <c r="P38" s="11"/>
      <c r="Q38" s="11"/>
    </row>
    <row r="39" customFormat="false" ht="30" hidden="false" customHeight="true" outlineLevel="0" collapsed="false">
      <c r="A39" s="4" t="s">
        <v>59</v>
      </c>
      <c r="B39" s="11" t="s">
        <v>105</v>
      </c>
      <c r="C39" s="11"/>
      <c r="D39" s="11"/>
      <c r="E39" s="11"/>
      <c r="F39" s="11"/>
      <c r="G39" s="11"/>
      <c r="H39" s="11"/>
      <c r="I39" s="11"/>
      <c r="J39" s="11" t="s">
        <v>92</v>
      </c>
      <c r="K39" s="11"/>
      <c r="L39" s="11"/>
      <c r="M39" s="11"/>
      <c r="N39" s="11"/>
      <c r="O39" s="11"/>
      <c r="P39" s="11"/>
      <c r="Q39" s="11"/>
    </row>
    <row r="40" customFormat="false" ht="30" hidden="false" customHeight="true" outlineLevel="0" collapsed="false">
      <c r="A40" s="4" t="s">
        <v>63</v>
      </c>
      <c r="B40" s="11" t="s">
        <v>106</v>
      </c>
      <c r="C40" s="11"/>
      <c r="D40" s="11"/>
      <c r="E40" s="11"/>
      <c r="F40" s="11"/>
      <c r="G40" s="11"/>
      <c r="H40" s="11"/>
      <c r="I40" s="11"/>
      <c r="J40" s="11" t="s">
        <v>107</v>
      </c>
      <c r="K40" s="11"/>
      <c r="L40" s="11"/>
      <c r="M40" s="11"/>
      <c r="N40" s="11"/>
      <c r="O40" s="11"/>
      <c r="P40" s="11"/>
      <c r="Q40" s="11"/>
    </row>
    <row r="41" customFormat="false" ht="30" hidden="false" customHeight="true" outlineLevel="0" collapsed="false">
      <c r="A41" s="4" t="s">
        <v>66</v>
      </c>
      <c r="B41" s="11" t="s">
        <v>108</v>
      </c>
      <c r="C41" s="11"/>
      <c r="D41" s="11"/>
      <c r="E41" s="11"/>
      <c r="F41" s="11"/>
      <c r="G41" s="11"/>
      <c r="H41" s="11"/>
      <c r="I41" s="11"/>
      <c r="J41" s="11" t="s">
        <v>92</v>
      </c>
      <c r="K41" s="11"/>
      <c r="L41" s="11"/>
      <c r="M41" s="11"/>
      <c r="N41" s="11"/>
      <c r="O41" s="11"/>
      <c r="P41" s="11"/>
      <c r="Q41" s="11"/>
    </row>
    <row r="42" customFormat="false" ht="30" hidden="false" customHeight="true" outlineLevel="0" collapsed="false">
      <c r="A42" s="4" t="s">
        <v>70</v>
      </c>
      <c r="B42" s="11" t="s">
        <v>109</v>
      </c>
      <c r="C42" s="11"/>
      <c r="D42" s="11"/>
      <c r="E42" s="11"/>
      <c r="F42" s="11"/>
      <c r="G42" s="11"/>
      <c r="H42" s="11"/>
      <c r="I42" s="11"/>
      <c r="J42" s="11" t="s">
        <v>110</v>
      </c>
      <c r="K42" s="11"/>
      <c r="L42" s="11"/>
      <c r="M42" s="11"/>
      <c r="N42" s="11"/>
      <c r="O42" s="11"/>
      <c r="P42" s="11"/>
      <c r="Q42" s="11"/>
    </row>
    <row r="43" customFormat="false" ht="15" hidden="false" customHeight="true" outlineLevel="0" collapsed="false">
      <c r="A43" s="4" t="s">
        <v>74</v>
      </c>
      <c r="B43" s="11" t="s">
        <v>111</v>
      </c>
      <c r="C43" s="11"/>
      <c r="D43" s="11"/>
      <c r="E43" s="11"/>
      <c r="F43" s="11"/>
      <c r="G43" s="11"/>
      <c r="H43" s="11"/>
      <c r="I43" s="11"/>
      <c r="J43" s="11" t="s">
        <v>112</v>
      </c>
      <c r="K43" s="11"/>
      <c r="L43" s="11"/>
      <c r="M43" s="11"/>
      <c r="N43" s="11"/>
      <c r="O43" s="11"/>
      <c r="P43" s="11"/>
      <c r="Q43" s="11"/>
    </row>
  </sheetData>
  <mergeCells count="34">
    <mergeCell ref="B27:I27"/>
    <mergeCell ref="J27:Q27"/>
    <mergeCell ref="B28:I28"/>
    <mergeCell ref="J28:Q28"/>
    <mergeCell ref="B29:I29"/>
    <mergeCell ref="J29:Q29"/>
    <mergeCell ref="B30:I30"/>
    <mergeCell ref="J30:Q30"/>
    <mergeCell ref="B31:I31"/>
    <mergeCell ref="J31:Q31"/>
    <mergeCell ref="B32:I32"/>
    <mergeCell ref="J32:Q32"/>
    <mergeCell ref="B33:I33"/>
    <mergeCell ref="J33:Q33"/>
    <mergeCell ref="B34:I34"/>
    <mergeCell ref="J34:Q34"/>
    <mergeCell ref="B35:I35"/>
    <mergeCell ref="J35:Q35"/>
    <mergeCell ref="B36:I36"/>
    <mergeCell ref="J36:Q36"/>
    <mergeCell ref="B37:I37"/>
    <mergeCell ref="J37:Q37"/>
    <mergeCell ref="B38:I38"/>
    <mergeCell ref="J38:Q38"/>
    <mergeCell ref="B39:I39"/>
    <mergeCell ref="J39:Q39"/>
    <mergeCell ref="B40:I40"/>
    <mergeCell ref="J40:Q40"/>
    <mergeCell ref="B41:I41"/>
    <mergeCell ref="J41:Q41"/>
    <mergeCell ref="B42:I42"/>
    <mergeCell ref="J42:Q42"/>
    <mergeCell ref="B43:I43"/>
    <mergeCell ref="J43:Q4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7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5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1"/>
    <col collapsed="false" customWidth="true" hidden="false" outlineLevel="0" max="3" min="3" style="0" width="15"/>
    <col collapsed="false" customWidth="true" hidden="false" outlineLevel="0" max="4" min="4" style="0" width="28"/>
    <col collapsed="false" customWidth="true" hidden="false" outlineLevel="0" max="13" min="5" style="0" width="8"/>
    <col collapsed="false" customWidth="true" hidden="false" outlineLevel="0" max="14" min="14" style="0" width="17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8"/>
    <col collapsed="false" customWidth="true" hidden="false" outlineLevel="0" max="18" min="18" style="0" width="10"/>
    <col collapsed="false" customWidth="true" hidden="false" outlineLevel="0" max="19" min="19" style="0" width="9"/>
    <col collapsed="false" customWidth="true" hidden="false" outlineLevel="0" max="20" min="20" style="0" width="8"/>
  </cols>
  <sheetData>
    <row r="1" customFormat="false" ht="16.1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114</v>
      </c>
    </row>
    <row r="5" customFormat="false" ht="15" hidden="false" customHeight="false" outlineLevel="0" collapsed="false">
      <c r="A5" s="10" t="s">
        <v>115</v>
      </c>
      <c r="W5" s="10" t="s">
        <v>116</v>
      </c>
    </row>
    <row r="6" customFormat="false" ht="42" hidden="false" customHeight="true" outlineLevel="0" collapsed="false">
      <c r="A6" s="3" t="s">
        <v>117</v>
      </c>
      <c r="B6" s="3" t="s">
        <v>118</v>
      </c>
      <c r="C6" s="3" t="s">
        <v>119</v>
      </c>
      <c r="D6" s="3" t="s">
        <v>120</v>
      </c>
      <c r="E6" s="3" t="s">
        <v>121</v>
      </c>
      <c r="F6" s="3" t="s">
        <v>122</v>
      </c>
      <c r="G6" s="3" t="s">
        <v>123</v>
      </c>
      <c r="H6" s="3" t="s">
        <v>124</v>
      </c>
      <c r="I6" s="3" t="s">
        <v>125</v>
      </c>
      <c r="J6" s="3" t="s">
        <v>126</v>
      </c>
      <c r="K6" s="3" t="s">
        <v>127</v>
      </c>
      <c r="L6" s="3" t="s">
        <v>128</v>
      </c>
      <c r="M6" s="3" t="s">
        <v>129</v>
      </c>
      <c r="N6" s="3" t="s">
        <v>130</v>
      </c>
      <c r="O6" s="3" t="s">
        <v>131</v>
      </c>
      <c r="P6" s="3" t="s">
        <v>132</v>
      </c>
      <c r="Q6" s="3" t="s">
        <v>133</v>
      </c>
      <c r="R6" s="3" t="s">
        <v>134</v>
      </c>
      <c r="S6" s="3" t="s">
        <v>135</v>
      </c>
      <c r="T6" s="3" t="s">
        <v>136</v>
      </c>
      <c r="W6" s="3" t="s">
        <v>3</v>
      </c>
      <c r="X6" s="3" t="s">
        <v>137</v>
      </c>
      <c r="Y6" s="3" t="s">
        <v>138</v>
      </c>
      <c r="Z6" s="3" t="s">
        <v>134</v>
      </c>
      <c r="AA6" s="3" t="s">
        <v>139</v>
      </c>
      <c r="AB6" s="3" t="s">
        <v>140</v>
      </c>
      <c r="AC6" s="3" t="s">
        <v>134</v>
      </c>
    </row>
    <row r="7" customFormat="false" ht="15" hidden="false" customHeight="false" outlineLevel="0" collapsed="false">
      <c r="A7" s="4" t="s">
        <v>141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8" t="n">
        <v>1</v>
      </c>
      <c r="P7" s="7" t="n">
        <f aca="false">SUM(B7:O7)</f>
        <v>1</v>
      </c>
      <c r="Q7" s="8" t="n">
        <v>1</v>
      </c>
      <c r="R7" s="12" t="str">
        <f aca="false">IF(P7=Q7,"OK","DIFF")</f>
        <v>OK</v>
      </c>
      <c r="S7" s="8" t="n">
        <v>1</v>
      </c>
      <c r="T7" s="8" t="n">
        <v>0</v>
      </c>
      <c r="W7" s="4" t="s">
        <v>118</v>
      </c>
      <c r="X7" s="7" t="n">
        <f aca="false">COUNTIFS($C$45:$C$123,W7)</f>
        <v>34</v>
      </c>
      <c r="Y7" s="8" t="n">
        <v>34</v>
      </c>
      <c r="Z7" s="12" t="str">
        <f aca="false">IF(X7=Y7,"OK","DIFF")</f>
        <v>OK</v>
      </c>
      <c r="AA7" s="7" t="n">
        <f aca="false">COUNTIFS($C$128:$C$202,W7)</f>
        <v>16</v>
      </c>
      <c r="AB7" s="8" t="n">
        <v>16</v>
      </c>
      <c r="AC7" s="12" t="str">
        <f aca="false">IF(AA7=AB7,"OK","DIFF")</f>
        <v>OK</v>
      </c>
    </row>
    <row r="8" customFormat="false" ht="15" hidden="false" customHeight="false" outlineLevel="0" collapsed="false">
      <c r="A8" s="4" t="s">
        <v>142</v>
      </c>
      <c r="B8" s="8" t="n">
        <v>4</v>
      </c>
      <c r="C8" s="7"/>
      <c r="D8" s="7"/>
      <c r="E8" s="7"/>
      <c r="F8" s="8" t="n">
        <v>24</v>
      </c>
      <c r="G8" s="7"/>
      <c r="H8" s="7"/>
      <c r="I8" s="8" t="n">
        <v>9</v>
      </c>
      <c r="J8" s="7"/>
      <c r="K8" s="8" t="n">
        <v>86</v>
      </c>
      <c r="L8" s="7"/>
      <c r="M8" s="7"/>
      <c r="N8" s="7"/>
      <c r="O8" s="7"/>
      <c r="P8" s="7" t="n">
        <f aca="false">SUM(B8:O8)</f>
        <v>123</v>
      </c>
      <c r="Q8" s="8" t="n">
        <v>123</v>
      </c>
      <c r="R8" s="12" t="str">
        <f aca="false">IF(P8=Q8,"OK","DIFF")</f>
        <v>OK</v>
      </c>
      <c r="S8" s="8" t="n">
        <v>47</v>
      </c>
      <c r="T8" s="8" t="n">
        <v>3</v>
      </c>
      <c r="W8" s="4" t="s">
        <v>119</v>
      </c>
      <c r="X8" s="7" t="n">
        <f aca="false">COUNTIFS($C$45:$C$123,W8)</f>
        <v>0</v>
      </c>
      <c r="Y8" s="8" t="n">
        <v>0</v>
      </c>
      <c r="Z8" s="12" t="str">
        <f aca="false">IF(X8=Y8,"OK","DIFF")</f>
        <v>OK</v>
      </c>
      <c r="AA8" s="7" t="n">
        <f aca="false">COUNTIFS($C$128:$C$202,W8)</f>
        <v>0</v>
      </c>
      <c r="AB8" s="8" t="n">
        <v>0</v>
      </c>
      <c r="AC8" s="12" t="str">
        <f aca="false">IF(AA8=AB8,"OK","DIFF")</f>
        <v>OK</v>
      </c>
    </row>
    <row r="9" customFormat="false" ht="15" hidden="false" customHeight="false" outlineLevel="0" collapsed="false">
      <c r="A9" s="4" t="s">
        <v>143</v>
      </c>
      <c r="B9" s="8" t="n">
        <v>46</v>
      </c>
      <c r="C9" s="7"/>
      <c r="D9" s="7"/>
      <c r="E9" s="7"/>
      <c r="F9" s="8" t="n">
        <v>201</v>
      </c>
      <c r="G9" s="7"/>
      <c r="H9" s="8" t="n">
        <v>57</v>
      </c>
      <c r="I9" s="8" t="n">
        <v>180</v>
      </c>
      <c r="J9" s="7"/>
      <c r="K9" s="8" t="n">
        <v>168</v>
      </c>
      <c r="L9" s="7"/>
      <c r="M9" s="7"/>
      <c r="N9" s="7"/>
      <c r="O9" s="7"/>
      <c r="P9" s="7" t="n">
        <f aca="false">SUM(B9:O9)</f>
        <v>652</v>
      </c>
      <c r="Q9" s="8" t="n">
        <v>652</v>
      </c>
      <c r="R9" s="12" t="str">
        <f aca="false">IF(P9=Q9,"OK","DIFF")</f>
        <v>OK</v>
      </c>
      <c r="S9" s="8" t="n">
        <v>89</v>
      </c>
      <c r="T9" s="8" t="n">
        <v>2</v>
      </c>
      <c r="W9" s="4" t="s">
        <v>120</v>
      </c>
      <c r="X9" s="7" t="n">
        <f aca="false">COUNTIFS($C$45:$C$123,W9)</f>
        <v>0</v>
      </c>
      <c r="Y9" s="8" t="n">
        <v>0</v>
      </c>
      <c r="Z9" s="12" t="str">
        <f aca="false">IF(X9=Y9,"OK","DIFF")</f>
        <v>OK</v>
      </c>
      <c r="AA9" s="7" t="n">
        <f aca="false">COUNTIFS($C$128:$C$202,W9)</f>
        <v>1</v>
      </c>
      <c r="AB9" s="8" t="n">
        <v>1</v>
      </c>
      <c r="AC9" s="12" t="str">
        <f aca="false">IF(AA9=AB9,"OK","DIFF")</f>
        <v>OK</v>
      </c>
    </row>
    <row r="10" customFormat="false" ht="15" hidden="false" customHeight="false" outlineLevel="0" collapsed="false">
      <c r="A10" s="4" t="s">
        <v>144</v>
      </c>
      <c r="B10" s="8" t="n">
        <v>317</v>
      </c>
      <c r="C10" s="8" t="n">
        <v>1</v>
      </c>
      <c r="D10" s="7"/>
      <c r="E10" s="7"/>
      <c r="F10" s="8" t="n">
        <v>20</v>
      </c>
      <c r="G10" s="8" t="n">
        <v>1</v>
      </c>
      <c r="H10" s="8" t="n">
        <v>9</v>
      </c>
      <c r="I10" s="8" t="n">
        <v>92</v>
      </c>
      <c r="J10" s="7"/>
      <c r="K10" s="7"/>
      <c r="L10" s="7"/>
      <c r="M10" s="7"/>
      <c r="N10" s="7"/>
      <c r="O10" s="7"/>
      <c r="P10" s="7" t="n">
        <f aca="false">SUM(B10:O10)</f>
        <v>440</v>
      </c>
      <c r="Q10" s="8" t="n">
        <v>440</v>
      </c>
      <c r="R10" s="12" t="str">
        <f aca="false">IF(P10=Q10,"OK","DIFF")</f>
        <v>OK</v>
      </c>
      <c r="S10" s="8" t="n">
        <v>18</v>
      </c>
      <c r="T10" s="8" t="n">
        <v>18</v>
      </c>
      <c r="W10" s="4" t="s">
        <v>121</v>
      </c>
      <c r="X10" s="7" t="n">
        <f aca="false">COUNTIFS($C$45:$C$123,W10)</f>
        <v>0</v>
      </c>
      <c r="Y10" s="8" t="n">
        <v>0</v>
      </c>
      <c r="Z10" s="12" t="str">
        <f aca="false">IF(X10=Y10,"OK","DIFF")</f>
        <v>OK</v>
      </c>
      <c r="AA10" s="7" t="n">
        <f aca="false">COUNTIFS($C$128:$C$202,W10)</f>
        <v>0</v>
      </c>
      <c r="AB10" s="8" t="n">
        <v>0</v>
      </c>
      <c r="AC10" s="12" t="str">
        <f aca="false">IF(AA10=AB10,"OK","DIFF")</f>
        <v>OK</v>
      </c>
    </row>
    <row r="11" customFormat="false" ht="15" hidden="false" customHeight="false" outlineLevel="0" collapsed="false">
      <c r="A11" s="4" t="s">
        <v>145</v>
      </c>
      <c r="B11" s="8" t="n">
        <v>68</v>
      </c>
      <c r="C11" s="7"/>
      <c r="D11" s="7"/>
      <c r="E11" s="7"/>
      <c r="F11" s="8" t="n">
        <v>26</v>
      </c>
      <c r="G11" s="7"/>
      <c r="H11" s="7"/>
      <c r="I11" s="8" t="n">
        <v>46</v>
      </c>
      <c r="J11" s="8" t="n">
        <v>2</v>
      </c>
      <c r="K11" s="8" t="n">
        <v>8</v>
      </c>
      <c r="L11" s="8" t="n">
        <v>8</v>
      </c>
      <c r="M11" s="7"/>
      <c r="N11" s="7"/>
      <c r="O11" s="7"/>
      <c r="P11" s="7" t="n">
        <f aca="false">SUM(B11:O11)</f>
        <v>158</v>
      </c>
      <c r="Q11" s="8" t="n">
        <v>158</v>
      </c>
      <c r="R11" s="12" t="str">
        <f aca="false">IF(P11=Q11,"OK","DIFF")</f>
        <v>OK</v>
      </c>
      <c r="S11" s="8" t="n">
        <v>34</v>
      </c>
      <c r="T11" s="8" t="n">
        <v>26</v>
      </c>
      <c r="W11" s="4" t="s">
        <v>122</v>
      </c>
      <c r="X11" s="7" t="n">
        <f aca="false">COUNTIFS($C$45:$C$123,W11)</f>
        <v>13</v>
      </c>
      <c r="Y11" s="8" t="n">
        <v>13</v>
      </c>
      <c r="Z11" s="12" t="str">
        <f aca="false">IF(X11=Y11,"OK","DIFF")</f>
        <v>OK</v>
      </c>
      <c r="AA11" s="7" t="n">
        <f aca="false">COUNTIFS($C$128:$C$202,W11)</f>
        <v>37</v>
      </c>
      <c r="AB11" s="8" t="n">
        <v>37</v>
      </c>
      <c r="AC11" s="12" t="str">
        <f aca="false">IF(AA11=AB11,"OK","DIFF")</f>
        <v>OK</v>
      </c>
    </row>
    <row r="12" customFormat="false" ht="15" hidden="false" customHeight="false" outlineLevel="0" collapsed="false">
      <c r="A12" s="4" t="s">
        <v>146</v>
      </c>
      <c r="B12" s="8" t="n">
        <v>556</v>
      </c>
      <c r="C12" s="7"/>
      <c r="D12" s="7"/>
      <c r="E12" s="8" t="n">
        <v>2</v>
      </c>
      <c r="F12" s="8" t="n">
        <v>41</v>
      </c>
      <c r="G12" s="7"/>
      <c r="H12" s="8" t="n">
        <v>71</v>
      </c>
      <c r="I12" s="8" t="n">
        <v>271</v>
      </c>
      <c r="J12" s="7"/>
      <c r="K12" s="7"/>
      <c r="L12" s="7"/>
      <c r="M12" s="7"/>
      <c r="N12" s="8" t="n">
        <v>52</v>
      </c>
      <c r="O12" s="7"/>
      <c r="P12" s="7" t="n">
        <f aca="false">SUM(B12:O12)</f>
        <v>993</v>
      </c>
      <c r="Q12" s="8" t="n">
        <v>993</v>
      </c>
      <c r="R12" s="12" t="str">
        <f aca="false">IF(P12=Q12,"OK","DIFF")</f>
        <v>OK</v>
      </c>
      <c r="S12" s="8" t="n">
        <v>33</v>
      </c>
      <c r="T12" s="8" t="n">
        <v>0</v>
      </c>
      <c r="W12" s="4" t="s">
        <v>123</v>
      </c>
      <c r="X12" s="7" t="n">
        <f aca="false">COUNTIFS($C$45:$C$123,W12)</f>
        <v>0</v>
      </c>
      <c r="Y12" s="8" t="n">
        <v>0</v>
      </c>
      <c r="Z12" s="12" t="str">
        <f aca="false">IF(X12=Y12,"OK","DIFF")</f>
        <v>OK</v>
      </c>
      <c r="AA12" s="7" t="n">
        <f aca="false">COUNTIFS($C$128:$C$202,W12)</f>
        <v>1</v>
      </c>
      <c r="AB12" s="8" t="n">
        <v>1</v>
      </c>
      <c r="AC12" s="12" t="str">
        <f aca="false">IF(AA12=AB12,"OK","DIFF")</f>
        <v>OK</v>
      </c>
    </row>
    <row r="13" customFormat="false" ht="15" hidden="false" customHeight="false" outlineLevel="0" collapsed="false">
      <c r="A13" s="4" t="s">
        <v>147</v>
      </c>
      <c r="B13" s="8" t="n">
        <v>225</v>
      </c>
      <c r="C13" s="7"/>
      <c r="D13" s="7"/>
      <c r="E13" s="7"/>
      <c r="F13" s="8" t="n">
        <v>2</v>
      </c>
      <c r="G13" s="7"/>
      <c r="H13" s="7"/>
      <c r="I13" s="8" t="n">
        <v>50</v>
      </c>
      <c r="J13" s="7"/>
      <c r="K13" s="7"/>
      <c r="L13" s="7"/>
      <c r="M13" s="7"/>
      <c r="N13" s="7"/>
      <c r="O13" s="7"/>
      <c r="P13" s="7" t="n">
        <f aca="false">SUM(B13:O13)</f>
        <v>277</v>
      </c>
      <c r="Q13" s="8" t="n">
        <v>277</v>
      </c>
      <c r="R13" s="12" t="str">
        <f aca="false">IF(P13=Q13,"OK","DIFF")</f>
        <v>OK</v>
      </c>
      <c r="S13" s="8" t="n">
        <v>5</v>
      </c>
      <c r="T13" s="8" t="n">
        <v>1</v>
      </c>
      <c r="W13" s="4" t="s">
        <v>124</v>
      </c>
      <c r="X13" s="7" t="n">
        <f aca="false">COUNTIFS($C$45:$C$123,W13)</f>
        <v>0</v>
      </c>
      <c r="Y13" s="8" t="n">
        <v>0</v>
      </c>
      <c r="Z13" s="12" t="str">
        <f aca="false">IF(X13=Y13,"OK","DIFF")</f>
        <v>OK</v>
      </c>
      <c r="AA13" s="7" t="n">
        <f aca="false">COUNTIFS($C$128:$C$202,W13)</f>
        <v>0</v>
      </c>
      <c r="AB13" s="8" t="n">
        <v>0</v>
      </c>
      <c r="AC13" s="12" t="str">
        <f aca="false">IF(AA13=AB13,"OK","DIFF")</f>
        <v>OK</v>
      </c>
    </row>
    <row r="14" customFormat="false" ht="15" hidden="false" customHeight="false" outlineLevel="0" collapsed="false">
      <c r="A14" s="4" t="s">
        <v>148</v>
      </c>
      <c r="B14" s="8" t="n">
        <v>4</v>
      </c>
      <c r="C14" s="7"/>
      <c r="D14" s="7"/>
      <c r="E14" s="7"/>
      <c r="F14" s="8" t="n">
        <v>8</v>
      </c>
      <c r="G14" s="7"/>
      <c r="H14" s="7"/>
      <c r="I14" s="8" t="n">
        <v>4</v>
      </c>
      <c r="J14" s="7"/>
      <c r="K14" s="7"/>
      <c r="L14" s="7"/>
      <c r="M14" s="8" t="n">
        <v>2</v>
      </c>
      <c r="N14" s="7"/>
      <c r="O14" s="7"/>
      <c r="P14" s="7" t="n">
        <f aca="false">SUM(B14:O14)</f>
        <v>18</v>
      </c>
      <c r="Q14" s="8" t="n">
        <v>18</v>
      </c>
      <c r="R14" s="12" t="str">
        <f aca="false">IF(P14=Q14,"OK","DIFF")</f>
        <v>OK</v>
      </c>
      <c r="S14" s="8" t="n">
        <v>3</v>
      </c>
      <c r="T14" s="8" t="n">
        <v>0</v>
      </c>
      <c r="W14" s="4" t="s">
        <v>125</v>
      </c>
      <c r="X14" s="7" t="n">
        <f aca="false">COUNTIFS($C$45:$C$123,W14)</f>
        <v>23</v>
      </c>
      <c r="Y14" s="8" t="n">
        <v>23</v>
      </c>
      <c r="Z14" s="12" t="str">
        <f aca="false">IF(X14=Y14,"OK","DIFF")</f>
        <v>OK</v>
      </c>
      <c r="AA14" s="7" t="n">
        <f aca="false">COUNTIFS($C$128:$C$202,W14)</f>
        <v>20</v>
      </c>
      <c r="AB14" s="8" t="n">
        <v>20</v>
      </c>
      <c r="AC14" s="12" t="str">
        <f aca="false">IF(AA14=AB14,"OK","DIFF")</f>
        <v>OK</v>
      </c>
    </row>
    <row r="15" customFormat="false" ht="15" hidden="false" customHeight="false" outlineLevel="0" collapsed="false">
      <c r="A15" s="4" t="s">
        <v>149</v>
      </c>
      <c r="B15" s="8" t="n">
        <v>36</v>
      </c>
      <c r="C15" s="7"/>
      <c r="D15" s="7"/>
      <c r="E15" s="7"/>
      <c r="F15" s="8" t="n">
        <v>72</v>
      </c>
      <c r="G15" s="7"/>
      <c r="H15" s="7"/>
      <c r="I15" s="8" t="n">
        <v>48</v>
      </c>
      <c r="J15" s="7"/>
      <c r="K15" s="7"/>
      <c r="L15" s="7"/>
      <c r="M15" s="7"/>
      <c r="N15" s="7"/>
      <c r="O15" s="7"/>
      <c r="P15" s="7" t="n">
        <f aca="false">SUM(B15:O15)</f>
        <v>156</v>
      </c>
      <c r="Q15" s="8" t="n">
        <v>156</v>
      </c>
      <c r="R15" s="12" t="str">
        <f aca="false">IF(P15=Q15,"OK","DIFF")</f>
        <v>OK</v>
      </c>
      <c r="S15" s="8" t="n">
        <v>12</v>
      </c>
      <c r="T15" s="8" t="n">
        <v>48</v>
      </c>
      <c r="W15" s="4" t="s">
        <v>126</v>
      </c>
      <c r="X15" s="7" t="n">
        <f aca="false">COUNTIFS($C$45:$C$123,W15)</f>
        <v>1</v>
      </c>
      <c r="Y15" s="8" t="n">
        <v>1</v>
      </c>
      <c r="Z15" s="12" t="str">
        <f aca="false">IF(X15=Y15,"OK","DIFF")</f>
        <v>OK</v>
      </c>
      <c r="AA15" s="7" t="n">
        <f aca="false">COUNTIFS($C$128:$C$202,W15)</f>
        <v>0</v>
      </c>
      <c r="AB15" s="8" t="n">
        <v>0</v>
      </c>
      <c r="AC15" s="12" t="str">
        <f aca="false">IF(AA15=AB15,"OK","DIFF")</f>
        <v>OK</v>
      </c>
    </row>
    <row r="16" customFormat="false" ht="15" hidden="false" customHeight="false" outlineLevel="0" collapsed="false">
      <c r="A16" s="4" t="s">
        <v>150</v>
      </c>
      <c r="B16" s="8" t="n">
        <v>168</v>
      </c>
      <c r="C16" s="8" t="n">
        <v>1</v>
      </c>
      <c r="D16" s="8" t="n">
        <v>1</v>
      </c>
      <c r="E16" s="7"/>
      <c r="F16" s="8" t="n">
        <v>5</v>
      </c>
      <c r="G16" s="7"/>
      <c r="H16" s="7"/>
      <c r="I16" s="8" t="n">
        <v>61</v>
      </c>
      <c r="J16" s="7"/>
      <c r="K16" s="7"/>
      <c r="L16" s="8" t="n">
        <v>19</v>
      </c>
      <c r="M16" s="7"/>
      <c r="N16" s="7"/>
      <c r="O16" s="7"/>
      <c r="P16" s="7" t="n">
        <f aca="false">SUM(B16:O16)</f>
        <v>255</v>
      </c>
      <c r="Q16" s="8" t="n">
        <v>255</v>
      </c>
      <c r="R16" s="12" t="str">
        <f aca="false">IF(P16=Q16,"OK","DIFF")</f>
        <v>OK</v>
      </c>
      <c r="S16" s="8" t="n">
        <v>29</v>
      </c>
      <c r="T16" s="8" t="n">
        <v>118</v>
      </c>
      <c r="W16" s="4" t="s">
        <v>127</v>
      </c>
      <c r="X16" s="7" t="n">
        <f aca="false">COUNTIFS($C$45:$C$123,W16)</f>
        <v>4</v>
      </c>
      <c r="Y16" s="8" t="n">
        <v>4</v>
      </c>
      <c r="Z16" s="12" t="str">
        <f aca="false">IF(X16=Y16,"OK","DIFF")</f>
        <v>OK</v>
      </c>
      <c r="AA16" s="7" t="n">
        <f aca="false">COUNTIFS($C$128:$C$202,W16)</f>
        <v>0</v>
      </c>
      <c r="AB16" s="8" t="n">
        <v>0</v>
      </c>
      <c r="AC16" s="12" t="str">
        <f aca="false">IF(AA16=AB16,"OK","DIFF")</f>
        <v>OK</v>
      </c>
    </row>
    <row r="17" customFormat="false" ht="15" hidden="false" customHeight="false" outlineLevel="0" collapsed="false">
      <c r="A17" s="4" t="s">
        <v>151</v>
      </c>
      <c r="B17" s="8" t="n">
        <v>40</v>
      </c>
      <c r="C17" s="7"/>
      <c r="D17" s="7"/>
      <c r="E17" s="7"/>
      <c r="F17" s="8" t="n">
        <v>21</v>
      </c>
      <c r="G17" s="7"/>
      <c r="H17" s="7"/>
      <c r="I17" s="8" t="n">
        <v>28</v>
      </c>
      <c r="J17" s="8" t="n">
        <v>1</v>
      </c>
      <c r="K17" s="8" t="n">
        <v>1</v>
      </c>
      <c r="L17" s="7"/>
      <c r="M17" s="7"/>
      <c r="N17" s="7"/>
      <c r="O17" s="7"/>
      <c r="P17" s="7" t="n">
        <f aca="false">SUM(B17:O17)</f>
        <v>91</v>
      </c>
      <c r="Q17" s="8" t="n">
        <v>91</v>
      </c>
      <c r="R17" s="12" t="str">
        <f aca="false">IF(P17=Q17,"OK","DIFF")</f>
        <v>OK</v>
      </c>
      <c r="S17" s="8" t="n">
        <v>19</v>
      </c>
      <c r="T17" s="8" t="n">
        <v>17</v>
      </c>
      <c r="W17" s="4" t="s">
        <v>128</v>
      </c>
      <c r="X17" s="7" t="n">
        <f aca="false">COUNTIFS($C$45:$C$123,W17)</f>
        <v>4</v>
      </c>
      <c r="Y17" s="8" t="n">
        <v>4</v>
      </c>
      <c r="Z17" s="12" t="str">
        <f aca="false">IF(X17=Y17,"OK","DIFF")</f>
        <v>OK</v>
      </c>
      <c r="AA17" s="7" t="n">
        <f aca="false">COUNTIFS($C$128:$C$202,W17)</f>
        <v>0</v>
      </c>
      <c r="AB17" s="8" t="n">
        <v>0</v>
      </c>
      <c r="AC17" s="12" t="str">
        <f aca="false">IF(AA17=AB17,"OK","DIFF")</f>
        <v>OK</v>
      </c>
    </row>
    <row r="18" customFormat="false" ht="15" hidden="false" customHeight="false" outlineLevel="0" collapsed="false">
      <c r="A18" s="4" t="s">
        <v>152</v>
      </c>
      <c r="B18" s="8" t="n">
        <v>19</v>
      </c>
      <c r="C18" s="7"/>
      <c r="D18" s="7"/>
      <c r="E18" s="7"/>
      <c r="F18" s="8" t="n">
        <v>4</v>
      </c>
      <c r="G18" s="8" t="n">
        <v>1</v>
      </c>
      <c r="H18" s="7"/>
      <c r="I18" s="8" t="n">
        <v>54</v>
      </c>
      <c r="J18" s="7"/>
      <c r="K18" s="7"/>
      <c r="L18" s="7"/>
      <c r="M18" s="7"/>
      <c r="N18" s="7"/>
      <c r="O18" s="7"/>
      <c r="P18" s="7" t="n">
        <f aca="false">SUM(B18:O18)</f>
        <v>78</v>
      </c>
      <c r="Q18" s="8" t="n">
        <v>78</v>
      </c>
      <c r="R18" s="12" t="str">
        <f aca="false">IF(P18=Q18,"OK","DIFF")</f>
        <v>OK</v>
      </c>
      <c r="S18" s="8" t="n">
        <v>5</v>
      </c>
      <c r="T18" s="8" t="n">
        <v>26</v>
      </c>
      <c r="W18" s="4" t="s">
        <v>129</v>
      </c>
      <c r="X18" s="7" t="n">
        <f aca="false">COUNTIFS($C$45:$C$123,W18)</f>
        <v>0</v>
      </c>
      <c r="Y18" s="8" t="n">
        <v>0</v>
      </c>
      <c r="Z18" s="12" t="str">
        <f aca="false">IF(X18=Y18,"OK","DIFF")</f>
        <v>OK</v>
      </c>
      <c r="AA18" s="7" t="n">
        <f aca="false">COUNTIFS($C$128:$C$202,W18)</f>
        <v>0</v>
      </c>
      <c r="AB18" s="8" t="n">
        <v>0</v>
      </c>
      <c r="AC18" s="12" t="str">
        <f aca="false">IF(AA18=AB18,"OK","DIFF")</f>
        <v>OK</v>
      </c>
    </row>
    <row r="19" customFormat="false" ht="15" hidden="false" customHeight="false" outlineLevel="0" collapsed="false">
      <c r="A19" s="4" t="s">
        <v>153</v>
      </c>
      <c r="B19" s="8" t="n">
        <v>62</v>
      </c>
      <c r="C19" s="7"/>
      <c r="D19" s="7"/>
      <c r="E19" s="7"/>
      <c r="F19" s="8" t="n">
        <v>3</v>
      </c>
      <c r="G19" s="7"/>
      <c r="H19" s="7"/>
      <c r="I19" s="8" t="n">
        <v>42</v>
      </c>
      <c r="J19" s="7"/>
      <c r="K19" s="8" t="n">
        <v>1</v>
      </c>
      <c r="L19" s="7"/>
      <c r="M19" s="7"/>
      <c r="N19" s="7"/>
      <c r="O19" s="7"/>
      <c r="P19" s="7" t="n">
        <f aca="false">SUM(B19:O19)</f>
        <v>108</v>
      </c>
      <c r="Q19" s="8" t="n">
        <v>108</v>
      </c>
      <c r="R19" s="12" t="str">
        <f aca="false">IF(P19=Q19,"OK","DIFF")</f>
        <v>OK</v>
      </c>
      <c r="S19" s="8" t="n">
        <v>4</v>
      </c>
      <c r="T19" s="8" t="n">
        <v>4</v>
      </c>
      <c r="W19" s="4" t="s">
        <v>130</v>
      </c>
      <c r="X19" s="7" t="n">
        <f aca="false">COUNTIFS($C$45:$C$123,W19)</f>
        <v>0</v>
      </c>
      <c r="Y19" s="8" t="n">
        <v>0</v>
      </c>
      <c r="Z19" s="12" t="str">
        <f aca="false">IF(X19=Y19,"OK","DIFF")</f>
        <v>OK</v>
      </c>
      <c r="AA19" s="7" t="n">
        <f aca="false">COUNTIFS($C$128:$C$202,W19)</f>
        <v>0</v>
      </c>
      <c r="AB19" s="8" t="n">
        <v>0</v>
      </c>
      <c r="AC19" s="12" t="str">
        <f aca="false">IF(AA19=AB19,"OK","DIFF")</f>
        <v>OK</v>
      </c>
    </row>
    <row r="20" customFormat="false" ht="15" hidden="false" customHeight="false" outlineLevel="0" collapsed="false">
      <c r="A20" s="4" t="s">
        <v>154</v>
      </c>
      <c r="B20" s="8" t="n">
        <v>74</v>
      </c>
      <c r="C20" s="7"/>
      <c r="D20" s="7"/>
      <c r="E20" s="7"/>
      <c r="F20" s="8" t="n">
        <v>5</v>
      </c>
      <c r="G20" s="7"/>
      <c r="H20" s="7"/>
      <c r="I20" s="8" t="n">
        <v>24</v>
      </c>
      <c r="J20" s="7"/>
      <c r="K20" s="8" t="n">
        <v>1</v>
      </c>
      <c r="L20" s="8" t="n">
        <v>8</v>
      </c>
      <c r="M20" s="7"/>
      <c r="N20" s="7"/>
      <c r="O20" s="7"/>
      <c r="P20" s="7" t="n">
        <f aca="false">SUM(B20:O20)</f>
        <v>112</v>
      </c>
      <c r="Q20" s="8" t="n">
        <v>112</v>
      </c>
      <c r="R20" s="12" t="str">
        <f aca="false">IF(P20=Q20,"OK","DIFF")</f>
        <v>OK</v>
      </c>
      <c r="S20" s="8" t="n">
        <v>9</v>
      </c>
      <c r="T20" s="8" t="n">
        <v>10</v>
      </c>
      <c r="W20" s="4" t="s">
        <v>155</v>
      </c>
      <c r="X20" s="7" t="n">
        <f aca="false">SUM(X7:X19)</f>
        <v>79</v>
      </c>
      <c r="Y20" s="7" t="n">
        <f aca="false">SUM(Y7:Y19)</f>
        <v>79</v>
      </c>
      <c r="Z20" s="12" t="str">
        <f aca="false">IF(X20=Y20,"OK","DIFF")</f>
        <v>OK</v>
      </c>
      <c r="AA20" s="7" t="n">
        <f aca="false">SUM(AA7:AA19)</f>
        <v>75</v>
      </c>
      <c r="AB20" s="7" t="n">
        <f aca="false">SUM(AB7:AB19)</f>
        <v>75</v>
      </c>
      <c r="AC20" s="12" t="str">
        <f aca="false">IF(AA20=AB20,"OK","DIFF")</f>
        <v>OK</v>
      </c>
    </row>
    <row r="21" customFormat="false" ht="15" hidden="false" customHeight="false" outlineLevel="0" collapsed="false">
      <c r="A21" s="4" t="s">
        <v>156</v>
      </c>
      <c r="B21" s="8" t="n">
        <v>45</v>
      </c>
      <c r="C21" s="7"/>
      <c r="D21" s="7"/>
      <c r="E21" s="7"/>
      <c r="F21" s="8" t="n">
        <v>9</v>
      </c>
      <c r="G21" s="7"/>
      <c r="H21" s="7"/>
      <c r="I21" s="8" t="n">
        <v>52</v>
      </c>
      <c r="J21" s="7"/>
      <c r="K21" s="8" t="n">
        <v>6</v>
      </c>
      <c r="L21" s="8" t="n">
        <v>24</v>
      </c>
      <c r="M21" s="7"/>
      <c r="N21" s="7"/>
      <c r="O21" s="7"/>
      <c r="P21" s="7" t="n">
        <f aca="false">SUM(B21:O21)</f>
        <v>136</v>
      </c>
      <c r="Q21" s="8" t="n">
        <v>136</v>
      </c>
      <c r="R21" s="12" t="str">
        <f aca="false">IF(P21=Q21,"OK","DIFF")</f>
        <v>OK</v>
      </c>
      <c r="S21" s="8" t="n">
        <v>22</v>
      </c>
      <c r="T21" s="8" t="n">
        <v>28</v>
      </c>
    </row>
    <row r="22" customFormat="false" ht="15" hidden="false" customHeight="false" outlineLevel="0" collapsed="false">
      <c r="A22" s="4" t="s">
        <v>157</v>
      </c>
      <c r="B22" s="8" t="n">
        <v>168</v>
      </c>
      <c r="C22" s="8" t="n">
        <v>1</v>
      </c>
      <c r="D22" s="8" t="n">
        <v>1</v>
      </c>
      <c r="E22" s="7"/>
      <c r="F22" s="8" t="n">
        <v>5</v>
      </c>
      <c r="G22" s="7"/>
      <c r="H22" s="7"/>
      <c r="I22" s="8" t="n">
        <v>61</v>
      </c>
      <c r="J22" s="7"/>
      <c r="K22" s="7"/>
      <c r="L22" s="8" t="n">
        <v>19</v>
      </c>
      <c r="M22" s="7"/>
      <c r="N22" s="7"/>
      <c r="O22" s="7"/>
      <c r="P22" s="7" t="n">
        <f aca="false">SUM(B22:O22)</f>
        <v>255</v>
      </c>
      <c r="Q22" s="8" t="n">
        <v>255</v>
      </c>
      <c r="R22" s="12" t="str">
        <f aca="false">IF(P22=Q22,"OK","DIFF")</f>
        <v>OK</v>
      </c>
      <c r="S22" s="8" t="n">
        <v>29</v>
      </c>
      <c r="T22" s="8" t="n">
        <v>118</v>
      </c>
      <c r="W22" s="2" t="s">
        <v>158</v>
      </c>
    </row>
    <row r="23" customFormat="false" ht="15" hidden="false" customHeight="false" outlineLevel="0" collapsed="false">
      <c r="A23" s="4" t="s">
        <v>159</v>
      </c>
      <c r="B23" s="8" t="n">
        <v>168</v>
      </c>
      <c r="C23" s="8" t="n">
        <v>1</v>
      </c>
      <c r="D23" s="8" t="n">
        <v>1</v>
      </c>
      <c r="E23" s="7"/>
      <c r="F23" s="8" t="n">
        <v>5</v>
      </c>
      <c r="G23" s="7"/>
      <c r="H23" s="7"/>
      <c r="I23" s="8" t="n">
        <v>61</v>
      </c>
      <c r="J23" s="7"/>
      <c r="K23" s="7"/>
      <c r="L23" s="8" t="n">
        <v>19</v>
      </c>
      <c r="M23" s="7"/>
      <c r="N23" s="7"/>
      <c r="O23" s="7"/>
      <c r="P23" s="7" t="n">
        <f aca="false">SUM(B23:O23)</f>
        <v>255</v>
      </c>
      <c r="Q23" s="8" t="n">
        <v>255</v>
      </c>
      <c r="R23" s="12" t="str">
        <f aca="false">IF(P23=Q23,"OK","DIFF")</f>
        <v>OK</v>
      </c>
      <c r="S23" s="8" t="n">
        <v>29</v>
      </c>
      <c r="T23" s="8" t="n">
        <v>118</v>
      </c>
      <c r="W23" s="2" t="s">
        <v>160</v>
      </c>
    </row>
    <row r="24" customFormat="false" ht="15" hidden="false" customHeight="false" outlineLevel="0" collapsed="false">
      <c r="A24" s="4" t="s">
        <v>161</v>
      </c>
      <c r="B24" s="8" t="n">
        <v>17</v>
      </c>
      <c r="C24" s="8" t="n">
        <v>2</v>
      </c>
      <c r="D24" s="7"/>
      <c r="E24" s="7"/>
      <c r="F24" s="8" t="n">
        <v>10</v>
      </c>
      <c r="G24" s="7"/>
      <c r="H24" s="8" t="n">
        <v>8</v>
      </c>
      <c r="I24" s="8" t="n">
        <v>6</v>
      </c>
      <c r="J24" s="7"/>
      <c r="K24" s="7"/>
      <c r="L24" s="7"/>
      <c r="M24" s="7"/>
      <c r="N24" s="7"/>
      <c r="O24" s="7"/>
      <c r="P24" s="7" t="n">
        <f aca="false">SUM(B24:O24)</f>
        <v>43</v>
      </c>
      <c r="Q24" s="8" t="n">
        <v>43</v>
      </c>
      <c r="R24" s="12" t="str">
        <f aca="false">IF(P24=Q24,"OK","DIFF")</f>
        <v>OK</v>
      </c>
      <c r="S24" s="8" t="n">
        <v>2</v>
      </c>
      <c r="T24" s="8" t="n">
        <v>0</v>
      </c>
    </row>
    <row r="25" customFormat="false" ht="15" hidden="false" customHeight="false" outlineLevel="0" collapsed="false">
      <c r="A25" s="4" t="s">
        <v>162</v>
      </c>
      <c r="B25" s="8" t="n">
        <v>274</v>
      </c>
      <c r="C25" s="7"/>
      <c r="D25" s="7"/>
      <c r="E25" s="7"/>
      <c r="F25" s="8" t="n">
        <v>48</v>
      </c>
      <c r="G25" s="7"/>
      <c r="H25" s="8" t="n">
        <v>204</v>
      </c>
      <c r="I25" s="8" t="n">
        <v>90</v>
      </c>
      <c r="J25" s="7"/>
      <c r="K25" s="8" t="n">
        <v>24</v>
      </c>
      <c r="L25" s="7"/>
      <c r="M25" s="7"/>
      <c r="N25" s="7"/>
      <c r="O25" s="7"/>
      <c r="P25" s="7" t="n">
        <f aca="false">SUM(B25:O25)</f>
        <v>640</v>
      </c>
      <c r="Q25" s="8" t="n">
        <v>640</v>
      </c>
      <c r="R25" s="12" t="str">
        <f aca="false">IF(P25=Q25,"OK","DIFF")</f>
        <v>OK</v>
      </c>
      <c r="S25" s="8" t="n">
        <v>21</v>
      </c>
      <c r="T25" s="8" t="n">
        <v>0</v>
      </c>
    </row>
    <row r="26" customFormat="false" ht="15" hidden="false" customHeight="false" outlineLevel="0" collapsed="false">
      <c r="A26" s="4" t="s">
        <v>163</v>
      </c>
      <c r="B26" s="8" t="n">
        <v>17</v>
      </c>
      <c r="C26" s="7"/>
      <c r="D26" s="7"/>
      <c r="E26" s="7"/>
      <c r="F26" s="8" t="n">
        <v>2</v>
      </c>
      <c r="G26" s="7"/>
      <c r="H26" s="7"/>
      <c r="I26" s="8" t="n">
        <v>1</v>
      </c>
      <c r="J26" s="7"/>
      <c r="K26" s="7"/>
      <c r="L26" s="7"/>
      <c r="M26" s="7"/>
      <c r="N26" s="7"/>
      <c r="O26" s="7"/>
      <c r="P26" s="7" t="n">
        <f aca="false">SUM(B26:O26)</f>
        <v>20</v>
      </c>
      <c r="Q26" s="8" t="n">
        <v>20</v>
      </c>
      <c r="R26" s="12" t="str">
        <f aca="false">IF(P26=Q26,"OK","DIFF")</f>
        <v>OK</v>
      </c>
      <c r="S26" s="8" t="n">
        <v>2</v>
      </c>
      <c r="T26" s="8" t="n">
        <v>2</v>
      </c>
    </row>
    <row r="27" customFormat="false" ht="15" hidden="false" customHeight="false" outlineLevel="0" collapsed="false">
      <c r="A27" s="4" t="s">
        <v>164</v>
      </c>
      <c r="B27" s="8" t="n">
        <v>1</v>
      </c>
      <c r="C27" s="7"/>
      <c r="D27" s="7"/>
      <c r="E27" s="7"/>
      <c r="F27" s="7"/>
      <c r="G27" s="7"/>
      <c r="H27" s="7"/>
      <c r="I27" s="8" t="n">
        <v>14</v>
      </c>
      <c r="J27" s="7"/>
      <c r="K27" s="7"/>
      <c r="L27" s="7"/>
      <c r="M27" s="7"/>
      <c r="N27" s="7"/>
      <c r="O27" s="7"/>
      <c r="P27" s="7" t="n">
        <f aca="false">SUM(B27:O27)</f>
        <v>15</v>
      </c>
      <c r="Q27" s="8" t="n">
        <v>15</v>
      </c>
      <c r="R27" s="12" t="str">
        <f aca="false">IF(P27=Q27,"OK","DIFF")</f>
        <v>OK</v>
      </c>
      <c r="S27" s="8" t="n">
        <v>7</v>
      </c>
      <c r="T27" s="8" t="n">
        <v>6</v>
      </c>
    </row>
    <row r="28" customFormat="false" ht="15" hidden="false" customHeight="false" outlineLevel="0" collapsed="false">
      <c r="A28" s="4" t="s">
        <v>165</v>
      </c>
      <c r="B28" s="8" t="n">
        <v>40</v>
      </c>
      <c r="C28" s="7"/>
      <c r="D28" s="7"/>
      <c r="E28" s="7"/>
      <c r="F28" s="8" t="n">
        <v>2</v>
      </c>
      <c r="G28" s="7"/>
      <c r="H28" s="7"/>
      <c r="I28" s="8" t="n">
        <v>5</v>
      </c>
      <c r="J28" s="7"/>
      <c r="K28" s="7"/>
      <c r="L28" s="7"/>
      <c r="M28" s="7"/>
      <c r="N28" s="7"/>
      <c r="O28" s="7"/>
      <c r="P28" s="7" t="n">
        <f aca="false">SUM(B28:O28)</f>
        <v>47</v>
      </c>
      <c r="Q28" s="8" t="n">
        <v>47</v>
      </c>
      <c r="R28" s="12" t="str">
        <f aca="false">IF(P28=Q28,"OK","DIFF")</f>
        <v>OK</v>
      </c>
      <c r="S28" s="8" t="n">
        <v>14</v>
      </c>
      <c r="T28" s="8" t="n">
        <v>13</v>
      </c>
    </row>
    <row r="29" customFormat="false" ht="15" hidden="false" customHeight="false" outlineLevel="0" collapsed="false">
      <c r="A29" s="4" t="s">
        <v>166</v>
      </c>
      <c r="B29" s="8" t="n">
        <v>16</v>
      </c>
      <c r="C29" s="7"/>
      <c r="D29" s="8" t="n">
        <v>1</v>
      </c>
      <c r="E29" s="7"/>
      <c r="F29" s="8" t="n">
        <v>37</v>
      </c>
      <c r="G29" s="8" t="n">
        <v>1</v>
      </c>
      <c r="H29" s="7"/>
      <c r="I29" s="8" t="n">
        <v>20</v>
      </c>
      <c r="J29" s="7"/>
      <c r="K29" s="7"/>
      <c r="L29" s="7"/>
      <c r="M29" s="7"/>
      <c r="N29" s="7"/>
      <c r="O29" s="7"/>
      <c r="P29" s="7" t="n">
        <f aca="false">SUM(B29:O29)</f>
        <v>75</v>
      </c>
      <c r="Q29" s="8" t="n">
        <v>75</v>
      </c>
      <c r="R29" s="12" t="str">
        <f aca="false">IF(P29=Q29,"OK","DIFF")</f>
        <v>OK</v>
      </c>
      <c r="S29" s="8" t="n">
        <v>20</v>
      </c>
      <c r="T29" s="8" t="n">
        <v>15</v>
      </c>
    </row>
    <row r="30" customFormat="false" ht="15" hidden="false" customHeight="false" outlineLevel="0" collapsed="false">
      <c r="A30" s="4" t="s">
        <v>167</v>
      </c>
      <c r="B30" s="8" t="n">
        <v>16</v>
      </c>
      <c r="C30" s="7"/>
      <c r="D30" s="8" t="n">
        <v>1</v>
      </c>
      <c r="E30" s="7"/>
      <c r="F30" s="8" t="n">
        <v>37</v>
      </c>
      <c r="G30" s="8" t="n">
        <v>1</v>
      </c>
      <c r="H30" s="7"/>
      <c r="I30" s="8" t="n">
        <v>20</v>
      </c>
      <c r="J30" s="7"/>
      <c r="K30" s="7"/>
      <c r="L30" s="7"/>
      <c r="M30" s="7"/>
      <c r="N30" s="7"/>
      <c r="O30" s="7"/>
      <c r="P30" s="7" t="n">
        <f aca="false">SUM(B30:O30)</f>
        <v>75</v>
      </c>
      <c r="Q30" s="8" t="n">
        <v>75</v>
      </c>
      <c r="R30" s="12" t="str">
        <f aca="false">IF(P30=Q30,"OK","DIFF")</f>
        <v>OK</v>
      </c>
      <c r="S30" s="8" t="n">
        <v>20</v>
      </c>
      <c r="T30" s="8" t="n">
        <v>15</v>
      </c>
    </row>
    <row r="31" customFormat="false" ht="15" hidden="false" customHeight="false" outlineLevel="0" collapsed="false">
      <c r="A31" s="4" t="s">
        <v>168</v>
      </c>
      <c r="B31" s="8" t="n">
        <v>16</v>
      </c>
      <c r="C31" s="7"/>
      <c r="D31" s="8" t="n">
        <v>1</v>
      </c>
      <c r="E31" s="7"/>
      <c r="F31" s="8" t="n">
        <v>37</v>
      </c>
      <c r="G31" s="8" t="n">
        <v>1</v>
      </c>
      <c r="H31" s="7"/>
      <c r="I31" s="8" t="n">
        <v>20</v>
      </c>
      <c r="J31" s="7"/>
      <c r="K31" s="7"/>
      <c r="L31" s="7"/>
      <c r="M31" s="7"/>
      <c r="N31" s="7"/>
      <c r="O31" s="7"/>
      <c r="P31" s="7" t="n">
        <f aca="false">SUM(B31:O31)</f>
        <v>75</v>
      </c>
      <c r="Q31" s="8" t="n">
        <v>75</v>
      </c>
      <c r="R31" s="12" t="str">
        <f aca="false">IF(P31=Q31,"OK","DIFF")</f>
        <v>OK</v>
      </c>
      <c r="S31" s="8" t="n">
        <v>20</v>
      </c>
      <c r="T31" s="8" t="n">
        <v>15</v>
      </c>
    </row>
    <row r="32" customFormat="false" ht="15" hidden="false" customHeight="false" outlineLevel="0" collapsed="false">
      <c r="A32" s="4" t="s">
        <v>169</v>
      </c>
      <c r="B32" s="8" t="n">
        <v>16</v>
      </c>
      <c r="C32" s="7"/>
      <c r="D32" s="8" t="n">
        <v>1</v>
      </c>
      <c r="E32" s="7"/>
      <c r="F32" s="8" t="n">
        <v>37</v>
      </c>
      <c r="G32" s="8" t="n">
        <v>1</v>
      </c>
      <c r="H32" s="7"/>
      <c r="I32" s="8" t="n">
        <v>20</v>
      </c>
      <c r="J32" s="7"/>
      <c r="K32" s="7"/>
      <c r="L32" s="7"/>
      <c r="M32" s="7"/>
      <c r="N32" s="7"/>
      <c r="O32" s="7"/>
      <c r="P32" s="7" t="n">
        <f aca="false">SUM(B32:O32)</f>
        <v>75</v>
      </c>
      <c r="Q32" s="8" t="n">
        <v>75</v>
      </c>
      <c r="R32" s="12" t="str">
        <f aca="false">IF(P32=Q32,"OK","DIFF")</f>
        <v>OK</v>
      </c>
      <c r="S32" s="8" t="n">
        <v>20</v>
      </c>
      <c r="T32" s="8" t="n">
        <v>15</v>
      </c>
    </row>
    <row r="33" customFormat="false" ht="15" hidden="false" customHeight="false" outlineLevel="0" collapsed="false">
      <c r="A33" s="4" t="s">
        <v>170</v>
      </c>
      <c r="B33" s="8" t="n">
        <v>16</v>
      </c>
      <c r="C33" s="7"/>
      <c r="D33" s="8" t="n">
        <v>1</v>
      </c>
      <c r="E33" s="7"/>
      <c r="F33" s="8" t="n">
        <v>37</v>
      </c>
      <c r="G33" s="8" t="n">
        <v>1</v>
      </c>
      <c r="H33" s="7"/>
      <c r="I33" s="8" t="n">
        <v>20</v>
      </c>
      <c r="J33" s="7"/>
      <c r="K33" s="7"/>
      <c r="L33" s="7"/>
      <c r="M33" s="7"/>
      <c r="N33" s="7"/>
      <c r="O33" s="7"/>
      <c r="P33" s="7" t="n">
        <f aca="false">SUM(B33:O33)</f>
        <v>75</v>
      </c>
      <c r="Q33" s="8" t="n">
        <v>75</v>
      </c>
      <c r="R33" s="12" t="str">
        <f aca="false">IF(P33=Q33,"OK","DIFF")</f>
        <v>OK</v>
      </c>
      <c r="S33" s="8" t="n">
        <v>20</v>
      </c>
      <c r="T33" s="8" t="n">
        <v>15</v>
      </c>
    </row>
    <row r="34" customFormat="false" ht="15" hidden="false" customHeight="false" outlineLevel="0" collapsed="false">
      <c r="A34" s="4" t="s">
        <v>171</v>
      </c>
      <c r="B34" s="8" t="n">
        <v>16</v>
      </c>
      <c r="C34" s="7"/>
      <c r="D34" s="8" t="n">
        <v>1</v>
      </c>
      <c r="E34" s="7"/>
      <c r="F34" s="8" t="n">
        <v>37</v>
      </c>
      <c r="G34" s="8" t="n">
        <v>1</v>
      </c>
      <c r="H34" s="7"/>
      <c r="I34" s="8" t="n">
        <v>20</v>
      </c>
      <c r="J34" s="7"/>
      <c r="K34" s="7"/>
      <c r="L34" s="7"/>
      <c r="M34" s="7"/>
      <c r="N34" s="7"/>
      <c r="O34" s="7"/>
      <c r="P34" s="7" t="n">
        <f aca="false">SUM(B34:O34)</f>
        <v>75</v>
      </c>
      <c r="Q34" s="8" t="n">
        <v>75</v>
      </c>
      <c r="R34" s="12" t="str">
        <f aca="false">IF(P34=Q34,"OK","DIFF")</f>
        <v>OK</v>
      </c>
      <c r="S34" s="8" t="n">
        <v>20</v>
      </c>
      <c r="T34" s="8" t="n">
        <v>15</v>
      </c>
    </row>
    <row r="35" customFormat="false" ht="15" hidden="false" customHeight="false" outlineLevel="0" collapsed="false">
      <c r="A35" s="4" t="s">
        <v>172</v>
      </c>
      <c r="B35" s="8" t="n">
        <v>16</v>
      </c>
      <c r="C35" s="7"/>
      <c r="D35" s="8" t="n">
        <v>1</v>
      </c>
      <c r="E35" s="7"/>
      <c r="F35" s="8" t="n">
        <v>37</v>
      </c>
      <c r="G35" s="8" t="n">
        <v>1</v>
      </c>
      <c r="H35" s="7"/>
      <c r="I35" s="8" t="n">
        <v>20</v>
      </c>
      <c r="J35" s="7"/>
      <c r="K35" s="7"/>
      <c r="L35" s="7"/>
      <c r="M35" s="7"/>
      <c r="N35" s="7"/>
      <c r="O35" s="7"/>
      <c r="P35" s="7" t="n">
        <f aca="false">SUM(B35:O35)</f>
        <v>75</v>
      </c>
      <c r="Q35" s="8" t="n">
        <v>75</v>
      </c>
      <c r="R35" s="12" t="str">
        <f aca="false">IF(P35=Q35,"OK","DIFF")</f>
        <v>OK</v>
      </c>
      <c r="S35" s="8" t="n">
        <v>20</v>
      </c>
      <c r="T35" s="8" t="n">
        <v>15</v>
      </c>
    </row>
    <row r="36" customFormat="false" ht="15" hidden="false" customHeight="false" outlineLevel="0" collapsed="false">
      <c r="A36" s="4" t="s">
        <v>173</v>
      </c>
      <c r="B36" s="8" t="n">
        <v>16</v>
      </c>
      <c r="C36" s="7"/>
      <c r="D36" s="8" t="n">
        <v>1</v>
      </c>
      <c r="E36" s="7"/>
      <c r="F36" s="8" t="n">
        <v>37</v>
      </c>
      <c r="G36" s="8" t="n">
        <v>1</v>
      </c>
      <c r="H36" s="7"/>
      <c r="I36" s="8" t="n">
        <v>20</v>
      </c>
      <c r="J36" s="7"/>
      <c r="K36" s="7"/>
      <c r="L36" s="7"/>
      <c r="M36" s="7"/>
      <c r="N36" s="7"/>
      <c r="O36" s="7"/>
      <c r="P36" s="7" t="n">
        <f aca="false">SUM(B36:O36)</f>
        <v>75</v>
      </c>
      <c r="Q36" s="8" t="n">
        <v>75</v>
      </c>
      <c r="R36" s="12" t="str">
        <f aca="false">IF(P36=Q36,"OK","DIFF")</f>
        <v>OK</v>
      </c>
      <c r="S36" s="8" t="n">
        <v>20</v>
      </c>
      <c r="T36" s="8" t="n">
        <v>15</v>
      </c>
    </row>
    <row r="37" customFormat="false" ht="15" hidden="false" customHeight="false" outlineLevel="0" collapsed="false">
      <c r="A37" s="4" t="s">
        <v>174</v>
      </c>
      <c r="B37" s="7"/>
      <c r="C37" s="7"/>
      <c r="D37" s="7"/>
      <c r="E37" s="7"/>
      <c r="F37" s="8" t="n">
        <v>1</v>
      </c>
      <c r="G37" s="7"/>
      <c r="H37" s="7"/>
      <c r="I37" s="7"/>
      <c r="J37" s="7"/>
      <c r="K37" s="7"/>
      <c r="L37" s="7"/>
      <c r="M37" s="7"/>
      <c r="N37" s="7"/>
      <c r="O37" s="7"/>
      <c r="P37" s="7" t="n">
        <f aca="false">SUM(B37:O37)</f>
        <v>1</v>
      </c>
      <c r="Q37" s="8" t="n">
        <v>1</v>
      </c>
      <c r="R37" s="12" t="str">
        <f aca="false">IF(P37=Q37,"OK","DIFF")</f>
        <v>OK</v>
      </c>
      <c r="S37" s="8" t="n">
        <v>1</v>
      </c>
      <c r="T37" s="8" t="n">
        <v>0</v>
      </c>
    </row>
    <row r="38" customFormat="false" ht="15" hidden="false" customHeight="false" outlineLevel="0" collapsed="false">
      <c r="A38" s="4" t="s">
        <v>175</v>
      </c>
      <c r="B38" s="7" t="n">
        <f aca="false">SUM(B7:B37)</f>
        <v>2477</v>
      </c>
      <c r="C38" s="7" t="n">
        <f aca="false">SUM(C7:C37)</f>
        <v>6</v>
      </c>
      <c r="D38" s="7" t="n">
        <f aca="false">SUM(D7:D37)</f>
        <v>11</v>
      </c>
      <c r="E38" s="7" t="n">
        <f aca="false">SUM(E7:E37)</f>
        <v>2</v>
      </c>
      <c r="F38" s="7" t="n">
        <f aca="false">SUM(F7:F37)</f>
        <v>810</v>
      </c>
      <c r="G38" s="7" t="n">
        <f aca="false">SUM(G7:G37)</f>
        <v>10</v>
      </c>
      <c r="H38" s="7" t="n">
        <f aca="false">SUM(H7:H37)</f>
        <v>349</v>
      </c>
      <c r="I38" s="7" t="n">
        <f aca="false">SUM(I7:I37)</f>
        <v>1359</v>
      </c>
      <c r="J38" s="7" t="n">
        <f aca="false">SUM(J7:J37)</f>
        <v>3</v>
      </c>
      <c r="K38" s="7" t="n">
        <f aca="false">SUM(K7:K37)</f>
        <v>295</v>
      </c>
      <c r="L38" s="7" t="n">
        <f aca="false">SUM(L7:L37)</f>
        <v>97</v>
      </c>
      <c r="M38" s="7" t="n">
        <f aca="false">SUM(M7:M37)</f>
        <v>2</v>
      </c>
      <c r="N38" s="7" t="n">
        <f aca="false">SUM(N7:N37)</f>
        <v>52</v>
      </c>
      <c r="O38" s="7" t="n">
        <f aca="false">SUM(O7:O37)</f>
        <v>1</v>
      </c>
      <c r="P38" s="7" t="n">
        <f aca="false">SUM(P7:P37)</f>
        <v>5474</v>
      </c>
      <c r="Q38" s="7" t="n">
        <f aca="false">SUM(Q7:Q37)</f>
        <v>5474</v>
      </c>
      <c r="S38" s="7" t="n">
        <f aca="false">SUM(S7:S37)</f>
        <v>595</v>
      </c>
      <c r="T38" s="7" t="n">
        <f aca="false">SUM(T7:T37)</f>
        <v>678</v>
      </c>
    </row>
    <row r="39" customFormat="false" ht="15" hidden="false" customHeight="false" outlineLevel="0" collapsed="false">
      <c r="A39" s="4" t="s">
        <v>176</v>
      </c>
      <c r="B39" s="8" t="n">
        <v>2477</v>
      </c>
      <c r="C39" s="8" t="n">
        <v>6</v>
      </c>
      <c r="D39" s="8" t="n">
        <v>11</v>
      </c>
      <c r="E39" s="8" t="n">
        <v>2</v>
      </c>
      <c r="F39" s="8" t="n">
        <v>810</v>
      </c>
      <c r="G39" s="8" t="n">
        <v>10</v>
      </c>
      <c r="H39" s="8" t="n">
        <v>349</v>
      </c>
      <c r="I39" s="8" t="n">
        <v>1359</v>
      </c>
      <c r="J39" s="8" t="n">
        <v>3</v>
      </c>
      <c r="K39" s="8" t="n">
        <v>295</v>
      </c>
      <c r="L39" s="8" t="n">
        <v>97</v>
      </c>
      <c r="M39" s="8" t="n">
        <v>2</v>
      </c>
      <c r="N39" s="8" t="n">
        <v>52</v>
      </c>
      <c r="O39" s="8" t="n">
        <v>1</v>
      </c>
      <c r="P39" s="7" t="n">
        <f aca="false">SUM(B39:O39)</f>
        <v>5474</v>
      </c>
      <c r="Q39" s="8" t="n">
        <v>5474</v>
      </c>
    </row>
    <row r="40" customFormat="false" ht="15" hidden="false" customHeight="false" outlineLevel="0" collapsed="false">
      <c r="A40" s="4" t="s">
        <v>134</v>
      </c>
      <c r="B40" s="12" t="str">
        <f aca="false">IF(B38=B39,"OK","DIFF")</f>
        <v>OK</v>
      </c>
      <c r="C40" s="12" t="str">
        <f aca="false">IF(C38=C39,"OK","DIFF")</f>
        <v>OK</v>
      </c>
      <c r="D40" s="12" t="str">
        <f aca="false">IF(D38=D39,"OK","DIFF")</f>
        <v>OK</v>
      </c>
      <c r="E40" s="12" t="str">
        <f aca="false">IF(E38=E39,"OK","DIFF")</f>
        <v>OK</v>
      </c>
      <c r="F40" s="12" t="str">
        <f aca="false">IF(F38=F39,"OK","DIFF")</f>
        <v>OK</v>
      </c>
      <c r="G40" s="12" t="str">
        <f aca="false">IF(G38=G39,"OK","DIFF")</f>
        <v>OK</v>
      </c>
      <c r="H40" s="12" t="str">
        <f aca="false">IF(H38=H39,"OK","DIFF")</f>
        <v>OK</v>
      </c>
      <c r="I40" s="12" t="str">
        <f aca="false">IF(I38=I39,"OK","DIFF")</f>
        <v>OK</v>
      </c>
      <c r="J40" s="12" t="str">
        <f aca="false">IF(J38=J39,"OK","DIFF")</f>
        <v>OK</v>
      </c>
      <c r="K40" s="12" t="str">
        <f aca="false">IF(K38=K39,"OK","DIFF")</f>
        <v>OK</v>
      </c>
      <c r="L40" s="12" t="str">
        <f aca="false">IF(L38=L39,"OK","DIFF")</f>
        <v>OK</v>
      </c>
      <c r="M40" s="12" t="str">
        <f aca="false">IF(M38=M39,"OK","DIFF")</f>
        <v>OK</v>
      </c>
      <c r="N40" s="12" t="str">
        <f aca="false">IF(N38=N39,"OK","DIFF")</f>
        <v>OK</v>
      </c>
      <c r="O40" s="12" t="str">
        <f aca="false">IF(O38=O39,"OK","DIFF")</f>
        <v>OK</v>
      </c>
      <c r="P40" s="12" t="str">
        <f aca="false">IF(P38=P39,"OK","DIFF")</f>
        <v>OK</v>
      </c>
      <c r="Q40" s="12" t="str">
        <f aca="false">IF(Q38=Q39,"OK","DIFF")</f>
        <v>OK</v>
      </c>
    </row>
    <row r="43" customFormat="false" ht="15" hidden="false" customHeight="false" outlineLevel="0" collapsed="false">
      <c r="A43" s="10" t="s">
        <v>177</v>
      </c>
    </row>
    <row r="44" customFormat="false" ht="27.75" hidden="false" customHeight="true" outlineLevel="0" collapsed="false">
      <c r="A44" s="3" t="s">
        <v>178</v>
      </c>
      <c r="B44" s="3" t="s">
        <v>179</v>
      </c>
      <c r="C44" s="3" t="s">
        <v>3</v>
      </c>
      <c r="D44" s="3" t="s">
        <v>180</v>
      </c>
      <c r="E44" s="3" t="s">
        <v>181</v>
      </c>
      <c r="F44" s="3" t="s">
        <v>182</v>
      </c>
      <c r="G44" s="3" t="s">
        <v>183</v>
      </c>
      <c r="H44" s="3" t="s">
        <v>184</v>
      </c>
      <c r="I44" s="3" t="s">
        <v>185</v>
      </c>
      <c r="J44" s="3" t="s">
        <v>186</v>
      </c>
      <c r="K44" s="3" t="s">
        <v>187</v>
      </c>
      <c r="L44" s="3" t="s">
        <v>188</v>
      </c>
      <c r="M44" s="3" t="s">
        <v>189</v>
      </c>
      <c r="N44" s="3" t="s">
        <v>190</v>
      </c>
      <c r="O44" s="3" t="s">
        <v>191</v>
      </c>
      <c r="P44" s="3" t="s">
        <v>192</v>
      </c>
      <c r="Q44" s="3" t="s">
        <v>193</v>
      </c>
      <c r="R44" s="3" t="s">
        <v>194</v>
      </c>
    </row>
    <row r="45" customFormat="false" ht="15" hidden="false" customHeight="false" outlineLevel="0" collapsed="false">
      <c r="A45" s="5" t="s">
        <v>195</v>
      </c>
      <c r="B45" s="5" t="s">
        <v>196</v>
      </c>
      <c r="C45" s="5" t="s">
        <v>118</v>
      </c>
      <c r="D45" s="5" t="s">
        <v>197</v>
      </c>
      <c r="E45" s="13" t="n">
        <v>0.16</v>
      </c>
      <c r="F45" s="13" t="n">
        <v>0.07</v>
      </c>
      <c r="G45" s="13" t="n">
        <v>0.26</v>
      </c>
      <c r="H45" s="13" t="n">
        <v>0</v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0</v>
      </c>
      <c r="N45" s="13" t="n">
        <v>0.08</v>
      </c>
      <c r="O45" s="13" t="n">
        <v>0.08</v>
      </c>
      <c r="P45" s="13" t="n">
        <v>0.09</v>
      </c>
      <c r="Q45" s="13" t="n">
        <v>0.6</v>
      </c>
      <c r="R45" s="13" t="n">
        <v>64</v>
      </c>
    </row>
    <row r="46" customFormat="false" ht="15" hidden="false" customHeight="false" outlineLevel="0" collapsed="false">
      <c r="A46" s="5" t="s">
        <v>198</v>
      </c>
      <c r="B46" s="5" t="s">
        <v>199</v>
      </c>
      <c r="C46" s="5" t="s">
        <v>122</v>
      </c>
      <c r="D46" s="5" t="s">
        <v>197</v>
      </c>
      <c r="E46" s="13" t="n">
        <v>0.15</v>
      </c>
      <c r="F46" s="13" t="n">
        <v>0.08</v>
      </c>
      <c r="G46" s="13" t="n">
        <v>0.22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0.04</v>
      </c>
      <c r="M46" s="13" t="n">
        <v>0.01</v>
      </c>
      <c r="N46" s="13" t="n">
        <v>0.62</v>
      </c>
      <c r="O46" s="13" t="n">
        <v>0.64</v>
      </c>
      <c r="P46" s="13" t="n">
        <v>0.66</v>
      </c>
      <c r="Q46" s="13" t="n">
        <v>0.85</v>
      </c>
      <c r="R46" s="13" t="n">
        <v>96</v>
      </c>
    </row>
    <row r="47" customFormat="false" ht="15" hidden="false" customHeight="false" outlineLevel="0" collapsed="false">
      <c r="A47" s="5" t="s">
        <v>200</v>
      </c>
      <c r="B47" s="5" t="s">
        <v>201</v>
      </c>
      <c r="C47" s="5" t="s">
        <v>118</v>
      </c>
      <c r="D47" s="5" t="s">
        <v>197</v>
      </c>
      <c r="E47" s="13" t="n">
        <v>0.1</v>
      </c>
      <c r="F47" s="13" t="n">
        <v>0.04</v>
      </c>
      <c r="G47" s="13" t="n">
        <v>0.16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-0.055</v>
      </c>
      <c r="M47" s="13" t="n">
        <v>-0.02</v>
      </c>
      <c r="N47" s="13" t="n">
        <v>0.14</v>
      </c>
      <c r="O47" s="13" t="n">
        <v>0.15</v>
      </c>
      <c r="P47" s="13" t="n">
        <v>0.2</v>
      </c>
      <c r="Q47" s="13" t="n">
        <v>0.4</v>
      </c>
      <c r="R47" s="13" t="n">
        <v>48</v>
      </c>
    </row>
    <row r="48" customFormat="false" ht="15" hidden="false" customHeight="false" outlineLevel="0" collapsed="false">
      <c r="A48" s="5" t="s">
        <v>202</v>
      </c>
      <c r="B48" s="5" t="s">
        <v>203</v>
      </c>
      <c r="C48" s="5" t="s">
        <v>125</v>
      </c>
      <c r="D48" s="5" t="s">
        <v>197</v>
      </c>
      <c r="E48" s="13" t="n">
        <v>0.008</v>
      </c>
      <c r="F48" s="13" t="n">
        <v>0.008</v>
      </c>
      <c r="G48" s="13" t="n">
        <v>0.05</v>
      </c>
      <c r="H48" s="13" t="n">
        <v>90</v>
      </c>
      <c r="I48" s="13" t="n">
        <v>0</v>
      </c>
      <c r="J48" s="13" t="n">
        <v>0</v>
      </c>
      <c r="K48" s="13" t="n">
        <v>0</v>
      </c>
      <c r="L48" s="13" t="n">
        <v>0.07</v>
      </c>
      <c r="M48" s="13" t="n">
        <v>-0.07</v>
      </c>
      <c r="N48" s="13" t="n">
        <v>0.08</v>
      </c>
      <c r="O48" s="13" t="n">
        <v>0.08</v>
      </c>
      <c r="P48" s="13" t="n">
        <v>0.09</v>
      </c>
      <c r="Q48" s="13" t="n">
        <v>0.6</v>
      </c>
      <c r="R48" s="13" t="n">
        <v>64</v>
      </c>
    </row>
    <row r="49" customFormat="false" ht="15" hidden="false" customHeight="false" outlineLevel="0" collapsed="false">
      <c r="A49" s="5" t="s">
        <v>204</v>
      </c>
      <c r="B49" s="5" t="s">
        <v>205</v>
      </c>
      <c r="C49" s="5" t="s">
        <v>125</v>
      </c>
      <c r="D49" s="5" t="s">
        <v>197</v>
      </c>
      <c r="E49" s="13" t="n">
        <v>0.05</v>
      </c>
      <c r="F49" s="13" t="n">
        <v>0.05</v>
      </c>
      <c r="G49" s="13" t="n">
        <v>0.012</v>
      </c>
      <c r="H49" s="13" t="n">
        <v>90</v>
      </c>
      <c r="I49" s="13" t="n">
        <v>0</v>
      </c>
      <c r="J49" s="13" t="n">
        <v>0</v>
      </c>
      <c r="K49" s="13" t="n">
        <v>0</v>
      </c>
      <c r="L49" s="13" t="n">
        <v>0.098</v>
      </c>
      <c r="M49" s="13" t="n">
        <v>-0.07</v>
      </c>
      <c r="N49" s="13" t="n">
        <v>0.62</v>
      </c>
      <c r="O49" s="13" t="n">
        <v>0.64</v>
      </c>
      <c r="P49" s="13" t="n">
        <v>0.66</v>
      </c>
      <c r="Q49" s="13" t="n">
        <v>0.85</v>
      </c>
      <c r="R49" s="13" t="n">
        <v>96</v>
      </c>
    </row>
    <row r="50" customFormat="false" ht="15" hidden="false" customHeight="false" outlineLevel="0" collapsed="false">
      <c r="A50" s="5" t="s">
        <v>206</v>
      </c>
      <c r="B50" s="5" t="s">
        <v>207</v>
      </c>
      <c r="C50" s="5" t="s">
        <v>118</v>
      </c>
      <c r="D50" s="5" t="s">
        <v>197</v>
      </c>
      <c r="E50" s="13" t="n">
        <v>0.025</v>
      </c>
      <c r="F50" s="13" t="n">
        <v>0.018</v>
      </c>
      <c r="G50" s="13" t="n">
        <v>0.22</v>
      </c>
      <c r="H50" s="13" t="n">
        <v>0</v>
      </c>
      <c r="I50" s="13" t="n">
        <v>45</v>
      </c>
      <c r="J50" s="13" t="n">
        <v>0</v>
      </c>
      <c r="K50" s="13" t="n">
        <v>0.1061</v>
      </c>
      <c r="L50" s="13" t="n">
        <v>0</v>
      </c>
      <c r="M50" s="13" t="n">
        <v>0.1061</v>
      </c>
      <c r="N50" s="13" t="n">
        <v>0.08</v>
      </c>
      <c r="O50" s="13" t="n">
        <v>0.08</v>
      </c>
      <c r="P50" s="13" t="n">
        <v>0.09</v>
      </c>
      <c r="Q50" s="13" t="n">
        <v>0.6</v>
      </c>
      <c r="R50" s="13" t="n">
        <v>64</v>
      </c>
    </row>
    <row r="51" customFormat="false" ht="15" hidden="false" customHeight="false" outlineLevel="0" collapsed="false">
      <c r="A51" s="5" t="s">
        <v>208</v>
      </c>
      <c r="B51" s="5" t="s">
        <v>209</v>
      </c>
      <c r="C51" s="5" t="s">
        <v>125</v>
      </c>
      <c r="D51" s="5" t="s">
        <v>210</v>
      </c>
      <c r="E51" s="13" t="n">
        <v>0.045</v>
      </c>
      <c r="F51" s="13" t="n">
        <v>0.045</v>
      </c>
      <c r="G51" s="13" t="n">
        <v>0.035</v>
      </c>
      <c r="H51" s="13" t="n">
        <v>90</v>
      </c>
      <c r="I51" s="13" t="n">
        <v>0</v>
      </c>
      <c r="J51" s="13" t="n">
        <v>0</v>
      </c>
      <c r="K51" s="13" t="n">
        <v>0</v>
      </c>
      <c r="L51" s="13" t="n">
        <v>0.02</v>
      </c>
      <c r="M51" s="13" t="n">
        <v>0</v>
      </c>
      <c r="N51" s="13" t="n">
        <v>0.45</v>
      </c>
      <c r="O51" s="13" t="n">
        <v>0.46</v>
      </c>
      <c r="P51" s="13" t="n">
        <v>0.5</v>
      </c>
      <c r="Q51" s="13" t="n">
        <v>0.9</v>
      </c>
      <c r="R51" s="13" t="n">
        <v>128</v>
      </c>
    </row>
    <row r="52" customFormat="false" ht="15" hidden="false" customHeight="false" outlineLevel="0" collapsed="false">
      <c r="A52" s="5" t="s">
        <v>211</v>
      </c>
      <c r="B52" s="5" t="s">
        <v>212</v>
      </c>
      <c r="C52" s="5" t="s">
        <v>122</v>
      </c>
      <c r="D52" s="5" t="s">
        <v>213</v>
      </c>
      <c r="E52" s="13" t="n">
        <v>0.025</v>
      </c>
      <c r="F52" s="13" t="n">
        <v>0.025</v>
      </c>
      <c r="G52" s="13" t="n">
        <v>0.025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0.45</v>
      </c>
      <c r="O52" s="13" t="n">
        <v>0.46</v>
      </c>
      <c r="P52" s="13" t="n">
        <v>0.5</v>
      </c>
      <c r="Q52" s="13" t="n">
        <v>0.9</v>
      </c>
      <c r="R52" s="13" t="n">
        <v>128</v>
      </c>
    </row>
    <row r="53" customFormat="false" ht="15" hidden="false" customHeight="false" outlineLevel="0" collapsed="false">
      <c r="A53" s="5" t="s">
        <v>214</v>
      </c>
      <c r="B53" s="5" t="s">
        <v>215</v>
      </c>
      <c r="C53" s="5" t="s">
        <v>118</v>
      </c>
      <c r="D53" s="5" t="s">
        <v>213</v>
      </c>
      <c r="E53" s="13" t="n">
        <v>0.2</v>
      </c>
      <c r="F53" s="13" t="n">
        <v>0.004</v>
      </c>
      <c r="G53" s="13" t="n">
        <v>0.018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0</v>
      </c>
      <c r="N53" s="13" t="n">
        <v>0.1</v>
      </c>
      <c r="O53" s="13" t="n">
        <v>0.1</v>
      </c>
      <c r="P53" s="13" t="n">
        <v>0.11</v>
      </c>
      <c r="Q53" s="13" t="n">
        <v>0.3</v>
      </c>
      <c r="R53" s="13" t="n">
        <v>32</v>
      </c>
    </row>
    <row r="54" customFormat="false" ht="15" hidden="false" customHeight="false" outlineLevel="0" collapsed="false">
      <c r="A54" s="5" t="s">
        <v>216</v>
      </c>
      <c r="B54" s="5" t="s">
        <v>217</v>
      </c>
      <c r="C54" s="5" t="s">
        <v>125</v>
      </c>
      <c r="D54" s="5" t="s">
        <v>210</v>
      </c>
      <c r="E54" s="13" t="n">
        <v>0.205</v>
      </c>
      <c r="F54" s="13" t="n">
        <v>0.205</v>
      </c>
      <c r="G54" s="13" t="n">
        <v>0.002</v>
      </c>
      <c r="H54" s="13" t="n">
        <v>90</v>
      </c>
      <c r="I54" s="13" t="n">
        <v>0</v>
      </c>
      <c r="J54" s="13" t="n">
        <v>0</v>
      </c>
      <c r="K54" s="13" t="n">
        <v>0</v>
      </c>
      <c r="L54" s="13" t="n">
        <v>0.045</v>
      </c>
      <c r="M54" s="13" t="n">
        <v>0</v>
      </c>
      <c r="N54" s="13" t="n">
        <v>0.1</v>
      </c>
      <c r="O54" s="13" t="n">
        <v>0.1</v>
      </c>
      <c r="P54" s="13" t="n">
        <v>0.11</v>
      </c>
      <c r="Q54" s="13" t="n">
        <v>0.2</v>
      </c>
      <c r="R54" s="13" t="n">
        <v>16</v>
      </c>
    </row>
    <row r="55" customFormat="false" ht="15" hidden="false" customHeight="false" outlineLevel="0" collapsed="false">
      <c r="A55" s="5" t="s">
        <v>218</v>
      </c>
      <c r="B55" s="5" t="s">
        <v>219</v>
      </c>
      <c r="C55" s="5" t="s">
        <v>122</v>
      </c>
      <c r="D55" s="5" t="s">
        <v>210</v>
      </c>
      <c r="E55" s="13" t="n">
        <v>0.018</v>
      </c>
      <c r="F55" s="13" t="n">
        <v>0.018</v>
      </c>
      <c r="G55" s="13" t="n">
        <v>0.018</v>
      </c>
      <c r="H55" s="13" t="n">
        <v>0</v>
      </c>
      <c r="I55" s="13" t="n">
        <v>0</v>
      </c>
      <c r="J55" s="13" t="n">
        <v>0</v>
      </c>
      <c r="K55" s="13" t="n">
        <v>0</v>
      </c>
      <c r="L55" s="13" t="n">
        <v>-0.012</v>
      </c>
      <c r="M55" s="13" t="n">
        <v>0</v>
      </c>
      <c r="N55" s="13" t="n">
        <v>1</v>
      </c>
      <c r="O55" s="13" t="n">
        <v>0.1</v>
      </c>
      <c r="P55" s="13" t="n">
        <v>0.05</v>
      </c>
      <c r="Q55" s="13" t="n">
        <v>0.4</v>
      </c>
      <c r="R55" s="13" t="n">
        <v>64</v>
      </c>
    </row>
    <row r="56" customFormat="false" ht="15" hidden="false" customHeight="false" outlineLevel="0" collapsed="false">
      <c r="A56" s="5" t="s">
        <v>220</v>
      </c>
      <c r="B56" s="5" t="s">
        <v>221</v>
      </c>
      <c r="C56" s="5" t="s">
        <v>128</v>
      </c>
      <c r="D56" s="5" t="s">
        <v>210</v>
      </c>
      <c r="E56" s="13" t="n">
        <v>0.05</v>
      </c>
      <c r="F56" s="13" t="n">
        <v>0.05</v>
      </c>
      <c r="G56" s="13" t="n">
        <v>0.0333</v>
      </c>
      <c r="H56" s="13" t="n">
        <v>90</v>
      </c>
      <c r="I56" s="13" t="n">
        <v>0</v>
      </c>
      <c r="J56" s="13" t="n">
        <v>0</v>
      </c>
      <c r="K56" s="13" t="n">
        <v>0</v>
      </c>
      <c r="L56" s="13" t="n">
        <v>0.004</v>
      </c>
      <c r="M56" s="13" t="n">
        <v>0</v>
      </c>
      <c r="N56" s="13" t="n">
        <v>0.12</v>
      </c>
      <c r="O56" s="13" t="n">
        <v>0.12</v>
      </c>
      <c r="P56" s="13" t="n">
        <v>0.13</v>
      </c>
      <c r="Q56" s="13" t="n">
        <v>0.6</v>
      </c>
      <c r="R56" s="13" t="n">
        <v>64</v>
      </c>
    </row>
    <row r="57" customFormat="false" ht="15" hidden="false" customHeight="false" outlineLevel="0" collapsed="false">
      <c r="A57" s="5" t="s">
        <v>222</v>
      </c>
      <c r="B57" s="5" t="s">
        <v>223</v>
      </c>
      <c r="C57" s="5" t="s">
        <v>118</v>
      </c>
      <c r="D57" s="5" t="s">
        <v>197</v>
      </c>
      <c r="E57" s="13" t="n">
        <v>0.025</v>
      </c>
      <c r="F57" s="13" t="n">
        <v>0.018</v>
      </c>
      <c r="G57" s="13" t="n">
        <v>0.22</v>
      </c>
      <c r="H57" s="13" t="n">
        <v>0</v>
      </c>
      <c r="I57" s="13" t="n">
        <v>-45</v>
      </c>
      <c r="J57" s="13" t="n">
        <v>0</v>
      </c>
      <c r="K57" s="13" t="n">
        <v>-0.1061</v>
      </c>
      <c r="L57" s="13" t="n">
        <v>0</v>
      </c>
      <c r="M57" s="13" t="n">
        <v>0.1061</v>
      </c>
      <c r="N57" s="13" t="n">
        <v>0.08</v>
      </c>
      <c r="O57" s="13" t="n">
        <v>0.08</v>
      </c>
      <c r="P57" s="13" t="n">
        <v>0.09</v>
      </c>
      <c r="Q57" s="13" t="n">
        <v>0.6</v>
      </c>
      <c r="R57" s="13" t="n">
        <v>64</v>
      </c>
    </row>
    <row r="58" customFormat="false" ht="15" hidden="false" customHeight="false" outlineLevel="0" collapsed="false">
      <c r="A58" s="5" t="s">
        <v>224</v>
      </c>
      <c r="B58" s="5" t="s">
        <v>209</v>
      </c>
      <c r="C58" s="5" t="s">
        <v>125</v>
      </c>
      <c r="D58" s="5" t="s">
        <v>225</v>
      </c>
      <c r="E58" s="13" t="n">
        <v>0.045</v>
      </c>
      <c r="F58" s="13" t="n">
        <v>0.045</v>
      </c>
      <c r="G58" s="13" t="n">
        <v>0.035</v>
      </c>
      <c r="H58" s="13" t="n">
        <v>90</v>
      </c>
      <c r="I58" s="13" t="n">
        <v>0</v>
      </c>
      <c r="J58" s="13" t="n">
        <v>0</v>
      </c>
      <c r="K58" s="13" t="n">
        <v>0</v>
      </c>
      <c r="L58" s="13" t="n">
        <v>0.02</v>
      </c>
      <c r="M58" s="13" t="n">
        <v>0</v>
      </c>
      <c r="N58" s="13" t="n">
        <v>0.45</v>
      </c>
      <c r="O58" s="13" t="n">
        <v>0.46</v>
      </c>
      <c r="P58" s="13" t="n">
        <v>0.5</v>
      </c>
      <c r="Q58" s="13" t="n">
        <v>0.9</v>
      </c>
      <c r="R58" s="13" t="n">
        <v>128</v>
      </c>
    </row>
    <row r="59" customFormat="false" ht="15" hidden="false" customHeight="false" outlineLevel="0" collapsed="false">
      <c r="A59" s="5" t="s">
        <v>226</v>
      </c>
      <c r="B59" s="5" t="s">
        <v>212</v>
      </c>
      <c r="C59" s="5" t="s">
        <v>122</v>
      </c>
      <c r="D59" s="5" t="s">
        <v>227</v>
      </c>
      <c r="E59" s="13" t="n">
        <v>0.025</v>
      </c>
      <c r="F59" s="13" t="n">
        <v>0.025</v>
      </c>
      <c r="G59" s="13" t="n">
        <v>0.025</v>
      </c>
      <c r="H59" s="13" t="n">
        <v>0</v>
      </c>
      <c r="I59" s="13" t="n">
        <v>0</v>
      </c>
      <c r="J59" s="13" t="n">
        <v>0</v>
      </c>
      <c r="K59" s="13" t="n">
        <v>0</v>
      </c>
      <c r="L59" s="13" t="n">
        <v>0</v>
      </c>
      <c r="M59" s="13" t="n">
        <v>0</v>
      </c>
      <c r="N59" s="13" t="n">
        <v>0.45</v>
      </c>
      <c r="O59" s="13" t="n">
        <v>0.46</v>
      </c>
      <c r="P59" s="13" t="n">
        <v>0.5</v>
      </c>
      <c r="Q59" s="13" t="n">
        <v>0.9</v>
      </c>
      <c r="R59" s="13" t="n">
        <v>128</v>
      </c>
    </row>
    <row r="60" customFormat="false" ht="15" hidden="false" customHeight="false" outlineLevel="0" collapsed="false">
      <c r="A60" s="5" t="s">
        <v>228</v>
      </c>
      <c r="B60" s="5" t="s">
        <v>215</v>
      </c>
      <c r="C60" s="5" t="s">
        <v>118</v>
      </c>
      <c r="D60" s="5" t="s">
        <v>227</v>
      </c>
      <c r="E60" s="13" t="n">
        <v>0.2</v>
      </c>
      <c r="F60" s="13" t="n">
        <v>0.004</v>
      </c>
      <c r="G60" s="13" t="n">
        <v>0.018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0.1</v>
      </c>
      <c r="O60" s="13" t="n">
        <v>0.1</v>
      </c>
      <c r="P60" s="13" t="n">
        <v>0.11</v>
      </c>
      <c r="Q60" s="13" t="n">
        <v>0.3</v>
      </c>
      <c r="R60" s="13" t="n">
        <v>32</v>
      </c>
    </row>
    <row r="61" customFormat="false" ht="15" hidden="false" customHeight="false" outlineLevel="0" collapsed="false">
      <c r="A61" s="5" t="s">
        <v>229</v>
      </c>
      <c r="B61" s="5" t="s">
        <v>217</v>
      </c>
      <c r="C61" s="5" t="s">
        <v>125</v>
      </c>
      <c r="D61" s="5" t="s">
        <v>225</v>
      </c>
      <c r="E61" s="13" t="n">
        <v>0.205</v>
      </c>
      <c r="F61" s="13" t="n">
        <v>0.205</v>
      </c>
      <c r="G61" s="13" t="n">
        <v>0.002</v>
      </c>
      <c r="H61" s="13" t="n">
        <v>90</v>
      </c>
      <c r="I61" s="13" t="n">
        <v>0</v>
      </c>
      <c r="J61" s="13" t="n">
        <v>0</v>
      </c>
      <c r="K61" s="13" t="n">
        <v>0</v>
      </c>
      <c r="L61" s="13" t="n">
        <v>0.045</v>
      </c>
      <c r="M61" s="13" t="n">
        <v>0</v>
      </c>
      <c r="N61" s="13" t="n">
        <v>0.1</v>
      </c>
      <c r="O61" s="13" t="n">
        <v>0.1</v>
      </c>
      <c r="P61" s="13" t="n">
        <v>0.11</v>
      </c>
      <c r="Q61" s="13" t="n">
        <v>0.2</v>
      </c>
      <c r="R61" s="13" t="n">
        <v>16</v>
      </c>
    </row>
    <row r="62" customFormat="false" ht="15" hidden="false" customHeight="false" outlineLevel="0" collapsed="false">
      <c r="A62" s="5" t="s">
        <v>230</v>
      </c>
      <c r="B62" s="5" t="s">
        <v>219</v>
      </c>
      <c r="C62" s="5" t="s">
        <v>122</v>
      </c>
      <c r="D62" s="5" t="s">
        <v>225</v>
      </c>
      <c r="E62" s="13" t="n">
        <v>0.018</v>
      </c>
      <c r="F62" s="13" t="n">
        <v>0.018</v>
      </c>
      <c r="G62" s="13" t="n">
        <v>0.018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-0.012</v>
      </c>
      <c r="M62" s="13" t="n">
        <v>0</v>
      </c>
      <c r="N62" s="13" t="n">
        <v>0.1</v>
      </c>
      <c r="O62" s="13" t="n">
        <v>1</v>
      </c>
      <c r="P62" s="13" t="n">
        <v>0.25</v>
      </c>
      <c r="Q62" s="13" t="n">
        <v>0.4</v>
      </c>
      <c r="R62" s="13" t="n">
        <v>64</v>
      </c>
    </row>
    <row r="63" customFormat="false" ht="15" hidden="false" customHeight="false" outlineLevel="0" collapsed="false">
      <c r="A63" s="5" t="s">
        <v>231</v>
      </c>
      <c r="B63" s="5" t="s">
        <v>221</v>
      </c>
      <c r="C63" s="5" t="s">
        <v>128</v>
      </c>
      <c r="D63" s="5" t="s">
        <v>225</v>
      </c>
      <c r="E63" s="13" t="n">
        <v>0.05</v>
      </c>
      <c r="F63" s="13" t="n">
        <v>0.05</v>
      </c>
      <c r="G63" s="13" t="n">
        <v>0.0333</v>
      </c>
      <c r="H63" s="13" t="n">
        <v>90</v>
      </c>
      <c r="I63" s="13" t="n">
        <v>0</v>
      </c>
      <c r="J63" s="13" t="n">
        <v>0</v>
      </c>
      <c r="K63" s="13" t="n">
        <v>0</v>
      </c>
      <c r="L63" s="13" t="n">
        <v>0.004</v>
      </c>
      <c r="M63" s="13" t="n">
        <v>0</v>
      </c>
      <c r="N63" s="13" t="n">
        <v>0.12</v>
      </c>
      <c r="O63" s="13" t="n">
        <v>0.12</v>
      </c>
      <c r="P63" s="13" t="n">
        <v>0.13</v>
      </c>
      <c r="Q63" s="13" t="n">
        <v>0.6</v>
      </c>
      <c r="R63" s="13" t="n">
        <v>64</v>
      </c>
    </row>
    <row r="64" customFormat="false" ht="15" hidden="false" customHeight="false" outlineLevel="0" collapsed="false">
      <c r="A64" s="5" t="s">
        <v>232</v>
      </c>
      <c r="B64" s="5" t="s">
        <v>233</v>
      </c>
      <c r="C64" s="5" t="s">
        <v>118</v>
      </c>
      <c r="D64" s="5" t="s">
        <v>197</v>
      </c>
      <c r="E64" s="13" t="n">
        <v>0.025</v>
      </c>
      <c r="F64" s="13" t="n">
        <v>0.018</v>
      </c>
      <c r="G64" s="13" t="n">
        <v>0.22</v>
      </c>
      <c r="H64" s="13" t="n">
        <v>0</v>
      </c>
      <c r="I64" s="13" t="n">
        <v>135</v>
      </c>
      <c r="J64" s="13" t="n">
        <v>0</v>
      </c>
      <c r="K64" s="13" t="n">
        <v>0.1061</v>
      </c>
      <c r="L64" s="13" t="n">
        <v>0</v>
      </c>
      <c r="M64" s="13" t="n">
        <v>-0.1061</v>
      </c>
      <c r="N64" s="13" t="n">
        <v>0.08</v>
      </c>
      <c r="O64" s="13" t="n">
        <v>0.08</v>
      </c>
      <c r="P64" s="13" t="n">
        <v>0.09</v>
      </c>
      <c r="Q64" s="13" t="n">
        <v>0.6</v>
      </c>
      <c r="R64" s="13" t="n">
        <v>64</v>
      </c>
    </row>
    <row r="65" customFormat="false" ht="15" hidden="false" customHeight="false" outlineLevel="0" collapsed="false">
      <c r="A65" s="5" t="s">
        <v>234</v>
      </c>
      <c r="B65" s="5" t="s">
        <v>209</v>
      </c>
      <c r="C65" s="5" t="s">
        <v>125</v>
      </c>
      <c r="D65" s="5" t="s">
        <v>235</v>
      </c>
      <c r="E65" s="13" t="n">
        <v>0.045</v>
      </c>
      <c r="F65" s="13" t="n">
        <v>0.045</v>
      </c>
      <c r="G65" s="13" t="n">
        <v>0.035</v>
      </c>
      <c r="H65" s="13" t="n">
        <v>90</v>
      </c>
      <c r="I65" s="13" t="n">
        <v>0</v>
      </c>
      <c r="J65" s="13" t="n">
        <v>0</v>
      </c>
      <c r="K65" s="13" t="n">
        <v>0</v>
      </c>
      <c r="L65" s="13" t="n">
        <v>0.02</v>
      </c>
      <c r="M65" s="13" t="n">
        <v>0</v>
      </c>
      <c r="N65" s="13" t="n">
        <v>0.45</v>
      </c>
      <c r="O65" s="13" t="n">
        <v>0.46</v>
      </c>
      <c r="P65" s="13" t="n">
        <v>0.5</v>
      </c>
      <c r="Q65" s="13" t="n">
        <v>0.9</v>
      </c>
      <c r="R65" s="13" t="n">
        <v>128</v>
      </c>
    </row>
    <row r="66" customFormat="false" ht="15" hidden="false" customHeight="false" outlineLevel="0" collapsed="false">
      <c r="A66" s="5" t="s">
        <v>236</v>
      </c>
      <c r="B66" s="5" t="s">
        <v>212</v>
      </c>
      <c r="C66" s="5" t="s">
        <v>122</v>
      </c>
      <c r="D66" s="5" t="s">
        <v>237</v>
      </c>
      <c r="E66" s="13" t="n">
        <v>0.025</v>
      </c>
      <c r="F66" s="13" t="n">
        <v>0.025</v>
      </c>
      <c r="G66" s="13" t="n">
        <v>0.025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0.45</v>
      </c>
      <c r="O66" s="13" t="n">
        <v>0.46</v>
      </c>
      <c r="P66" s="13" t="n">
        <v>0.5</v>
      </c>
      <c r="Q66" s="13" t="n">
        <v>0.9</v>
      </c>
      <c r="R66" s="13" t="n">
        <v>128</v>
      </c>
    </row>
    <row r="67" customFormat="false" ht="15" hidden="false" customHeight="false" outlineLevel="0" collapsed="false">
      <c r="A67" s="5" t="s">
        <v>238</v>
      </c>
      <c r="B67" s="5" t="s">
        <v>215</v>
      </c>
      <c r="C67" s="5" t="s">
        <v>118</v>
      </c>
      <c r="D67" s="5" t="s">
        <v>237</v>
      </c>
      <c r="E67" s="13" t="n">
        <v>0.2</v>
      </c>
      <c r="F67" s="13" t="n">
        <v>0.004</v>
      </c>
      <c r="G67" s="13" t="n">
        <v>0.018</v>
      </c>
      <c r="H67" s="13" t="n">
        <v>0</v>
      </c>
      <c r="I67" s="13" t="n">
        <v>0</v>
      </c>
      <c r="J67" s="13" t="n">
        <v>0</v>
      </c>
      <c r="K67" s="13" t="n">
        <v>0</v>
      </c>
      <c r="L67" s="13" t="n">
        <v>0</v>
      </c>
      <c r="M67" s="13" t="n">
        <v>0</v>
      </c>
      <c r="N67" s="13" t="n">
        <v>0.1</v>
      </c>
      <c r="O67" s="13" t="n">
        <v>0.1</v>
      </c>
      <c r="P67" s="13" t="n">
        <v>0.11</v>
      </c>
      <c r="Q67" s="13" t="n">
        <v>0.3</v>
      </c>
      <c r="R67" s="13" t="n">
        <v>32</v>
      </c>
    </row>
    <row r="68" customFormat="false" ht="15" hidden="false" customHeight="false" outlineLevel="0" collapsed="false">
      <c r="A68" s="5" t="s">
        <v>239</v>
      </c>
      <c r="B68" s="5" t="s">
        <v>217</v>
      </c>
      <c r="C68" s="5" t="s">
        <v>125</v>
      </c>
      <c r="D68" s="5" t="s">
        <v>235</v>
      </c>
      <c r="E68" s="13" t="n">
        <v>0.205</v>
      </c>
      <c r="F68" s="13" t="n">
        <v>0.205</v>
      </c>
      <c r="G68" s="13" t="n">
        <v>0.002</v>
      </c>
      <c r="H68" s="13" t="n">
        <v>90</v>
      </c>
      <c r="I68" s="13" t="n">
        <v>0</v>
      </c>
      <c r="J68" s="13" t="n">
        <v>0</v>
      </c>
      <c r="K68" s="13" t="n">
        <v>0</v>
      </c>
      <c r="L68" s="13" t="n">
        <v>0.045</v>
      </c>
      <c r="M68" s="13" t="n">
        <v>0</v>
      </c>
      <c r="N68" s="13" t="n">
        <v>0.1</v>
      </c>
      <c r="O68" s="13" t="n">
        <v>0.1</v>
      </c>
      <c r="P68" s="13" t="n">
        <v>0.11</v>
      </c>
      <c r="Q68" s="13" t="n">
        <v>0.2</v>
      </c>
      <c r="R68" s="13" t="n">
        <v>16</v>
      </c>
    </row>
    <row r="69" customFormat="false" ht="15" hidden="false" customHeight="false" outlineLevel="0" collapsed="false">
      <c r="A69" s="5" t="s">
        <v>240</v>
      </c>
      <c r="B69" s="5" t="s">
        <v>221</v>
      </c>
      <c r="C69" s="5" t="s">
        <v>128</v>
      </c>
      <c r="D69" s="5" t="s">
        <v>235</v>
      </c>
      <c r="E69" s="13" t="n">
        <v>0.05</v>
      </c>
      <c r="F69" s="13" t="n">
        <v>0.05</v>
      </c>
      <c r="G69" s="13" t="n">
        <v>0.0333</v>
      </c>
      <c r="H69" s="13" t="n">
        <v>90</v>
      </c>
      <c r="I69" s="13" t="n">
        <v>0</v>
      </c>
      <c r="J69" s="13" t="n">
        <v>0</v>
      </c>
      <c r="K69" s="13" t="n">
        <v>0</v>
      </c>
      <c r="L69" s="13" t="n">
        <v>0.004</v>
      </c>
      <c r="M69" s="13" t="n">
        <v>0</v>
      </c>
      <c r="N69" s="13" t="n">
        <v>0.12</v>
      </c>
      <c r="O69" s="13" t="n">
        <v>0.12</v>
      </c>
      <c r="P69" s="13" t="n">
        <v>0.13</v>
      </c>
      <c r="Q69" s="13" t="n">
        <v>0.6</v>
      </c>
      <c r="R69" s="13" t="n">
        <v>64</v>
      </c>
    </row>
    <row r="70" customFormat="false" ht="15" hidden="false" customHeight="false" outlineLevel="0" collapsed="false">
      <c r="A70" s="5" t="s">
        <v>241</v>
      </c>
      <c r="B70" s="5" t="s">
        <v>242</v>
      </c>
      <c r="C70" s="5" t="s">
        <v>122</v>
      </c>
      <c r="D70" s="5" t="s">
        <v>235</v>
      </c>
      <c r="E70" s="13" t="n">
        <v>0.016</v>
      </c>
      <c r="F70" s="13" t="n">
        <v>0.016</v>
      </c>
      <c r="G70" s="13" t="n">
        <v>0.016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-0.012</v>
      </c>
      <c r="M70" s="13" t="n">
        <v>0</v>
      </c>
      <c r="N70" s="13" t="n">
        <v>1</v>
      </c>
      <c r="O70" s="13" t="n">
        <v>0.55</v>
      </c>
      <c r="P70" s="13" t="n">
        <v>0.08</v>
      </c>
      <c r="Q70" s="13" t="n">
        <v>0.295</v>
      </c>
      <c r="R70" s="13" t="n">
        <v>111.43</v>
      </c>
    </row>
    <row r="71" customFormat="false" ht="15" hidden="false" customHeight="false" outlineLevel="0" collapsed="false">
      <c r="A71" s="5" t="s">
        <v>243</v>
      </c>
      <c r="B71" s="5" t="s">
        <v>244</v>
      </c>
      <c r="C71" s="5" t="s">
        <v>118</v>
      </c>
      <c r="D71" s="5" t="s">
        <v>197</v>
      </c>
      <c r="E71" s="13" t="n">
        <v>0.025</v>
      </c>
      <c r="F71" s="13" t="n">
        <v>0.018</v>
      </c>
      <c r="G71" s="13" t="n">
        <v>0.22</v>
      </c>
      <c r="H71" s="13" t="n">
        <v>0</v>
      </c>
      <c r="I71" s="13" t="n">
        <v>-135</v>
      </c>
      <c r="J71" s="13" t="n">
        <v>0</v>
      </c>
      <c r="K71" s="13" t="n">
        <v>-0.1061</v>
      </c>
      <c r="L71" s="13" t="n">
        <v>0</v>
      </c>
      <c r="M71" s="13" t="n">
        <v>-0.1061</v>
      </c>
      <c r="N71" s="13" t="n">
        <v>0.08</v>
      </c>
      <c r="O71" s="13" t="n">
        <v>0.08</v>
      </c>
      <c r="P71" s="13" t="n">
        <v>0.09</v>
      </c>
      <c r="Q71" s="13" t="n">
        <v>0.6</v>
      </c>
      <c r="R71" s="13" t="n">
        <v>64</v>
      </c>
    </row>
    <row r="72" customFormat="false" ht="15" hidden="false" customHeight="false" outlineLevel="0" collapsed="false">
      <c r="A72" s="5" t="s">
        <v>245</v>
      </c>
      <c r="B72" s="5" t="s">
        <v>209</v>
      </c>
      <c r="C72" s="5" t="s">
        <v>125</v>
      </c>
      <c r="D72" s="5" t="s">
        <v>246</v>
      </c>
      <c r="E72" s="13" t="n">
        <v>0.045</v>
      </c>
      <c r="F72" s="13" t="n">
        <v>0.045</v>
      </c>
      <c r="G72" s="13" t="n">
        <v>0.035</v>
      </c>
      <c r="H72" s="13" t="n">
        <v>90</v>
      </c>
      <c r="I72" s="13" t="n">
        <v>0</v>
      </c>
      <c r="J72" s="13" t="n">
        <v>0</v>
      </c>
      <c r="K72" s="13" t="n">
        <v>0</v>
      </c>
      <c r="L72" s="13" t="n">
        <v>0.02</v>
      </c>
      <c r="M72" s="13" t="n">
        <v>0</v>
      </c>
      <c r="N72" s="13" t="n">
        <v>0.45</v>
      </c>
      <c r="O72" s="13" t="n">
        <v>0.46</v>
      </c>
      <c r="P72" s="13" t="n">
        <v>0.5</v>
      </c>
      <c r="Q72" s="13" t="n">
        <v>0.9</v>
      </c>
      <c r="R72" s="13" t="n">
        <v>128</v>
      </c>
    </row>
    <row r="73" customFormat="false" ht="15" hidden="false" customHeight="false" outlineLevel="0" collapsed="false">
      <c r="A73" s="5" t="s">
        <v>247</v>
      </c>
      <c r="B73" s="5" t="s">
        <v>212</v>
      </c>
      <c r="C73" s="5" t="s">
        <v>122</v>
      </c>
      <c r="D73" s="5" t="s">
        <v>248</v>
      </c>
      <c r="E73" s="13" t="n">
        <v>0.025</v>
      </c>
      <c r="F73" s="13" t="n">
        <v>0.025</v>
      </c>
      <c r="G73" s="13" t="n">
        <v>0.025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0.45</v>
      </c>
      <c r="O73" s="13" t="n">
        <v>0.46</v>
      </c>
      <c r="P73" s="13" t="n">
        <v>0.5</v>
      </c>
      <c r="Q73" s="13" t="n">
        <v>0.9</v>
      </c>
      <c r="R73" s="13" t="n">
        <v>128</v>
      </c>
    </row>
    <row r="74" customFormat="false" ht="15" hidden="false" customHeight="false" outlineLevel="0" collapsed="false">
      <c r="A74" s="5" t="s">
        <v>249</v>
      </c>
      <c r="B74" s="5" t="s">
        <v>215</v>
      </c>
      <c r="C74" s="5" t="s">
        <v>118</v>
      </c>
      <c r="D74" s="5" t="s">
        <v>248</v>
      </c>
      <c r="E74" s="13" t="n">
        <v>0.2</v>
      </c>
      <c r="F74" s="13" t="n">
        <v>0.004</v>
      </c>
      <c r="G74" s="13" t="n">
        <v>0.018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0.1</v>
      </c>
      <c r="O74" s="13" t="n">
        <v>0.1</v>
      </c>
      <c r="P74" s="13" t="n">
        <v>0.11</v>
      </c>
      <c r="Q74" s="13" t="n">
        <v>0.3</v>
      </c>
      <c r="R74" s="13" t="n">
        <v>32</v>
      </c>
    </row>
    <row r="75" customFormat="false" ht="15" hidden="false" customHeight="false" outlineLevel="0" collapsed="false">
      <c r="A75" s="5" t="s">
        <v>250</v>
      </c>
      <c r="B75" s="5" t="s">
        <v>217</v>
      </c>
      <c r="C75" s="5" t="s">
        <v>125</v>
      </c>
      <c r="D75" s="5" t="s">
        <v>246</v>
      </c>
      <c r="E75" s="13" t="n">
        <v>0.205</v>
      </c>
      <c r="F75" s="13" t="n">
        <v>0.205</v>
      </c>
      <c r="G75" s="13" t="n">
        <v>0.002</v>
      </c>
      <c r="H75" s="13" t="n">
        <v>90</v>
      </c>
      <c r="I75" s="13" t="n">
        <v>0</v>
      </c>
      <c r="J75" s="13" t="n">
        <v>0</v>
      </c>
      <c r="K75" s="13" t="n">
        <v>0</v>
      </c>
      <c r="L75" s="13" t="n">
        <v>0.045</v>
      </c>
      <c r="M75" s="13" t="n">
        <v>0</v>
      </c>
      <c r="N75" s="13" t="n">
        <v>0.1</v>
      </c>
      <c r="O75" s="13" t="n">
        <v>0.1</v>
      </c>
      <c r="P75" s="13" t="n">
        <v>0.11</v>
      </c>
      <c r="Q75" s="13" t="n">
        <v>0.2</v>
      </c>
      <c r="R75" s="13" t="n">
        <v>16</v>
      </c>
    </row>
    <row r="76" customFormat="false" ht="15" hidden="false" customHeight="false" outlineLevel="0" collapsed="false">
      <c r="A76" s="5" t="s">
        <v>251</v>
      </c>
      <c r="B76" s="5" t="s">
        <v>221</v>
      </c>
      <c r="C76" s="5" t="s">
        <v>128</v>
      </c>
      <c r="D76" s="5" t="s">
        <v>246</v>
      </c>
      <c r="E76" s="13" t="n">
        <v>0.05</v>
      </c>
      <c r="F76" s="13" t="n">
        <v>0.05</v>
      </c>
      <c r="G76" s="13" t="n">
        <v>0.0333</v>
      </c>
      <c r="H76" s="13" t="n">
        <v>90</v>
      </c>
      <c r="I76" s="13" t="n">
        <v>0</v>
      </c>
      <c r="J76" s="13" t="n">
        <v>0</v>
      </c>
      <c r="K76" s="13" t="n">
        <v>0</v>
      </c>
      <c r="L76" s="13" t="n">
        <v>0.004</v>
      </c>
      <c r="M76" s="13" t="n">
        <v>0</v>
      </c>
      <c r="N76" s="13" t="n">
        <v>0.12</v>
      </c>
      <c r="O76" s="13" t="n">
        <v>0.12</v>
      </c>
      <c r="P76" s="13" t="n">
        <v>0.13</v>
      </c>
      <c r="Q76" s="13" t="n">
        <v>0.6</v>
      </c>
      <c r="R76" s="13" t="n">
        <v>64</v>
      </c>
    </row>
    <row r="77" customFormat="false" ht="15" hidden="false" customHeight="false" outlineLevel="0" collapsed="false">
      <c r="A77" s="5" t="s">
        <v>252</v>
      </c>
      <c r="B77" s="5" t="s">
        <v>242</v>
      </c>
      <c r="C77" s="5" t="s">
        <v>122</v>
      </c>
      <c r="D77" s="5" t="s">
        <v>246</v>
      </c>
      <c r="E77" s="13" t="n">
        <v>0.016</v>
      </c>
      <c r="F77" s="13" t="n">
        <v>0.016</v>
      </c>
      <c r="G77" s="13" t="n">
        <v>0.016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-0.012</v>
      </c>
      <c r="M77" s="13" t="n">
        <v>0</v>
      </c>
      <c r="N77" s="13" t="n">
        <v>1</v>
      </c>
      <c r="O77" s="13" t="n">
        <v>0.55</v>
      </c>
      <c r="P77" s="13" t="n">
        <v>0.08</v>
      </c>
      <c r="Q77" s="13" t="n">
        <v>0.295</v>
      </c>
      <c r="R77" s="13" t="n">
        <v>111.43</v>
      </c>
    </row>
    <row r="78" customFormat="false" ht="15" hidden="false" customHeight="false" outlineLevel="0" collapsed="false">
      <c r="A78" s="5" t="s">
        <v>253</v>
      </c>
      <c r="B78" s="5" t="s">
        <v>254</v>
      </c>
      <c r="C78" s="5" t="s">
        <v>122</v>
      </c>
      <c r="D78" s="5" t="s">
        <v>197</v>
      </c>
      <c r="E78" s="13" t="n">
        <v>0.022</v>
      </c>
      <c r="F78" s="13" t="n">
        <v>0.016</v>
      </c>
      <c r="G78" s="13" t="n">
        <v>0.022</v>
      </c>
      <c r="H78" s="13" t="n">
        <v>0</v>
      </c>
      <c r="I78" s="13" t="n">
        <v>0</v>
      </c>
      <c r="J78" s="13" t="n">
        <v>0</v>
      </c>
      <c r="K78" s="13" t="n">
        <v>0</v>
      </c>
      <c r="L78" s="13" t="n">
        <v>0.02</v>
      </c>
      <c r="M78" s="13" t="n">
        <v>-0.135</v>
      </c>
      <c r="N78" s="13" t="n">
        <v>1</v>
      </c>
      <c r="O78" s="13" t="n">
        <v>1</v>
      </c>
      <c r="P78" s="13" t="n">
        <v>1</v>
      </c>
      <c r="Q78" s="13" t="n">
        <v>0.5</v>
      </c>
      <c r="R78" s="13" t="n">
        <v>64</v>
      </c>
    </row>
    <row r="79" customFormat="false" ht="15" hidden="false" customHeight="false" outlineLevel="0" collapsed="false">
      <c r="A79" s="5" t="s">
        <v>255</v>
      </c>
      <c r="B79" s="5" t="s">
        <v>256</v>
      </c>
      <c r="C79" s="5" t="s">
        <v>125</v>
      </c>
      <c r="D79" s="5" t="s">
        <v>197</v>
      </c>
      <c r="E79" s="13" t="n">
        <v>0.012</v>
      </c>
      <c r="F79" s="13" t="n">
        <v>0.012</v>
      </c>
      <c r="G79" s="13" t="n">
        <v>0.09</v>
      </c>
      <c r="H79" s="13" t="n">
        <v>90</v>
      </c>
      <c r="I79" s="13" t="n">
        <v>0</v>
      </c>
      <c r="J79" s="13" t="n">
        <v>0</v>
      </c>
      <c r="K79" s="13" t="n">
        <v>-0.06</v>
      </c>
      <c r="L79" s="13" t="n">
        <v>-0.08</v>
      </c>
      <c r="M79" s="13" t="n">
        <v>-0.07</v>
      </c>
      <c r="N79" s="13" t="n">
        <v>0.08</v>
      </c>
      <c r="O79" s="13" t="n">
        <v>0.08</v>
      </c>
      <c r="P79" s="13" t="n">
        <v>0.09</v>
      </c>
      <c r="Q79" s="13" t="n">
        <v>0.6</v>
      </c>
      <c r="R79" s="13" t="n">
        <v>64</v>
      </c>
    </row>
    <row r="80" customFormat="false" ht="15" hidden="false" customHeight="false" outlineLevel="0" collapsed="false">
      <c r="A80" s="5" t="s">
        <v>257</v>
      </c>
      <c r="B80" s="5" t="s">
        <v>256</v>
      </c>
      <c r="C80" s="5" t="s">
        <v>125</v>
      </c>
      <c r="D80" s="5" t="s">
        <v>197</v>
      </c>
      <c r="E80" s="13" t="n">
        <v>0.012</v>
      </c>
      <c r="F80" s="13" t="n">
        <v>0.012</v>
      </c>
      <c r="G80" s="13" t="n">
        <v>0.09</v>
      </c>
      <c r="H80" s="13" t="n">
        <v>90</v>
      </c>
      <c r="I80" s="13" t="n">
        <v>0</v>
      </c>
      <c r="J80" s="13" t="n">
        <v>0</v>
      </c>
      <c r="K80" s="13" t="n">
        <v>-0.06</v>
      </c>
      <c r="L80" s="13" t="n">
        <v>-0.08</v>
      </c>
      <c r="M80" s="13" t="n">
        <v>0.07</v>
      </c>
      <c r="N80" s="13" t="n">
        <v>0.08</v>
      </c>
      <c r="O80" s="13" t="n">
        <v>0.08</v>
      </c>
      <c r="P80" s="13" t="n">
        <v>0.09</v>
      </c>
      <c r="Q80" s="13" t="n">
        <v>0.6</v>
      </c>
      <c r="R80" s="13" t="n">
        <v>64</v>
      </c>
    </row>
    <row r="81" customFormat="false" ht="15" hidden="false" customHeight="false" outlineLevel="0" collapsed="false">
      <c r="A81" s="5" t="s">
        <v>258</v>
      </c>
      <c r="B81" s="5" t="s">
        <v>259</v>
      </c>
      <c r="C81" s="5" t="s">
        <v>125</v>
      </c>
      <c r="D81" s="5" t="s">
        <v>197</v>
      </c>
      <c r="E81" s="13" t="n">
        <v>0.014</v>
      </c>
      <c r="F81" s="13" t="n">
        <v>0.014</v>
      </c>
      <c r="G81" s="13" t="n">
        <v>0.24</v>
      </c>
      <c r="H81" s="13" t="n">
        <v>0</v>
      </c>
      <c r="I81" s="13" t="n">
        <v>0</v>
      </c>
      <c r="J81" s="13" t="n">
        <v>0</v>
      </c>
      <c r="K81" s="13" t="n">
        <v>-0.06</v>
      </c>
      <c r="L81" s="13" t="n">
        <v>-0.125</v>
      </c>
      <c r="M81" s="13" t="n">
        <v>0</v>
      </c>
      <c r="N81" s="13" t="n">
        <v>0.08</v>
      </c>
      <c r="O81" s="13" t="n">
        <v>0.08</v>
      </c>
      <c r="P81" s="13" t="n">
        <v>0.09</v>
      </c>
      <c r="Q81" s="13" t="n">
        <v>0.6</v>
      </c>
      <c r="R81" s="13" t="n">
        <v>64</v>
      </c>
    </row>
    <row r="82" customFormat="false" ht="15" hidden="false" customHeight="false" outlineLevel="0" collapsed="false">
      <c r="A82" s="5" t="s">
        <v>260</v>
      </c>
      <c r="B82" s="5" t="s">
        <v>256</v>
      </c>
      <c r="C82" s="5" t="s">
        <v>125</v>
      </c>
      <c r="D82" s="5" t="s">
        <v>197</v>
      </c>
      <c r="E82" s="13" t="n">
        <v>0.012</v>
      </c>
      <c r="F82" s="13" t="n">
        <v>0.012</v>
      </c>
      <c r="G82" s="13" t="n">
        <v>0.09</v>
      </c>
      <c r="H82" s="13" t="n">
        <v>90</v>
      </c>
      <c r="I82" s="13" t="n">
        <v>0</v>
      </c>
      <c r="J82" s="13" t="n">
        <v>0</v>
      </c>
      <c r="K82" s="13" t="n">
        <v>0.06</v>
      </c>
      <c r="L82" s="13" t="n">
        <v>-0.08</v>
      </c>
      <c r="M82" s="13" t="n">
        <v>-0.07</v>
      </c>
      <c r="N82" s="13" t="n">
        <v>0.08</v>
      </c>
      <c r="O82" s="13" t="n">
        <v>0.08</v>
      </c>
      <c r="P82" s="13" t="n">
        <v>0.09</v>
      </c>
      <c r="Q82" s="13" t="n">
        <v>0.6</v>
      </c>
      <c r="R82" s="13" t="n">
        <v>64</v>
      </c>
    </row>
    <row r="83" customFormat="false" ht="15" hidden="false" customHeight="false" outlineLevel="0" collapsed="false">
      <c r="A83" s="5" t="s">
        <v>261</v>
      </c>
      <c r="B83" s="5" t="s">
        <v>256</v>
      </c>
      <c r="C83" s="5" t="s">
        <v>125</v>
      </c>
      <c r="D83" s="5" t="s">
        <v>197</v>
      </c>
      <c r="E83" s="13" t="n">
        <v>0.012</v>
      </c>
      <c r="F83" s="13" t="n">
        <v>0.012</v>
      </c>
      <c r="G83" s="13" t="n">
        <v>0.09</v>
      </c>
      <c r="H83" s="13" t="n">
        <v>90</v>
      </c>
      <c r="I83" s="13" t="n">
        <v>0</v>
      </c>
      <c r="J83" s="13" t="n">
        <v>0</v>
      </c>
      <c r="K83" s="13" t="n">
        <v>0.06</v>
      </c>
      <c r="L83" s="13" t="n">
        <v>-0.08</v>
      </c>
      <c r="M83" s="13" t="n">
        <v>0.07</v>
      </c>
      <c r="N83" s="13" t="n">
        <v>0.08</v>
      </c>
      <c r="O83" s="13" t="n">
        <v>0.08</v>
      </c>
      <c r="P83" s="13" t="n">
        <v>0.09</v>
      </c>
      <c r="Q83" s="13" t="n">
        <v>0.6</v>
      </c>
      <c r="R83" s="13" t="n">
        <v>64</v>
      </c>
    </row>
    <row r="84" customFormat="false" ht="15" hidden="false" customHeight="false" outlineLevel="0" collapsed="false">
      <c r="A84" s="5" t="s">
        <v>262</v>
      </c>
      <c r="B84" s="5" t="s">
        <v>259</v>
      </c>
      <c r="C84" s="5" t="s">
        <v>125</v>
      </c>
      <c r="D84" s="5" t="s">
        <v>197</v>
      </c>
      <c r="E84" s="13" t="n">
        <v>0.014</v>
      </c>
      <c r="F84" s="13" t="n">
        <v>0.014</v>
      </c>
      <c r="G84" s="13" t="n">
        <v>0.24</v>
      </c>
      <c r="H84" s="13" t="n">
        <v>0</v>
      </c>
      <c r="I84" s="13" t="n">
        <v>0</v>
      </c>
      <c r="J84" s="13" t="n">
        <v>0</v>
      </c>
      <c r="K84" s="13" t="n">
        <v>0.06</v>
      </c>
      <c r="L84" s="13" t="n">
        <v>-0.125</v>
      </c>
      <c r="M84" s="13" t="n">
        <v>0</v>
      </c>
      <c r="N84" s="13" t="n">
        <v>0.08</v>
      </c>
      <c r="O84" s="13" t="n">
        <v>0.08</v>
      </c>
      <c r="P84" s="13" t="n">
        <v>0.09</v>
      </c>
      <c r="Q84" s="13" t="n">
        <v>0.6</v>
      </c>
      <c r="R84" s="13" t="n">
        <v>64</v>
      </c>
    </row>
    <row r="85" customFormat="false" ht="15" hidden="false" customHeight="false" outlineLevel="0" collapsed="false">
      <c r="A85" s="5" t="s">
        <v>263</v>
      </c>
      <c r="B85" s="5" t="s">
        <v>264</v>
      </c>
      <c r="C85" s="5" t="s">
        <v>118</v>
      </c>
      <c r="D85" s="5" t="s">
        <v>265</v>
      </c>
      <c r="E85" s="13" t="n">
        <v>0.07</v>
      </c>
      <c r="F85" s="13" t="n">
        <v>0.03</v>
      </c>
      <c r="G85" s="13" t="n">
        <v>0.05</v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-0.015</v>
      </c>
      <c r="M85" s="13" t="n">
        <v>0</v>
      </c>
      <c r="N85" s="13" t="n">
        <v>0.08</v>
      </c>
      <c r="O85" s="13" t="n">
        <v>0.08</v>
      </c>
      <c r="P85" s="13" t="n">
        <v>0.09</v>
      </c>
      <c r="Q85" s="13" t="n">
        <v>0.6</v>
      </c>
      <c r="R85" s="13" t="n">
        <v>64</v>
      </c>
    </row>
    <row r="86" customFormat="false" ht="15" hidden="false" customHeight="false" outlineLevel="0" collapsed="false">
      <c r="A86" s="5" t="s">
        <v>266</v>
      </c>
      <c r="B86" s="5" t="s">
        <v>267</v>
      </c>
      <c r="C86" s="5" t="s">
        <v>125</v>
      </c>
      <c r="D86" s="5" t="s">
        <v>268</v>
      </c>
      <c r="E86" s="13" t="n">
        <v>0.06</v>
      </c>
      <c r="F86" s="13" t="n">
        <v>0.06</v>
      </c>
      <c r="G86" s="13" t="n">
        <v>0.08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0.3</v>
      </c>
      <c r="O86" s="13" t="n">
        <v>0.31</v>
      </c>
      <c r="P86" s="13" t="n">
        <v>0.33</v>
      </c>
      <c r="Q86" s="13" t="n">
        <v>0.8</v>
      </c>
      <c r="R86" s="13" t="n">
        <v>96</v>
      </c>
    </row>
    <row r="87" customFormat="false" ht="15" hidden="false" customHeight="false" outlineLevel="0" collapsed="false">
      <c r="A87" s="5" t="s">
        <v>269</v>
      </c>
      <c r="B87" s="5" t="s">
        <v>270</v>
      </c>
      <c r="C87" s="5" t="s">
        <v>122</v>
      </c>
      <c r="D87" s="5" t="s">
        <v>268</v>
      </c>
      <c r="E87" s="13" t="n">
        <v>0.05</v>
      </c>
      <c r="F87" s="13" t="n">
        <v>0.05</v>
      </c>
      <c r="G87" s="13" t="n">
        <v>0.015</v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0.045</v>
      </c>
      <c r="N87" s="13" t="n">
        <v>1</v>
      </c>
      <c r="O87" s="13" t="n">
        <v>0.97</v>
      </c>
      <c r="P87" s="13" t="n">
        <v>0.85</v>
      </c>
      <c r="Q87" s="13" t="n">
        <v>1</v>
      </c>
      <c r="R87" s="13" t="n">
        <v>128</v>
      </c>
    </row>
    <row r="88" customFormat="false" ht="15" hidden="false" customHeight="false" outlineLevel="0" collapsed="false">
      <c r="A88" s="5" t="s">
        <v>271</v>
      </c>
      <c r="B88" s="5" t="s">
        <v>272</v>
      </c>
      <c r="C88" s="5" t="s">
        <v>118</v>
      </c>
      <c r="D88" s="5" t="s">
        <v>268</v>
      </c>
      <c r="E88" s="13" t="n">
        <v>0.03</v>
      </c>
      <c r="F88" s="13" t="n">
        <v>0.025</v>
      </c>
      <c r="G88" s="13" t="n">
        <v>0.035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0.042</v>
      </c>
      <c r="M88" s="13" t="n">
        <v>0</v>
      </c>
      <c r="N88" s="13" t="n">
        <v>0.08</v>
      </c>
      <c r="O88" s="13" t="n">
        <v>0.08</v>
      </c>
      <c r="P88" s="13" t="n">
        <v>0.09</v>
      </c>
      <c r="Q88" s="13" t="n">
        <v>0.6</v>
      </c>
      <c r="R88" s="13" t="n">
        <v>64</v>
      </c>
    </row>
    <row r="89" customFormat="false" ht="15" hidden="false" customHeight="false" outlineLevel="0" collapsed="false">
      <c r="A89" s="5" t="s">
        <v>273</v>
      </c>
      <c r="B89" s="5" t="s">
        <v>274</v>
      </c>
      <c r="C89" s="5" t="s">
        <v>126</v>
      </c>
      <c r="D89" s="5" t="s">
        <v>268</v>
      </c>
      <c r="E89" s="13" t="n">
        <v>4.8588</v>
      </c>
      <c r="F89" s="13" t="n">
        <v>4.8588</v>
      </c>
      <c r="G89" s="13" t="n">
        <v>9.7437</v>
      </c>
      <c r="H89" s="13" t="n">
        <v>0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4.9169</v>
      </c>
      <c r="N89" s="13" t="n">
        <v>1</v>
      </c>
      <c r="O89" s="13" t="n">
        <v>0.95</v>
      </c>
      <c r="P89" s="13" t="n">
        <v>0.8</v>
      </c>
      <c r="Q89" s="13" t="n">
        <v>0</v>
      </c>
      <c r="R89" s="13" t="n">
        <v>1</v>
      </c>
    </row>
    <row r="90" customFormat="false" ht="15" hidden="false" customHeight="false" outlineLevel="0" collapsed="false">
      <c r="A90" s="5" t="s">
        <v>275</v>
      </c>
      <c r="B90" s="5" t="s">
        <v>276</v>
      </c>
      <c r="C90" s="5" t="s">
        <v>122</v>
      </c>
      <c r="D90" s="5" t="s">
        <v>268</v>
      </c>
      <c r="E90" s="13" t="n">
        <v>0.018</v>
      </c>
      <c r="F90" s="13" t="n">
        <v>0.018</v>
      </c>
      <c r="G90" s="13" t="n">
        <v>0.006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0.042</v>
      </c>
      <c r="M90" s="13" t="n">
        <v>0.018</v>
      </c>
      <c r="N90" s="13" t="n">
        <v>0.05</v>
      </c>
      <c r="O90" s="13" t="n">
        <v>0.05</v>
      </c>
      <c r="P90" s="13" t="n">
        <v>0.06</v>
      </c>
      <c r="Q90" s="13" t="n">
        <v>0.9</v>
      </c>
      <c r="R90" s="13" t="n">
        <v>128</v>
      </c>
    </row>
    <row r="91" customFormat="false" ht="15" hidden="false" customHeight="false" outlineLevel="0" collapsed="false">
      <c r="A91" s="5" t="s">
        <v>277</v>
      </c>
      <c r="B91" s="5" t="s">
        <v>278</v>
      </c>
      <c r="C91" s="5" t="s">
        <v>118</v>
      </c>
      <c r="D91" s="5" t="s">
        <v>279</v>
      </c>
      <c r="E91" s="13" t="n">
        <v>0.012</v>
      </c>
      <c r="F91" s="13" t="n">
        <v>0.012</v>
      </c>
      <c r="G91" s="13" t="n">
        <v>0.22</v>
      </c>
      <c r="H91" s="13" t="n">
        <v>0</v>
      </c>
      <c r="I91" s="13" t="n">
        <v>0</v>
      </c>
      <c r="J91" s="13" t="n">
        <v>0</v>
      </c>
      <c r="K91" s="13" t="n">
        <v>0</v>
      </c>
      <c r="L91" s="13" t="n">
        <v>0.012</v>
      </c>
      <c r="M91" s="13" t="n">
        <v>0</v>
      </c>
      <c r="N91" s="13" t="n">
        <v>0.2</v>
      </c>
      <c r="O91" s="13" t="n">
        <v>0.21</v>
      </c>
      <c r="P91" s="13" t="n">
        <v>0.2</v>
      </c>
      <c r="Q91" s="13" t="n">
        <v>0.5</v>
      </c>
      <c r="R91" s="13" t="n">
        <v>64</v>
      </c>
    </row>
    <row r="92" customFormat="false" ht="15" hidden="false" customHeight="false" outlineLevel="0" collapsed="false">
      <c r="A92" s="5" t="s">
        <v>280</v>
      </c>
      <c r="B92" s="5" t="s">
        <v>281</v>
      </c>
      <c r="C92" s="5" t="s">
        <v>118</v>
      </c>
      <c r="D92" s="5" t="s">
        <v>279</v>
      </c>
      <c r="E92" s="13" t="n">
        <v>0.008</v>
      </c>
      <c r="F92" s="13" t="n">
        <v>0.02</v>
      </c>
      <c r="G92" s="13" t="n">
        <v>0.008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0.025</v>
      </c>
      <c r="M92" s="13" t="n">
        <v>0.05</v>
      </c>
      <c r="N92" s="13" t="n">
        <v>0.2</v>
      </c>
      <c r="O92" s="13" t="n">
        <v>0.21</v>
      </c>
      <c r="P92" s="13" t="n">
        <v>0.2</v>
      </c>
      <c r="Q92" s="13" t="n">
        <v>0.5</v>
      </c>
      <c r="R92" s="13" t="n">
        <v>64</v>
      </c>
    </row>
    <row r="93" customFormat="false" ht="15" hidden="false" customHeight="false" outlineLevel="0" collapsed="false">
      <c r="A93" s="5" t="s">
        <v>282</v>
      </c>
      <c r="B93" s="5" t="s">
        <v>283</v>
      </c>
      <c r="C93" s="5" t="s">
        <v>125</v>
      </c>
      <c r="D93" s="5" t="s">
        <v>284</v>
      </c>
      <c r="E93" s="13" t="n">
        <v>0.022</v>
      </c>
      <c r="F93" s="13" t="n">
        <v>0.022</v>
      </c>
      <c r="G93" s="13" t="n">
        <v>0.17</v>
      </c>
      <c r="H93" s="13" t="n">
        <v>0</v>
      </c>
      <c r="I93" s="13" t="n">
        <v>0</v>
      </c>
      <c r="J93" s="13" t="n">
        <v>0</v>
      </c>
      <c r="K93" s="13" t="n">
        <v>0</v>
      </c>
      <c r="L93" s="13" t="n">
        <v>0</v>
      </c>
      <c r="M93" s="13" t="n">
        <v>0</v>
      </c>
      <c r="N93" s="13" t="n">
        <v>0.32</v>
      </c>
      <c r="O93" s="13" t="n">
        <v>0.34</v>
      </c>
      <c r="P93" s="13" t="n">
        <v>0.28</v>
      </c>
      <c r="Q93" s="13" t="n">
        <v>0.5</v>
      </c>
      <c r="R93" s="13" t="n">
        <v>64</v>
      </c>
    </row>
    <row r="94" customFormat="false" ht="15" hidden="false" customHeight="false" outlineLevel="0" collapsed="false">
      <c r="A94" s="5" t="s">
        <v>285</v>
      </c>
      <c r="B94" s="5" t="s">
        <v>286</v>
      </c>
      <c r="C94" s="5" t="s">
        <v>127</v>
      </c>
      <c r="D94" s="5" t="s">
        <v>284</v>
      </c>
      <c r="E94" s="13" t="n">
        <v>0.022</v>
      </c>
      <c r="F94" s="13" t="n">
        <v>0.022</v>
      </c>
      <c r="G94" s="13" t="n">
        <v>0.04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0.105</v>
      </c>
      <c r="N94" s="13" t="n">
        <v>0.05</v>
      </c>
      <c r="O94" s="13" t="n">
        <v>0.05</v>
      </c>
      <c r="P94" s="13" t="n">
        <v>0.06</v>
      </c>
      <c r="Q94" s="13" t="n">
        <v>0.9</v>
      </c>
      <c r="R94" s="13" t="n">
        <v>128</v>
      </c>
    </row>
    <row r="95" customFormat="false" ht="15" hidden="false" customHeight="false" outlineLevel="0" collapsed="false">
      <c r="A95" s="5" t="s">
        <v>287</v>
      </c>
      <c r="B95" s="5" t="s">
        <v>288</v>
      </c>
      <c r="C95" s="5" t="s">
        <v>118</v>
      </c>
      <c r="D95" s="5" t="s">
        <v>284</v>
      </c>
      <c r="E95" s="13" t="n">
        <v>0.002</v>
      </c>
      <c r="F95" s="13" t="n">
        <v>0.03</v>
      </c>
      <c r="G95" s="13" t="n">
        <v>0.03</v>
      </c>
      <c r="H95" s="13" t="n">
        <v>0</v>
      </c>
      <c r="I95" s="13" t="n">
        <v>0</v>
      </c>
      <c r="J95" s="13" t="n">
        <v>45</v>
      </c>
      <c r="K95" s="13" t="n">
        <v>0</v>
      </c>
      <c r="L95" s="13" t="n">
        <v>0</v>
      </c>
      <c r="M95" s="13" t="n">
        <v>-0.07</v>
      </c>
      <c r="N95" s="13" t="n">
        <v>0.2</v>
      </c>
      <c r="O95" s="13" t="n">
        <v>0.21</v>
      </c>
      <c r="P95" s="13" t="n">
        <v>0.2</v>
      </c>
      <c r="Q95" s="13" t="n">
        <v>0.5</v>
      </c>
      <c r="R95" s="13" t="n">
        <v>64</v>
      </c>
    </row>
    <row r="96" customFormat="false" ht="15" hidden="false" customHeight="false" outlineLevel="0" collapsed="false">
      <c r="A96" s="5" t="s">
        <v>289</v>
      </c>
      <c r="B96" s="5" t="s">
        <v>288</v>
      </c>
      <c r="C96" s="5" t="s">
        <v>118</v>
      </c>
      <c r="D96" s="5" t="s">
        <v>284</v>
      </c>
      <c r="E96" s="13" t="n">
        <v>0.002</v>
      </c>
      <c r="F96" s="13" t="n">
        <v>0.03</v>
      </c>
      <c r="G96" s="13" t="n">
        <v>0.03</v>
      </c>
      <c r="H96" s="13" t="n">
        <v>0</v>
      </c>
      <c r="I96" s="13" t="n">
        <v>0</v>
      </c>
      <c r="J96" s="13" t="n">
        <v>135</v>
      </c>
      <c r="K96" s="13" t="n">
        <v>0</v>
      </c>
      <c r="L96" s="13" t="n">
        <v>0</v>
      </c>
      <c r="M96" s="13" t="n">
        <v>-0.07</v>
      </c>
      <c r="N96" s="13" t="n">
        <v>0.2</v>
      </c>
      <c r="O96" s="13" t="n">
        <v>0.21</v>
      </c>
      <c r="P96" s="13" t="n">
        <v>0.2</v>
      </c>
      <c r="Q96" s="13" t="n">
        <v>0.5</v>
      </c>
      <c r="R96" s="13" t="n">
        <v>64</v>
      </c>
    </row>
    <row r="97" customFormat="false" ht="15" hidden="false" customHeight="false" outlineLevel="0" collapsed="false">
      <c r="A97" s="5" t="s">
        <v>290</v>
      </c>
      <c r="B97" s="5" t="s">
        <v>288</v>
      </c>
      <c r="C97" s="5" t="s">
        <v>118</v>
      </c>
      <c r="D97" s="5" t="s">
        <v>284</v>
      </c>
      <c r="E97" s="13" t="n">
        <v>0.002</v>
      </c>
      <c r="F97" s="13" t="n">
        <v>0.03</v>
      </c>
      <c r="G97" s="13" t="n">
        <v>0.03</v>
      </c>
      <c r="H97" s="13" t="n">
        <v>0</v>
      </c>
      <c r="I97" s="13" t="n">
        <v>0</v>
      </c>
      <c r="J97" s="13" t="n">
        <v>225</v>
      </c>
      <c r="K97" s="13" t="n">
        <v>0</v>
      </c>
      <c r="L97" s="13" t="n">
        <v>0</v>
      </c>
      <c r="M97" s="13" t="n">
        <v>-0.07</v>
      </c>
      <c r="N97" s="13" t="n">
        <v>0.2</v>
      </c>
      <c r="O97" s="13" t="n">
        <v>0.21</v>
      </c>
      <c r="P97" s="13" t="n">
        <v>0.2</v>
      </c>
      <c r="Q97" s="13" t="n">
        <v>0.5</v>
      </c>
      <c r="R97" s="13" t="n">
        <v>64</v>
      </c>
    </row>
    <row r="98" customFormat="false" ht="15" hidden="false" customHeight="false" outlineLevel="0" collapsed="false">
      <c r="A98" s="5" t="s">
        <v>291</v>
      </c>
      <c r="B98" s="5" t="s">
        <v>288</v>
      </c>
      <c r="C98" s="5" t="s">
        <v>118</v>
      </c>
      <c r="D98" s="5" t="s">
        <v>284</v>
      </c>
      <c r="E98" s="13" t="n">
        <v>0.002</v>
      </c>
      <c r="F98" s="13" t="n">
        <v>0.03</v>
      </c>
      <c r="G98" s="13" t="n">
        <v>0.03</v>
      </c>
      <c r="H98" s="13" t="n">
        <v>0</v>
      </c>
      <c r="I98" s="13" t="n">
        <v>0</v>
      </c>
      <c r="J98" s="13" t="n">
        <v>315</v>
      </c>
      <c r="K98" s="13" t="n">
        <v>0</v>
      </c>
      <c r="L98" s="13" t="n">
        <v>0</v>
      </c>
      <c r="M98" s="13" t="n">
        <v>-0.07</v>
      </c>
      <c r="N98" s="13" t="n">
        <v>0.2</v>
      </c>
      <c r="O98" s="13" t="n">
        <v>0.21</v>
      </c>
      <c r="P98" s="13" t="n">
        <v>0.2</v>
      </c>
      <c r="Q98" s="13" t="n">
        <v>0.5</v>
      </c>
      <c r="R98" s="13" t="n">
        <v>64</v>
      </c>
    </row>
    <row r="99" customFormat="false" ht="15" hidden="false" customHeight="false" outlineLevel="0" collapsed="false">
      <c r="A99" s="5" t="s">
        <v>292</v>
      </c>
      <c r="B99" s="5" t="s">
        <v>283</v>
      </c>
      <c r="C99" s="5" t="s">
        <v>125</v>
      </c>
      <c r="D99" s="5" t="s">
        <v>293</v>
      </c>
      <c r="E99" s="13" t="n">
        <v>0.022</v>
      </c>
      <c r="F99" s="13" t="n">
        <v>0.022</v>
      </c>
      <c r="G99" s="13" t="n">
        <v>0.17</v>
      </c>
      <c r="H99" s="13" t="n">
        <v>0</v>
      </c>
      <c r="I99" s="13" t="n">
        <v>0</v>
      </c>
      <c r="J99" s="13" t="n">
        <v>0</v>
      </c>
      <c r="K99" s="13" t="n">
        <v>0</v>
      </c>
      <c r="L99" s="13" t="n">
        <v>0</v>
      </c>
      <c r="M99" s="13" t="n">
        <v>0</v>
      </c>
      <c r="N99" s="13" t="n">
        <v>0.32</v>
      </c>
      <c r="O99" s="13" t="n">
        <v>0.34</v>
      </c>
      <c r="P99" s="13" t="n">
        <v>0.28</v>
      </c>
      <c r="Q99" s="13" t="n">
        <v>0.5</v>
      </c>
      <c r="R99" s="13" t="n">
        <v>64</v>
      </c>
    </row>
    <row r="100" customFormat="false" ht="15" hidden="false" customHeight="false" outlineLevel="0" collapsed="false">
      <c r="A100" s="5" t="s">
        <v>294</v>
      </c>
      <c r="B100" s="5" t="s">
        <v>286</v>
      </c>
      <c r="C100" s="5" t="s">
        <v>127</v>
      </c>
      <c r="D100" s="5" t="s">
        <v>293</v>
      </c>
      <c r="E100" s="13" t="n">
        <v>0.022</v>
      </c>
      <c r="F100" s="13" t="n">
        <v>0.022</v>
      </c>
      <c r="G100" s="13" t="n">
        <v>0.04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0</v>
      </c>
      <c r="M100" s="13" t="n">
        <v>0.105</v>
      </c>
      <c r="N100" s="13" t="n">
        <v>0.05</v>
      </c>
      <c r="O100" s="13" t="n">
        <v>0.05</v>
      </c>
      <c r="P100" s="13" t="n">
        <v>0.06</v>
      </c>
      <c r="Q100" s="13" t="n">
        <v>0.9</v>
      </c>
      <c r="R100" s="13" t="n">
        <v>128</v>
      </c>
    </row>
    <row r="101" customFormat="false" ht="15" hidden="false" customHeight="false" outlineLevel="0" collapsed="false">
      <c r="A101" s="5" t="s">
        <v>295</v>
      </c>
      <c r="B101" s="5" t="s">
        <v>288</v>
      </c>
      <c r="C101" s="5" t="s">
        <v>118</v>
      </c>
      <c r="D101" s="5" t="s">
        <v>293</v>
      </c>
      <c r="E101" s="13" t="n">
        <v>0.002</v>
      </c>
      <c r="F101" s="13" t="n">
        <v>0.03</v>
      </c>
      <c r="G101" s="13" t="n">
        <v>0.03</v>
      </c>
      <c r="H101" s="13" t="n">
        <v>0</v>
      </c>
      <c r="I101" s="13" t="n">
        <v>0</v>
      </c>
      <c r="J101" s="13" t="n">
        <v>45</v>
      </c>
      <c r="K101" s="13" t="n">
        <v>0</v>
      </c>
      <c r="L101" s="13" t="n">
        <v>0</v>
      </c>
      <c r="M101" s="13" t="n">
        <v>-0.07</v>
      </c>
      <c r="N101" s="13" t="n">
        <v>0.2</v>
      </c>
      <c r="O101" s="13" t="n">
        <v>0.21</v>
      </c>
      <c r="P101" s="13" t="n">
        <v>0.2</v>
      </c>
      <c r="Q101" s="13" t="n">
        <v>0.5</v>
      </c>
      <c r="R101" s="13" t="n">
        <v>64</v>
      </c>
    </row>
    <row r="102" customFormat="false" ht="15" hidden="false" customHeight="false" outlineLevel="0" collapsed="false">
      <c r="A102" s="5" t="s">
        <v>296</v>
      </c>
      <c r="B102" s="5" t="s">
        <v>288</v>
      </c>
      <c r="C102" s="5" t="s">
        <v>118</v>
      </c>
      <c r="D102" s="5" t="s">
        <v>293</v>
      </c>
      <c r="E102" s="13" t="n">
        <v>0.002</v>
      </c>
      <c r="F102" s="13" t="n">
        <v>0.03</v>
      </c>
      <c r="G102" s="13" t="n">
        <v>0.03</v>
      </c>
      <c r="H102" s="13" t="n">
        <v>0</v>
      </c>
      <c r="I102" s="13" t="n">
        <v>0</v>
      </c>
      <c r="J102" s="13" t="n">
        <v>135</v>
      </c>
      <c r="K102" s="13" t="n">
        <v>0</v>
      </c>
      <c r="L102" s="13" t="n">
        <v>0</v>
      </c>
      <c r="M102" s="13" t="n">
        <v>-0.07</v>
      </c>
      <c r="N102" s="13" t="n">
        <v>0.2</v>
      </c>
      <c r="O102" s="13" t="n">
        <v>0.21</v>
      </c>
      <c r="P102" s="13" t="n">
        <v>0.2</v>
      </c>
      <c r="Q102" s="13" t="n">
        <v>0.5</v>
      </c>
      <c r="R102" s="13" t="n">
        <v>64</v>
      </c>
    </row>
    <row r="103" customFormat="false" ht="15" hidden="false" customHeight="false" outlineLevel="0" collapsed="false">
      <c r="A103" s="5" t="s">
        <v>297</v>
      </c>
      <c r="B103" s="5" t="s">
        <v>288</v>
      </c>
      <c r="C103" s="5" t="s">
        <v>118</v>
      </c>
      <c r="D103" s="5" t="s">
        <v>293</v>
      </c>
      <c r="E103" s="13" t="n">
        <v>0.002</v>
      </c>
      <c r="F103" s="13" t="n">
        <v>0.03</v>
      </c>
      <c r="G103" s="13" t="n">
        <v>0.03</v>
      </c>
      <c r="H103" s="13" t="n">
        <v>0</v>
      </c>
      <c r="I103" s="13" t="n">
        <v>0</v>
      </c>
      <c r="J103" s="13" t="n">
        <v>225</v>
      </c>
      <c r="K103" s="13" t="n">
        <v>0</v>
      </c>
      <c r="L103" s="13" t="n">
        <v>0</v>
      </c>
      <c r="M103" s="13" t="n">
        <v>-0.07</v>
      </c>
      <c r="N103" s="13" t="n">
        <v>0.2</v>
      </c>
      <c r="O103" s="13" t="n">
        <v>0.21</v>
      </c>
      <c r="P103" s="13" t="n">
        <v>0.2</v>
      </c>
      <c r="Q103" s="13" t="n">
        <v>0.5</v>
      </c>
      <c r="R103" s="13" t="n">
        <v>64</v>
      </c>
    </row>
    <row r="104" customFormat="false" ht="15" hidden="false" customHeight="false" outlineLevel="0" collapsed="false">
      <c r="A104" s="5" t="s">
        <v>298</v>
      </c>
      <c r="B104" s="5" t="s">
        <v>288</v>
      </c>
      <c r="C104" s="5" t="s">
        <v>118</v>
      </c>
      <c r="D104" s="5" t="s">
        <v>293</v>
      </c>
      <c r="E104" s="13" t="n">
        <v>0.002</v>
      </c>
      <c r="F104" s="13" t="n">
        <v>0.03</v>
      </c>
      <c r="G104" s="13" t="n">
        <v>0.03</v>
      </c>
      <c r="H104" s="13" t="n">
        <v>0</v>
      </c>
      <c r="I104" s="13" t="n">
        <v>0</v>
      </c>
      <c r="J104" s="13" t="n">
        <v>315</v>
      </c>
      <c r="K104" s="13" t="n">
        <v>0</v>
      </c>
      <c r="L104" s="13" t="n">
        <v>0</v>
      </c>
      <c r="M104" s="13" t="n">
        <v>-0.07</v>
      </c>
      <c r="N104" s="13" t="n">
        <v>0.2</v>
      </c>
      <c r="O104" s="13" t="n">
        <v>0.21</v>
      </c>
      <c r="P104" s="13" t="n">
        <v>0.2</v>
      </c>
      <c r="Q104" s="13" t="n">
        <v>0.5</v>
      </c>
      <c r="R104" s="13" t="n">
        <v>64</v>
      </c>
    </row>
    <row r="105" customFormat="false" ht="15" hidden="false" customHeight="false" outlineLevel="0" collapsed="false">
      <c r="A105" s="5" t="s">
        <v>299</v>
      </c>
      <c r="B105" s="5" t="s">
        <v>278</v>
      </c>
      <c r="C105" s="5" t="s">
        <v>118</v>
      </c>
      <c r="D105" s="5" t="s">
        <v>300</v>
      </c>
      <c r="E105" s="13" t="n">
        <v>0.012</v>
      </c>
      <c r="F105" s="13" t="n">
        <v>0.012</v>
      </c>
      <c r="G105" s="13" t="n">
        <v>0.22</v>
      </c>
      <c r="H105" s="13" t="n">
        <v>0</v>
      </c>
      <c r="I105" s="13" t="n">
        <v>0</v>
      </c>
      <c r="J105" s="13" t="n">
        <v>0</v>
      </c>
      <c r="K105" s="13" t="n">
        <v>0</v>
      </c>
      <c r="L105" s="13" t="n">
        <v>0.012</v>
      </c>
      <c r="M105" s="13" t="n">
        <v>0</v>
      </c>
      <c r="N105" s="13" t="n">
        <v>0.2</v>
      </c>
      <c r="O105" s="13" t="n">
        <v>0.21</v>
      </c>
      <c r="P105" s="13" t="n">
        <v>0.2</v>
      </c>
      <c r="Q105" s="13" t="n">
        <v>0.5</v>
      </c>
      <c r="R105" s="13" t="n">
        <v>64</v>
      </c>
    </row>
    <row r="106" customFormat="false" ht="15" hidden="false" customHeight="false" outlineLevel="0" collapsed="false">
      <c r="A106" s="5" t="s">
        <v>301</v>
      </c>
      <c r="B106" s="5" t="s">
        <v>281</v>
      </c>
      <c r="C106" s="5" t="s">
        <v>118</v>
      </c>
      <c r="D106" s="5" t="s">
        <v>300</v>
      </c>
      <c r="E106" s="13" t="n">
        <v>0.008</v>
      </c>
      <c r="F106" s="13" t="n">
        <v>0.02</v>
      </c>
      <c r="G106" s="13" t="n">
        <v>0.008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0.025</v>
      </c>
      <c r="M106" s="13" t="n">
        <v>0.05</v>
      </c>
      <c r="N106" s="13" t="n">
        <v>0.2</v>
      </c>
      <c r="O106" s="13" t="n">
        <v>0.21</v>
      </c>
      <c r="P106" s="13" t="n">
        <v>0.2</v>
      </c>
      <c r="Q106" s="13" t="n">
        <v>0.5</v>
      </c>
      <c r="R106" s="13" t="n">
        <v>64</v>
      </c>
    </row>
    <row r="107" customFormat="false" ht="15" hidden="false" customHeight="false" outlineLevel="0" collapsed="false">
      <c r="A107" s="5" t="s">
        <v>302</v>
      </c>
      <c r="B107" s="5" t="s">
        <v>283</v>
      </c>
      <c r="C107" s="5" t="s">
        <v>125</v>
      </c>
      <c r="D107" s="5" t="s">
        <v>303</v>
      </c>
      <c r="E107" s="13" t="n">
        <v>0.022</v>
      </c>
      <c r="F107" s="13" t="n">
        <v>0.022</v>
      </c>
      <c r="G107" s="13" t="n">
        <v>0.17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0.32</v>
      </c>
      <c r="O107" s="13" t="n">
        <v>0.34</v>
      </c>
      <c r="P107" s="13" t="n">
        <v>0.28</v>
      </c>
      <c r="Q107" s="13" t="n">
        <v>0.5</v>
      </c>
      <c r="R107" s="13" t="n">
        <v>64</v>
      </c>
    </row>
    <row r="108" customFormat="false" ht="15" hidden="false" customHeight="false" outlineLevel="0" collapsed="false">
      <c r="A108" s="5" t="s">
        <v>304</v>
      </c>
      <c r="B108" s="5" t="s">
        <v>286</v>
      </c>
      <c r="C108" s="5" t="s">
        <v>127</v>
      </c>
      <c r="D108" s="5" t="s">
        <v>303</v>
      </c>
      <c r="E108" s="13" t="n">
        <v>0.022</v>
      </c>
      <c r="F108" s="13" t="n">
        <v>0.022</v>
      </c>
      <c r="G108" s="13" t="n">
        <v>0.04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0.105</v>
      </c>
      <c r="N108" s="13" t="n">
        <v>0.05</v>
      </c>
      <c r="O108" s="13" t="n">
        <v>0.05</v>
      </c>
      <c r="P108" s="13" t="n">
        <v>0.06</v>
      </c>
      <c r="Q108" s="13" t="n">
        <v>0.9</v>
      </c>
      <c r="R108" s="13" t="n">
        <v>128</v>
      </c>
    </row>
    <row r="109" customFormat="false" ht="15" hidden="false" customHeight="false" outlineLevel="0" collapsed="false">
      <c r="A109" s="5" t="s">
        <v>305</v>
      </c>
      <c r="B109" s="5" t="s">
        <v>288</v>
      </c>
      <c r="C109" s="5" t="s">
        <v>118</v>
      </c>
      <c r="D109" s="5" t="s">
        <v>303</v>
      </c>
      <c r="E109" s="13" t="n">
        <v>0.002</v>
      </c>
      <c r="F109" s="13" t="n">
        <v>0.03</v>
      </c>
      <c r="G109" s="13" t="n">
        <v>0.03</v>
      </c>
      <c r="H109" s="13" t="n">
        <v>0</v>
      </c>
      <c r="I109" s="13" t="n">
        <v>0</v>
      </c>
      <c r="J109" s="13" t="n">
        <v>45</v>
      </c>
      <c r="K109" s="13" t="n">
        <v>0</v>
      </c>
      <c r="L109" s="13" t="n">
        <v>0</v>
      </c>
      <c r="M109" s="13" t="n">
        <v>-0.07</v>
      </c>
      <c r="N109" s="13" t="n">
        <v>0.2</v>
      </c>
      <c r="O109" s="13" t="n">
        <v>0.21</v>
      </c>
      <c r="P109" s="13" t="n">
        <v>0.2</v>
      </c>
      <c r="Q109" s="13" t="n">
        <v>0.5</v>
      </c>
      <c r="R109" s="13" t="n">
        <v>64</v>
      </c>
    </row>
    <row r="110" customFormat="false" ht="15" hidden="false" customHeight="false" outlineLevel="0" collapsed="false">
      <c r="A110" s="5" t="s">
        <v>306</v>
      </c>
      <c r="B110" s="5" t="s">
        <v>288</v>
      </c>
      <c r="C110" s="5" t="s">
        <v>118</v>
      </c>
      <c r="D110" s="5" t="s">
        <v>303</v>
      </c>
      <c r="E110" s="13" t="n">
        <v>0.002</v>
      </c>
      <c r="F110" s="13" t="n">
        <v>0.03</v>
      </c>
      <c r="G110" s="13" t="n">
        <v>0.03</v>
      </c>
      <c r="H110" s="13" t="n">
        <v>0</v>
      </c>
      <c r="I110" s="13" t="n">
        <v>0</v>
      </c>
      <c r="J110" s="13" t="n">
        <v>135</v>
      </c>
      <c r="K110" s="13" t="n">
        <v>0</v>
      </c>
      <c r="L110" s="13" t="n">
        <v>0</v>
      </c>
      <c r="M110" s="13" t="n">
        <v>-0.07</v>
      </c>
      <c r="N110" s="13" t="n">
        <v>0.2</v>
      </c>
      <c r="O110" s="13" t="n">
        <v>0.21</v>
      </c>
      <c r="P110" s="13" t="n">
        <v>0.2</v>
      </c>
      <c r="Q110" s="13" t="n">
        <v>0.5</v>
      </c>
      <c r="R110" s="13" t="n">
        <v>64</v>
      </c>
    </row>
    <row r="111" customFormat="false" ht="15" hidden="false" customHeight="false" outlineLevel="0" collapsed="false">
      <c r="A111" s="5" t="s">
        <v>307</v>
      </c>
      <c r="B111" s="5" t="s">
        <v>288</v>
      </c>
      <c r="C111" s="5" t="s">
        <v>118</v>
      </c>
      <c r="D111" s="5" t="s">
        <v>303</v>
      </c>
      <c r="E111" s="13" t="n">
        <v>0.002</v>
      </c>
      <c r="F111" s="13" t="n">
        <v>0.03</v>
      </c>
      <c r="G111" s="13" t="n">
        <v>0.03</v>
      </c>
      <c r="H111" s="13" t="n">
        <v>0</v>
      </c>
      <c r="I111" s="13" t="n">
        <v>0</v>
      </c>
      <c r="J111" s="13" t="n">
        <v>225</v>
      </c>
      <c r="K111" s="13" t="n">
        <v>0</v>
      </c>
      <c r="L111" s="13" t="n">
        <v>0</v>
      </c>
      <c r="M111" s="13" t="n">
        <v>-0.07</v>
      </c>
      <c r="N111" s="13" t="n">
        <v>0.2</v>
      </c>
      <c r="O111" s="13" t="n">
        <v>0.21</v>
      </c>
      <c r="P111" s="13" t="n">
        <v>0.2</v>
      </c>
      <c r="Q111" s="13" t="n">
        <v>0.5</v>
      </c>
      <c r="R111" s="13" t="n">
        <v>64</v>
      </c>
    </row>
    <row r="112" customFormat="false" ht="15" hidden="false" customHeight="false" outlineLevel="0" collapsed="false">
      <c r="A112" s="5" t="s">
        <v>308</v>
      </c>
      <c r="B112" s="5" t="s">
        <v>288</v>
      </c>
      <c r="C112" s="5" t="s">
        <v>118</v>
      </c>
      <c r="D112" s="5" t="s">
        <v>303</v>
      </c>
      <c r="E112" s="13" t="n">
        <v>0.002</v>
      </c>
      <c r="F112" s="13" t="n">
        <v>0.03</v>
      </c>
      <c r="G112" s="13" t="n">
        <v>0.03</v>
      </c>
      <c r="H112" s="13" t="n">
        <v>0</v>
      </c>
      <c r="I112" s="13" t="n">
        <v>0</v>
      </c>
      <c r="J112" s="13" t="n">
        <v>315</v>
      </c>
      <c r="K112" s="13" t="n">
        <v>0</v>
      </c>
      <c r="L112" s="13" t="n">
        <v>0</v>
      </c>
      <c r="M112" s="13" t="n">
        <v>-0.07</v>
      </c>
      <c r="N112" s="13" t="n">
        <v>0.2</v>
      </c>
      <c r="O112" s="13" t="n">
        <v>0.21</v>
      </c>
      <c r="P112" s="13" t="n">
        <v>0.2</v>
      </c>
      <c r="Q112" s="13" t="n">
        <v>0.5</v>
      </c>
      <c r="R112" s="13" t="n">
        <v>64</v>
      </c>
    </row>
    <row r="113" customFormat="false" ht="15" hidden="false" customHeight="false" outlineLevel="0" collapsed="false">
      <c r="A113" s="5" t="s">
        <v>309</v>
      </c>
      <c r="B113" s="5" t="s">
        <v>283</v>
      </c>
      <c r="C113" s="5" t="s">
        <v>125</v>
      </c>
      <c r="D113" s="5" t="s">
        <v>310</v>
      </c>
      <c r="E113" s="13" t="n">
        <v>0.022</v>
      </c>
      <c r="F113" s="13" t="n">
        <v>0.022</v>
      </c>
      <c r="G113" s="13" t="n">
        <v>0.17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</v>
      </c>
      <c r="N113" s="13" t="n">
        <v>0.32</v>
      </c>
      <c r="O113" s="13" t="n">
        <v>0.34</v>
      </c>
      <c r="P113" s="13" t="n">
        <v>0.28</v>
      </c>
      <c r="Q113" s="13" t="n">
        <v>0.5</v>
      </c>
      <c r="R113" s="13" t="n">
        <v>64</v>
      </c>
    </row>
    <row r="114" customFormat="false" ht="15" hidden="false" customHeight="false" outlineLevel="0" collapsed="false">
      <c r="A114" s="5" t="s">
        <v>311</v>
      </c>
      <c r="B114" s="5" t="s">
        <v>286</v>
      </c>
      <c r="C114" s="5" t="s">
        <v>127</v>
      </c>
      <c r="D114" s="5" t="s">
        <v>310</v>
      </c>
      <c r="E114" s="13" t="n">
        <v>0.022</v>
      </c>
      <c r="F114" s="13" t="n">
        <v>0.022</v>
      </c>
      <c r="G114" s="13" t="n">
        <v>0.04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0.105</v>
      </c>
      <c r="N114" s="13" t="n">
        <v>0.05</v>
      </c>
      <c r="O114" s="13" t="n">
        <v>0.05</v>
      </c>
      <c r="P114" s="13" t="n">
        <v>0.06</v>
      </c>
      <c r="Q114" s="13" t="n">
        <v>0.9</v>
      </c>
      <c r="R114" s="13" t="n">
        <v>128</v>
      </c>
    </row>
    <row r="115" customFormat="false" ht="15" hidden="false" customHeight="false" outlineLevel="0" collapsed="false">
      <c r="A115" s="5" t="s">
        <v>312</v>
      </c>
      <c r="B115" s="5" t="s">
        <v>288</v>
      </c>
      <c r="C115" s="5" t="s">
        <v>118</v>
      </c>
      <c r="D115" s="5" t="s">
        <v>310</v>
      </c>
      <c r="E115" s="13" t="n">
        <v>0.002</v>
      </c>
      <c r="F115" s="13" t="n">
        <v>0.03</v>
      </c>
      <c r="G115" s="13" t="n">
        <v>0.03</v>
      </c>
      <c r="H115" s="13" t="n">
        <v>0</v>
      </c>
      <c r="I115" s="13" t="n">
        <v>0</v>
      </c>
      <c r="J115" s="13" t="n">
        <v>45</v>
      </c>
      <c r="K115" s="13" t="n">
        <v>0</v>
      </c>
      <c r="L115" s="13" t="n">
        <v>0</v>
      </c>
      <c r="M115" s="13" t="n">
        <v>-0.07</v>
      </c>
      <c r="N115" s="13" t="n">
        <v>0.2</v>
      </c>
      <c r="O115" s="13" t="n">
        <v>0.21</v>
      </c>
      <c r="P115" s="13" t="n">
        <v>0.2</v>
      </c>
      <c r="Q115" s="13" t="n">
        <v>0.5</v>
      </c>
      <c r="R115" s="13" t="n">
        <v>64</v>
      </c>
    </row>
    <row r="116" customFormat="false" ht="15" hidden="false" customHeight="false" outlineLevel="0" collapsed="false">
      <c r="A116" s="5" t="s">
        <v>313</v>
      </c>
      <c r="B116" s="5" t="s">
        <v>288</v>
      </c>
      <c r="C116" s="5" t="s">
        <v>118</v>
      </c>
      <c r="D116" s="5" t="s">
        <v>310</v>
      </c>
      <c r="E116" s="13" t="n">
        <v>0.002</v>
      </c>
      <c r="F116" s="13" t="n">
        <v>0.03</v>
      </c>
      <c r="G116" s="13" t="n">
        <v>0.03</v>
      </c>
      <c r="H116" s="13" t="n">
        <v>0</v>
      </c>
      <c r="I116" s="13" t="n">
        <v>0</v>
      </c>
      <c r="J116" s="13" t="n">
        <v>135</v>
      </c>
      <c r="K116" s="13" t="n">
        <v>0</v>
      </c>
      <c r="L116" s="13" t="n">
        <v>0</v>
      </c>
      <c r="M116" s="13" t="n">
        <v>-0.07</v>
      </c>
      <c r="N116" s="13" t="n">
        <v>0.2</v>
      </c>
      <c r="O116" s="13" t="n">
        <v>0.21</v>
      </c>
      <c r="P116" s="13" t="n">
        <v>0.2</v>
      </c>
      <c r="Q116" s="13" t="n">
        <v>0.5</v>
      </c>
      <c r="R116" s="13" t="n">
        <v>64</v>
      </c>
    </row>
    <row r="117" customFormat="false" ht="15" hidden="false" customHeight="false" outlineLevel="0" collapsed="false">
      <c r="A117" s="5" t="s">
        <v>314</v>
      </c>
      <c r="B117" s="5" t="s">
        <v>288</v>
      </c>
      <c r="C117" s="5" t="s">
        <v>118</v>
      </c>
      <c r="D117" s="5" t="s">
        <v>310</v>
      </c>
      <c r="E117" s="13" t="n">
        <v>0.002</v>
      </c>
      <c r="F117" s="13" t="n">
        <v>0.03</v>
      </c>
      <c r="G117" s="13" t="n">
        <v>0.03</v>
      </c>
      <c r="H117" s="13" t="n">
        <v>0</v>
      </c>
      <c r="I117" s="13" t="n">
        <v>0</v>
      </c>
      <c r="J117" s="13" t="n">
        <v>225</v>
      </c>
      <c r="K117" s="13" t="n">
        <v>0</v>
      </c>
      <c r="L117" s="13" t="n">
        <v>0</v>
      </c>
      <c r="M117" s="13" t="n">
        <v>-0.07</v>
      </c>
      <c r="N117" s="13" t="n">
        <v>0.2</v>
      </c>
      <c r="O117" s="13" t="n">
        <v>0.21</v>
      </c>
      <c r="P117" s="13" t="n">
        <v>0.2</v>
      </c>
      <c r="Q117" s="13" t="n">
        <v>0.5</v>
      </c>
      <c r="R117" s="13" t="n">
        <v>64</v>
      </c>
    </row>
    <row r="118" customFormat="false" ht="15" hidden="false" customHeight="false" outlineLevel="0" collapsed="false">
      <c r="A118" s="5" t="s">
        <v>315</v>
      </c>
      <c r="B118" s="5" t="s">
        <v>288</v>
      </c>
      <c r="C118" s="5" t="s">
        <v>118</v>
      </c>
      <c r="D118" s="5" t="s">
        <v>310</v>
      </c>
      <c r="E118" s="13" t="n">
        <v>0.002</v>
      </c>
      <c r="F118" s="13" t="n">
        <v>0.03</v>
      </c>
      <c r="G118" s="13" t="n">
        <v>0.03</v>
      </c>
      <c r="H118" s="13" t="n">
        <v>0</v>
      </c>
      <c r="I118" s="13" t="n">
        <v>0</v>
      </c>
      <c r="J118" s="13" t="n">
        <v>315</v>
      </c>
      <c r="K118" s="13" t="n">
        <v>0</v>
      </c>
      <c r="L118" s="13" t="n">
        <v>0</v>
      </c>
      <c r="M118" s="13" t="n">
        <v>-0.07</v>
      </c>
      <c r="N118" s="13" t="n">
        <v>0.2</v>
      </c>
      <c r="O118" s="13" t="n">
        <v>0.21</v>
      </c>
      <c r="P118" s="13" t="n">
        <v>0.2</v>
      </c>
      <c r="Q118" s="13" t="n">
        <v>0.5</v>
      </c>
      <c r="R118" s="13" t="n">
        <v>64</v>
      </c>
    </row>
    <row r="119" customFormat="false" ht="15" hidden="false" customHeight="false" outlineLevel="0" collapsed="false">
      <c r="A119" s="5" t="s">
        <v>316</v>
      </c>
      <c r="B119" s="5" t="s">
        <v>317</v>
      </c>
      <c r="C119" s="5" t="s">
        <v>125</v>
      </c>
      <c r="D119" s="5" t="s">
        <v>197</v>
      </c>
      <c r="E119" s="13" t="n">
        <v>0.005</v>
      </c>
      <c r="F119" s="13" t="n">
        <v>0.005</v>
      </c>
      <c r="G119" s="13" t="n">
        <v>0.09</v>
      </c>
      <c r="H119" s="13" t="n">
        <v>-35</v>
      </c>
      <c r="I119" s="13" t="n">
        <v>0</v>
      </c>
      <c r="J119" s="13" t="n">
        <v>0</v>
      </c>
      <c r="K119" s="13" t="n">
        <v>-0.05</v>
      </c>
      <c r="L119" s="13" t="n">
        <v>-0.04</v>
      </c>
      <c r="M119" s="13" t="n">
        <v>-0.13</v>
      </c>
      <c r="N119" s="13" t="n">
        <v>0.08</v>
      </c>
      <c r="O119" s="13" t="n">
        <v>0.08</v>
      </c>
      <c r="P119" s="13" t="n">
        <v>0.09</v>
      </c>
      <c r="Q119" s="13" t="n">
        <v>0.6</v>
      </c>
      <c r="R119" s="13" t="n">
        <v>64</v>
      </c>
    </row>
    <row r="120" customFormat="false" ht="15" hidden="false" customHeight="false" outlineLevel="0" collapsed="false">
      <c r="A120" s="5" t="s">
        <v>318</v>
      </c>
      <c r="B120" s="5" t="s">
        <v>317</v>
      </c>
      <c r="C120" s="5" t="s">
        <v>125</v>
      </c>
      <c r="D120" s="5" t="s">
        <v>197</v>
      </c>
      <c r="E120" s="13" t="n">
        <v>0.005</v>
      </c>
      <c r="F120" s="13" t="n">
        <v>0.005</v>
      </c>
      <c r="G120" s="13" t="n">
        <v>0.09</v>
      </c>
      <c r="H120" s="13" t="n">
        <v>-35</v>
      </c>
      <c r="I120" s="13" t="n">
        <v>0</v>
      </c>
      <c r="J120" s="13" t="n">
        <v>0</v>
      </c>
      <c r="K120" s="13" t="n">
        <v>0.05</v>
      </c>
      <c r="L120" s="13" t="n">
        <v>-0.04</v>
      </c>
      <c r="M120" s="13" t="n">
        <v>-0.13</v>
      </c>
      <c r="N120" s="13" t="n">
        <v>0.08</v>
      </c>
      <c r="O120" s="13" t="n">
        <v>0.08</v>
      </c>
      <c r="P120" s="13" t="n">
        <v>0.09</v>
      </c>
      <c r="Q120" s="13" t="n">
        <v>0.6</v>
      </c>
      <c r="R120" s="13" t="n">
        <v>64</v>
      </c>
    </row>
    <row r="121" customFormat="false" ht="15" hidden="false" customHeight="false" outlineLevel="0" collapsed="false">
      <c r="A121" s="5" t="s">
        <v>319</v>
      </c>
      <c r="B121" s="5" t="s">
        <v>320</v>
      </c>
      <c r="C121" s="5" t="s">
        <v>118</v>
      </c>
      <c r="D121" s="5" t="s">
        <v>197</v>
      </c>
      <c r="E121" s="13" t="n">
        <v>0.106</v>
      </c>
      <c r="F121" s="13" t="n">
        <v>0.044</v>
      </c>
      <c r="G121" s="13" t="n">
        <v>0.012</v>
      </c>
      <c r="H121" s="13" t="n">
        <v>0</v>
      </c>
      <c r="I121" s="13" t="n">
        <v>0</v>
      </c>
      <c r="J121" s="13" t="n">
        <v>0</v>
      </c>
      <c r="K121" s="13" t="n">
        <v>0</v>
      </c>
      <c r="L121" s="13" t="n">
        <v>-0.055</v>
      </c>
      <c r="M121" s="13" t="n">
        <v>-0.07</v>
      </c>
      <c r="N121" s="13" t="n">
        <v>0.55</v>
      </c>
      <c r="O121" s="13" t="n">
        <v>0.22</v>
      </c>
      <c r="P121" s="13" t="n">
        <v>0.05</v>
      </c>
      <c r="Q121" s="13" t="n">
        <v>0.1</v>
      </c>
      <c r="R121" s="13" t="n">
        <v>3.0314</v>
      </c>
    </row>
    <row r="122" customFormat="false" ht="15" hidden="false" customHeight="false" outlineLevel="0" collapsed="false">
      <c r="A122" s="5" t="s">
        <v>321</v>
      </c>
      <c r="B122" s="5" t="s">
        <v>320</v>
      </c>
      <c r="C122" s="5" t="s">
        <v>118</v>
      </c>
      <c r="D122" s="5" t="s">
        <v>197</v>
      </c>
      <c r="E122" s="13" t="n">
        <v>0.106</v>
      </c>
      <c r="F122" s="13" t="n">
        <v>0.044</v>
      </c>
      <c r="G122" s="13" t="n">
        <v>0.012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-0.055</v>
      </c>
      <c r="M122" s="13" t="n">
        <v>0.03</v>
      </c>
      <c r="N122" s="13" t="n">
        <v>0.55</v>
      </c>
      <c r="O122" s="13" t="n">
        <v>0.22</v>
      </c>
      <c r="P122" s="13" t="n">
        <v>0.05</v>
      </c>
      <c r="Q122" s="13" t="n">
        <v>0.1</v>
      </c>
      <c r="R122" s="13" t="n">
        <v>3.0314</v>
      </c>
    </row>
    <row r="123" customFormat="false" ht="15" hidden="false" customHeight="false" outlineLevel="0" collapsed="false">
      <c r="A123" s="5" t="s">
        <v>322</v>
      </c>
      <c r="B123" s="5" t="s">
        <v>323</v>
      </c>
      <c r="C123" s="5" t="s">
        <v>122</v>
      </c>
      <c r="D123" s="5" t="s">
        <v>197</v>
      </c>
      <c r="E123" s="13" t="n">
        <v>0.012</v>
      </c>
      <c r="F123" s="13" t="n">
        <v>0.008</v>
      </c>
      <c r="G123" s="13" t="n">
        <v>0.012</v>
      </c>
      <c r="H123" s="13" t="n">
        <v>0</v>
      </c>
      <c r="I123" s="13" t="n">
        <v>0</v>
      </c>
      <c r="J123" s="13" t="n">
        <v>0</v>
      </c>
      <c r="K123" s="13" t="n">
        <v>0.04</v>
      </c>
      <c r="L123" s="13" t="n">
        <v>0.075</v>
      </c>
      <c r="M123" s="13" t="n">
        <v>-0.03</v>
      </c>
      <c r="N123" s="13" t="n">
        <v>0.2</v>
      </c>
      <c r="O123" s="13" t="n">
        <v>0.6</v>
      </c>
      <c r="P123" s="13" t="n">
        <v>1</v>
      </c>
      <c r="Q123" s="13" t="n">
        <v>0.295</v>
      </c>
      <c r="R123" s="13" t="n">
        <v>111.43</v>
      </c>
    </row>
    <row r="126" customFormat="false" ht="15" hidden="false" customHeight="false" outlineLevel="0" collapsed="false">
      <c r="A126" s="10" t="s">
        <v>324</v>
      </c>
    </row>
    <row r="127" customFormat="false" ht="27.75" hidden="false" customHeight="true" outlineLevel="0" collapsed="false">
      <c r="A127" s="3" t="s">
        <v>178</v>
      </c>
      <c r="B127" s="3" t="s">
        <v>179</v>
      </c>
      <c r="C127" s="3" t="s">
        <v>3</v>
      </c>
      <c r="D127" s="3" t="s">
        <v>180</v>
      </c>
      <c r="E127" s="3" t="s">
        <v>181</v>
      </c>
      <c r="F127" s="3" t="s">
        <v>182</v>
      </c>
      <c r="G127" s="3" t="s">
        <v>183</v>
      </c>
      <c r="H127" s="3" t="s">
        <v>184</v>
      </c>
      <c r="I127" s="3" t="s">
        <v>185</v>
      </c>
      <c r="J127" s="3" t="s">
        <v>186</v>
      </c>
      <c r="K127" s="3" t="s">
        <v>187</v>
      </c>
      <c r="L127" s="3" t="s">
        <v>188</v>
      </c>
      <c r="M127" s="3" t="s">
        <v>189</v>
      </c>
      <c r="N127" s="3" t="s">
        <v>190</v>
      </c>
      <c r="O127" s="3" t="s">
        <v>191</v>
      </c>
      <c r="P127" s="3" t="s">
        <v>192</v>
      </c>
      <c r="Q127" s="3" t="s">
        <v>193</v>
      </c>
      <c r="R127" s="3" t="s">
        <v>194</v>
      </c>
    </row>
    <row r="128" customFormat="false" ht="15" hidden="false" customHeight="false" outlineLevel="0" collapsed="false">
      <c r="A128" s="5" t="s">
        <v>325</v>
      </c>
      <c r="B128" s="5" t="s">
        <v>326</v>
      </c>
      <c r="C128" s="5" t="s">
        <v>122</v>
      </c>
      <c r="D128" s="5" t="s">
        <v>327</v>
      </c>
      <c r="E128" s="13" t="n">
        <v>0.3778</v>
      </c>
      <c r="F128" s="13" t="n">
        <v>0.22</v>
      </c>
      <c r="G128" s="13" t="n">
        <v>0.24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0.04</v>
      </c>
      <c r="M128" s="13" t="n">
        <v>0</v>
      </c>
      <c r="N128" s="13" t="n">
        <v>0.2703</v>
      </c>
      <c r="O128" s="13" t="n">
        <v>0.2726</v>
      </c>
      <c r="P128" s="13" t="n">
        <v>0.194</v>
      </c>
      <c r="Q128" s="13" t="n">
        <v>0.052</v>
      </c>
      <c r="R128" s="13" t="n">
        <v>2</v>
      </c>
    </row>
    <row r="129" customFormat="false" ht="15" hidden="false" customHeight="false" outlineLevel="0" collapsed="false">
      <c r="A129" s="5" t="s">
        <v>328</v>
      </c>
      <c r="B129" s="5" t="s">
        <v>329</v>
      </c>
      <c r="C129" s="5" t="s">
        <v>125</v>
      </c>
      <c r="D129" s="5" t="s">
        <v>327</v>
      </c>
      <c r="E129" s="13" t="n">
        <v>0.3883</v>
      </c>
      <c r="F129" s="13" t="n">
        <v>0.25</v>
      </c>
      <c r="G129" s="13" t="n">
        <v>0.07</v>
      </c>
      <c r="H129" s="13" t="n">
        <v>90</v>
      </c>
      <c r="I129" s="13" t="n">
        <v>0</v>
      </c>
      <c r="J129" s="13" t="n">
        <v>0</v>
      </c>
      <c r="K129" s="13" t="n">
        <v>0</v>
      </c>
      <c r="L129" s="13" t="n">
        <v>0.12</v>
      </c>
      <c r="M129" s="13" t="n">
        <v>0</v>
      </c>
      <c r="N129" s="13" t="n">
        <v>0.27</v>
      </c>
      <c r="O129" s="13" t="n">
        <v>0.235</v>
      </c>
      <c r="P129" s="13" t="n">
        <v>0.155</v>
      </c>
      <c r="Q129" s="13" t="n">
        <v>0.124</v>
      </c>
      <c r="R129" s="13" t="n">
        <v>4.724</v>
      </c>
    </row>
    <row r="130" customFormat="false" ht="15" hidden="false" customHeight="false" outlineLevel="0" collapsed="false">
      <c r="A130" s="5" t="s">
        <v>330</v>
      </c>
      <c r="B130" s="5" t="s">
        <v>331</v>
      </c>
      <c r="C130" s="5" t="s">
        <v>122</v>
      </c>
      <c r="D130" s="5" t="s">
        <v>332</v>
      </c>
      <c r="E130" s="13" t="n">
        <v>0.15</v>
      </c>
      <c r="F130" s="13" t="n">
        <v>0.15</v>
      </c>
      <c r="G130" s="13" t="n">
        <v>0.15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0.2703</v>
      </c>
      <c r="O130" s="13" t="n">
        <v>0.2726</v>
      </c>
      <c r="P130" s="13" t="n">
        <v>0.194</v>
      </c>
      <c r="Q130" s="13" t="n">
        <v>0.052</v>
      </c>
      <c r="R130" s="13" t="n">
        <v>2</v>
      </c>
    </row>
    <row r="131" customFormat="false" ht="15" hidden="false" customHeight="false" outlineLevel="0" collapsed="false">
      <c r="A131" s="5" t="s">
        <v>333</v>
      </c>
      <c r="B131" s="5" t="s">
        <v>334</v>
      </c>
      <c r="C131" s="5" t="s">
        <v>125</v>
      </c>
      <c r="D131" s="5" t="s">
        <v>332</v>
      </c>
      <c r="E131" s="13" t="n">
        <v>0.15</v>
      </c>
      <c r="F131" s="13" t="n">
        <v>0.15</v>
      </c>
      <c r="G131" s="13" t="n">
        <v>0.46</v>
      </c>
      <c r="H131" s="13" t="n">
        <v>90</v>
      </c>
      <c r="I131" s="13" t="n">
        <v>0</v>
      </c>
      <c r="J131" s="13" t="n">
        <v>0</v>
      </c>
      <c r="K131" s="13" t="n">
        <v>0</v>
      </c>
      <c r="L131" s="13" t="n">
        <v>-0.23</v>
      </c>
      <c r="M131" s="13" t="n">
        <v>0</v>
      </c>
      <c r="N131" s="13" t="n">
        <v>0.2703</v>
      </c>
      <c r="O131" s="13" t="n">
        <v>0.2726</v>
      </c>
      <c r="P131" s="13" t="n">
        <v>0.194</v>
      </c>
      <c r="Q131" s="13" t="n">
        <v>0.052</v>
      </c>
      <c r="R131" s="13" t="n">
        <v>2</v>
      </c>
    </row>
    <row r="132" customFormat="false" ht="15" hidden="false" customHeight="false" outlineLevel="0" collapsed="false">
      <c r="A132" s="5" t="s">
        <v>335</v>
      </c>
      <c r="B132" s="5" t="s">
        <v>336</v>
      </c>
      <c r="C132" s="5" t="s">
        <v>122</v>
      </c>
      <c r="D132" s="5" t="s">
        <v>337</v>
      </c>
      <c r="E132" s="13" t="n">
        <v>0.15</v>
      </c>
      <c r="F132" s="13" t="n">
        <v>0.15</v>
      </c>
      <c r="G132" s="13" t="n">
        <v>0.15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0.2703</v>
      </c>
      <c r="O132" s="13" t="n">
        <v>0.2726</v>
      </c>
      <c r="P132" s="13" t="n">
        <v>0.194</v>
      </c>
      <c r="Q132" s="13" t="n">
        <v>0.052</v>
      </c>
      <c r="R132" s="13" t="n">
        <v>2</v>
      </c>
    </row>
    <row r="133" customFormat="false" ht="15" hidden="false" customHeight="false" outlineLevel="0" collapsed="false">
      <c r="A133" s="5" t="s">
        <v>338</v>
      </c>
      <c r="B133" s="5" t="s">
        <v>339</v>
      </c>
      <c r="C133" s="5" t="s">
        <v>125</v>
      </c>
      <c r="D133" s="5" t="s">
        <v>337</v>
      </c>
      <c r="E133" s="13" t="n">
        <v>0.12</v>
      </c>
      <c r="F133" s="13" t="n">
        <v>0.12</v>
      </c>
      <c r="G133" s="13" t="n">
        <v>0.44</v>
      </c>
      <c r="H133" s="13" t="n">
        <v>90</v>
      </c>
      <c r="I133" s="13" t="n">
        <v>0</v>
      </c>
      <c r="J133" s="13" t="n">
        <v>0</v>
      </c>
      <c r="K133" s="13" t="n">
        <v>0</v>
      </c>
      <c r="L133" s="13" t="n">
        <v>-0.22</v>
      </c>
      <c r="M133" s="13" t="n">
        <v>0</v>
      </c>
      <c r="N133" s="13" t="n">
        <v>0.2703</v>
      </c>
      <c r="O133" s="13" t="n">
        <v>0.2726</v>
      </c>
      <c r="P133" s="13" t="n">
        <v>0.194</v>
      </c>
      <c r="Q133" s="13" t="n">
        <v>0.052</v>
      </c>
      <c r="R133" s="13" t="n">
        <v>2</v>
      </c>
    </row>
    <row r="134" customFormat="false" ht="15" hidden="false" customHeight="false" outlineLevel="0" collapsed="false">
      <c r="A134" s="5" t="s">
        <v>340</v>
      </c>
      <c r="B134" s="5" t="s">
        <v>341</v>
      </c>
      <c r="C134" s="5" t="s">
        <v>122</v>
      </c>
      <c r="D134" s="5" t="s">
        <v>342</v>
      </c>
      <c r="E134" s="13" t="n">
        <v>0.12</v>
      </c>
      <c r="F134" s="13" t="n">
        <v>0.12</v>
      </c>
      <c r="G134" s="13" t="n">
        <v>0.12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0</v>
      </c>
      <c r="N134" s="13" t="n">
        <v>0.075</v>
      </c>
      <c r="O134" s="13" t="n">
        <v>0.055</v>
      </c>
      <c r="P134" s="13" t="n">
        <v>0.04</v>
      </c>
      <c r="Q134" s="13" t="n">
        <v>0.175</v>
      </c>
      <c r="R134" s="13" t="n">
        <v>12.1257</v>
      </c>
    </row>
    <row r="135" customFormat="false" ht="15" hidden="false" customHeight="false" outlineLevel="0" collapsed="false">
      <c r="A135" s="5" t="s">
        <v>343</v>
      </c>
      <c r="B135" s="5" t="s">
        <v>344</v>
      </c>
      <c r="C135" s="5" t="s">
        <v>122</v>
      </c>
      <c r="D135" s="5" t="s">
        <v>342</v>
      </c>
      <c r="E135" s="13" t="n">
        <v>0.13</v>
      </c>
      <c r="F135" s="13" t="n">
        <v>0.11</v>
      </c>
      <c r="G135" s="13" t="n">
        <v>0.3</v>
      </c>
      <c r="H135" s="13" t="n">
        <v>0</v>
      </c>
      <c r="I135" s="13" t="n">
        <v>0</v>
      </c>
      <c r="J135" s="13" t="n">
        <v>0</v>
      </c>
      <c r="K135" s="13" t="n">
        <v>0</v>
      </c>
      <c r="L135" s="13" t="n">
        <v>-0.025</v>
      </c>
      <c r="M135" s="13" t="n">
        <v>0.06</v>
      </c>
      <c r="N135" s="13" t="n">
        <v>0.075</v>
      </c>
      <c r="O135" s="13" t="n">
        <v>0.055</v>
      </c>
      <c r="P135" s="13" t="n">
        <v>0.04</v>
      </c>
      <c r="Q135" s="13" t="n">
        <v>0.175</v>
      </c>
      <c r="R135" s="13" t="n">
        <v>12.1257</v>
      </c>
    </row>
    <row r="136" customFormat="false" ht="15" hidden="false" customHeight="false" outlineLevel="0" collapsed="false">
      <c r="A136" s="5" t="s">
        <v>345</v>
      </c>
      <c r="B136" s="5" t="s">
        <v>346</v>
      </c>
      <c r="C136" s="5" t="s">
        <v>122</v>
      </c>
      <c r="D136" s="5" t="s">
        <v>337</v>
      </c>
      <c r="E136" s="13" t="n">
        <v>0.13</v>
      </c>
      <c r="F136" s="13" t="n">
        <v>0.22</v>
      </c>
      <c r="G136" s="13" t="n">
        <v>0.14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-0.13</v>
      </c>
      <c r="M136" s="13" t="n">
        <v>-0.015</v>
      </c>
      <c r="N136" s="13" t="n">
        <v>0.2703</v>
      </c>
      <c r="O136" s="13" t="n">
        <v>0.2726</v>
      </c>
      <c r="P136" s="13" t="n">
        <v>0.194</v>
      </c>
      <c r="Q136" s="13" t="n">
        <v>0.052</v>
      </c>
      <c r="R136" s="13" t="n">
        <v>2</v>
      </c>
    </row>
    <row r="137" customFormat="false" ht="15" hidden="false" customHeight="false" outlineLevel="0" collapsed="false">
      <c r="A137" s="5" t="s">
        <v>347</v>
      </c>
      <c r="B137" s="5" t="s">
        <v>348</v>
      </c>
      <c r="C137" s="5" t="s">
        <v>122</v>
      </c>
      <c r="D137" s="5" t="s">
        <v>337</v>
      </c>
      <c r="E137" s="13" t="n">
        <v>0.115</v>
      </c>
      <c r="F137" s="13" t="n">
        <v>0.13</v>
      </c>
      <c r="G137" s="13" t="n">
        <v>0.06</v>
      </c>
      <c r="H137" s="13" t="n">
        <v>0</v>
      </c>
      <c r="I137" s="13" t="n">
        <v>0</v>
      </c>
      <c r="J137" s="13" t="n">
        <v>0</v>
      </c>
      <c r="K137" s="13" t="n">
        <v>0</v>
      </c>
      <c r="L137" s="13" t="n">
        <v>-0.02</v>
      </c>
      <c r="M137" s="13" t="n">
        <v>0.06</v>
      </c>
      <c r="N137" s="13" t="n">
        <v>0.1</v>
      </c>
      <c r="O137" s="13" t="n">
        <v>0.1</v>
      </c>
      <c r="P137" s="13" t="n">
        <v>0.085</v>
      </c>
      <c r="Q137" s="13" t="n">
        <v>0.1</v>
      </c>
      <c r="R137" s="13" t="n">
        <v>3.0314</v>
      </c>
    </row>
    <row r="138" customFormat="false" ht="15" hidden="false" customHeight="false" outlineLevel="0" collapsed="false">
      <c r="A138" s="5" t="s">
        <v>349</v>
      </c>
      <c r="B138" s="5" t="s">
        <v>350</v>
      </c>
      <c r="C138" s="5" t="s">
        <v>122</v>
      </c>
      <c r="D138" s="5" t="s">
        <v>332</v>
      </c>
      <c r="E138" s="13" t="n">
        <v>0.175</v>
      </c>
      <c r="F138" s="13" t="n">
        <v>0.31</v>
      </c>
      <c r="G138" s="13" t="n">
        <v>0.18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-0.15</v>
      </c>
      <c r="M138" s="13" t="n">
        <v>0.01</v>
      </c>
      <c r="N138" s="13" t="n">
        <v>0.2703</v>
      </c>
      <c r="O138" s="13" t="n">
        <v>0.2726</v>
      </c>
      <c r="P138" s="13" t="n">
        <v>0.194</v>
      </c>
      <c r="Q138" s="13" t="n">
        <v>0.052</v>
      </c>
      <c r="R138" s="13" t="n">
        <v>2</v>
      </c>
    </row>
    <row r="139" customFormat="false" ht="15" hidden="false" customHeight="false" outlineLevel="0" collapsed="false">
      <c r="A139" s="5" t="s">
        <v>351</v>
      </c>
      <c r="B139" s="5" t="s">
        <v>331</v>
      </c>
      <c r="C139" s="5" t="s">
        <v>122</v>
      </c>
      <c r="D139" s="5" t="s">
        <v>352</v>
      </c>
      <c r="E139" s="13" t="n">
        <v>0.15</v>
      </c>
      <c r="F139" s="13" t="n">
        <v>0.15</v>
      </c>
      <c r="G139" s="13" t="n">
        <v>0.15</v>
      </c>
      <c r="H139" s="13" t="n">
        <v>0</v>
      </c>
      <c r="I139" s="13" t="n">
        <v>0</v>
      </c>
      <c r="J139" s="13" t="n">
        <v>0</v>
      </c>
      <c r="K139" s="13" t="n">
        <v>0</v>
      </c>
      <c r="L139" s="13" t="n">
        <v>0</v>
      </c>
      <c r="M139" s="13" t="n">
        <v>0</v>
      </c>
      <c r="N139" s="13" t="n">
        <v>0.2703</v>
      </c>
      <c r="O139" s="13" t="n">
        <v>0.2726</v>
      </c>
      <c r="P139" s="13" t="n">
        <v>0.194</v>
      </c>
      <c r="Q139" s="13" t="n">
        <v>0.052</v>
      </c>
      <c r="R139" s="13" t="n">
        <v>2</v>
      </c>
    </row>
    <row r="140" customFormat="false" ht="15" hidden="false" customHeight="false" outlineLevel="0" collapsed="false">
      <c r="A140" s="5" t="s">
        <v>353</v>
      </c>
      <c r="B140" s="5" t="s">
        <v>334</v>
      </c>
      <c r="C140" s="5" t="s">
        <v>125</v>
      </c>
      <c r="D140" s="5" t="s">
        <v>352</v>
      </c>
      <c r="E140" s="13" t="n">
        <v>0.15</v>
      </c>
      <c r="F140" s="13" t="n">
        <v>0.15</v>
      </c>
      <c r="G140" s="13" t="n">
        <v>0.46</v>
      </c>
      <c r="H140" s="13" t="n">
        <v>90</v>
      </c>
      <c r="I140" s="13" t="n">
        <v>0</v>
      </c>
      <c r="J140" s="13" t="n">
        <v>0</v>
      </c>
      <c r="K140" s="13" t="n">
        <v>0</v>
      </c>
      <c r="L140" s="13" t="n">
        <v>-0.23</v>
      </c>
      <c r="M140" s="13" t="n">
        <v>0</v>
      </c>
      <c r="N140" s="13" t="n">
        <v>0.2703</v>
      </c>
      <c r="O140" s="13" t="n">
        <v>0.2726</v>
      </c>
      <c r="P140" s="13" t="n">
        <v>0.194</v>
      </c>
      <c r="Q140" s="13" t="n">
        <v>0.052</v>
      </c>
      <c r="R140" s="13" t="n">
        <v>2</v>
      </c>
    </row>
    <row r="141" customFormat="false" ht="15" hidden="false" customHeight="false" outlineLevel="0" collapsed="false">
      <c r="A141" s="5" t="s">
        <v>354</v>
      </c>
      <c r="B141" s="5" t="s">
        <v>336</v>
      </c>
      <c r="C141" s="5" t="s">
        <v>122</v>
      </c>
      <c r="D141" s="5" t="s">
        <v>355</v>
      </c>
      <c r="E141" s="13" t="n">
        <v>0.15</v>
      </c>
      <c r="F141" s="13" t="n">
        <v>0.15</v>
      </c>
      <c r="G141" s="13" t="n">
        <v>0.15</v>
      </c>
      <c r="H141" s="13" t="n">
        <v>0</v>
      </c>
      <c r="I141" s="13" t="n">
        <v>0</v>
      </c>
      <c r="J141" s="13" t="n">
        <v>0</v>
      </c>
      <c r="K141" s="13" t="n">
        <v>0</v>
      </c>
      <c r="L141" s="13" t="n">
        <v>0</v>
      </c>
      <c r="M141" s="13" t="n">
        <v>0</v>
      </c>
      <c r="N141" s="13" t="n">
        <v>0.2703</v>
      </c>
      <c r="O141" s="13" t="n">
        <v>0.2726</v>
      </c>
      <c r="P141" s="13" t="n">
        <v>0.194</v>
      </c>
      <c r="Q141" s="13" t="n">
        <v>0.052</v>
      </c>
      <c r="R141" s="13" t="n">
        <v>2</v>
      </c>
    </row>
    <row r="142" customFormat="false" ht="15" hidden="false" customHeight="false" outlineLevel="0" collapsed="false">
      <c r="A142" s="5" t="s">
        <v>356</v>
      </c>
      <c r="B142" s="5" t="s">
        <v>339</v>
      </c>
      <c r="C142" s="5" t="s">
        <v>125</v>
      </c>
      <c r="D142" s="5" t="s">
        <v>355</v>
      </c>
      <c r="E142" s="13" t="n">
        <v>0.12</v>
      </c>
      <c r="F142" s="13" t="n">
        <v>0.12</v>
      </c>
      <c r="G142" s="13" t="n">
        <v>0.44</v>
      </c>
      <c r="H142" s="13" t="n">
        <v>90</v>
      </c>
      <c r="I142" s="13" t="n">
        <v>0</v>
      </c>
      <c r="J142" s="13" t="n">
        <v>0</v>
      </c>
      <c r="K142" s="13" t="n">
        <v>0</v>
      </c>
      <c r="L142" s="13" t="n">
        <v>-0.22</v>
      </c>
      <c r="M142" s="13" t="n">
        <v>0</v>
      </c>
      <c r="N142" s="13" t="n">
        <v>0.2703</v>
      </c>
      <c r="O142" s="13" t="n">
        <v>0.2726</v>
      </c>
      <c r="P142" s="13" t="n">
        <v>0.194</v>
      </c>
      <c r="Q142" s="13" t="n">
        <v>0.052</v>
      </c>
      <c r="R142" s="13" t="n">
        <v>2</v>
      </c>
    </row>
    <row r="143" customFormat="false" ht="15" hidden="false" customHeight="false" outlineLevel="0" collapsed="false">
      <c r="A143" s="5" t="s">
        <v>357</v>
      </c>
      <c r="B143" s="5" t="s">
        <v>341</v>
      </c>
      <c r="C143" s="5" t="s">
        <v>122</v>
      </c>
      <c r="D143" s="5" t="s">
        <v>358</v>
      </c>
      <c r="E143" s="13" t="n">
        <v>0.12</v>
      </c>
      <c r="F143" s="13" t="n">
        <v>0.12</v>
      </c>
      <c r="G143" s="13" t="n">
        <v>0.12</v>
      </c>
      <c r="H143" s="13" t="n">
        <v>0</v>
      </c>
      <c r="I143" s="13" t="n">
        <v>0</v>
      </c>
      <c r="J143" s="13" t="n">
        <v>0</v>
      </c>
      <c r="K143" s="13" t="n">
        <v>0</v>
      </c>
      <c r="L143" s="13" t="n">
        <v>0</v>
      </c>
      <c r="M143" s="13" t="n">
        <v>0</v>
      </c>
      <c r="N143" s="13" t="n">
        <v>0.075</v>
      </c>
      <c r="O143" s="13" t="n">
        <v>0.055</v>
      </c>
      <c r="P143" s="13" t="n">
        <v>0.04</v>
      </c>
      <c r="Q143" s="13" t="n">
        <v>0.175</v>
      </c>
      <c r="R143" s="13" t="n">
        <v>12.1257</v>
      </c>
    </row>
    <row r="144" customFormat="false" ht="15" hidden="false" customHeight="false" outlineLevel="0" collapsed="false">
      <c r="A144" s="5" t="s">
        <v>359</v>
      </c>
      <c r="B144" s="5" t="s">
        <v>344</v>
      </c>
      <c r="C144" s="5" t="s">
        <v>122</v>
      </c>
      <c r="D144" s="5" t="s">
        <v>358</v>
      </c>
      <c r="E144" s="13" t="n">
        <v>0.13</v>
      </c>
      <c r="F144" s="13" t="n">
        <v>0.11</v>
      </c>
      <c r="G144" s="13" t="n">
        <v>0.3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-0.025</v>
      </c>
      <c r="M144" s="13" t="n">
        <v>0.06</v>
      </c>
      <c r="N144" s="13" t="n">
        <v>0.075</v>
      </c>
      <c r="O144" s="13" t="n">
        <v>0.055</v>
      </c>
      <c r="P144" s="13" t="n">
        <v>0.04</v>
      </c>
      <c r="Q144" s="13" t="n">
        <v>0.175</v>
      </c>
      <c r="R144" s="13" t="n">
        <v>12.1257</v>
      </c>
    </row>
    <row r="145" customFormat="false" ht="15" hidden="false" customHeight="false" outlineLevel="0" collapsed="false">
      <c r="A145" s="5" t="s">
        <v>360</v>
      </c>
      <c r="B145" s="5" t="s">
        <v>346</v>
      </c>
      <c r="C145" s="5" t="s">
        <v>122</v>
      </c>
      <c r="D145" s="5" t="s">
        <v>355</v>
      </c>
      <c r="E145" s="13" t="n">
        <v>0.13</v>
      </c>
      <c r="F145" s="13" t="n">
        <v>0.22</v>
      </c>
      <c r="G145" s="13" t="n">
        <v>0.14</v>
      </c>
      <c r="H145" s="13" t="n">
        <v>0</v>
      </c>
      <c r="I145" s="13" t="n">
        <v>0</v>
      </c>
      <c r="J145" s="13" t="n">
        <v>0</v>
      </c>
      <c r="K145" s="13" t="n">
        <v>0</v>
      </c>
      <c r="L145" s="13" t="n">
        <v>-0.13</v>
      </c>
      <c r="M145" s="13" t="n">
        <v>-0.015</v>
      </c>
      <c r="N145" s="13" t="n">
        <v>0.2703</v>
      </c>
      <c r="O145" s="13" t="n">
        <v>0.2726</v>
      </c>
      <c r="P145" s="13" t="n">
        <v>0.194</v>
      </c>
      <c r="Q145" s="13" t="n">
        <v>0.052</v>
      </c>
      <c r="R145" s="13" t="n">
        <v>2</v>
      </c>
    </row>
    <row r="146" customFormat="false" ht="15" hidden="false" customHeight="false" outlineLevel="0" collapsed="false">
      <c r="A146" s="5" t="s">
        <v>361</v>
      </c>
      <c r="B146" s="5" t="s">
        <v>348</v>
      </c>
      <c r="C146" s="5" t="s">
        <v>122</v>
      </c>
      <c r="D146" s="5" t="s">
        <v>355</v>
      </c>
      <c r="E146" s="13" t="n">
        <v>0.115</v>
      </c>
      <c r="F146" s="13" t="n">
        <v>0.13</v>
      </c>
      <c r="G146" s="13" t="n">
        <v>0.06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-0.02</v>
      </c>
      <c r="M146" s="13" t="n">
        <v>0.06</v>
      </c>
      <c r="N146" s="13" t="n">
        <v>0.1</v>
      </c>
      <c r="O146" s="13" t="n">
        <v>0.1</v>
      </c>
      <c r="P146" s="13" t="n">
        <v>0.085</v>
      </c>
      <c r="Q146" s="13" t="n">
        <v>0.1</v>
      </c>
      <c r="R146" s="13" t="n">
        <v>3.0314</v>
      </c>
    </row>
    <row r="147" customFormat="false" ht="15" hidden="false" customHeight="false" outlineLevel="0" collapsed="false">
      <c r="A147" s="5" t="s">
        <v>362</v>
      </c>
      <c r="B147" s="5" t="s">
        <v>350</v>
      </c>
      <c r="C147" s="5" t="s">
        <v>122</v>
      </c>
      <c r="D147" s="5" t="s">
        <v>352</v>
      </c>
      <c r="E147" s="13" t="n">
        <v>0.175</v>
      </c>
      <c r="F147" s="13" t="n">
        <v>0.31</v>
      </c>
      <c r="G147" s="13" t="n">
        <v>0.18</v>
      </c>
      <c r="H147" s="13" t="n">
        <v>0</v>
      </c>
      <c r="I147" s="13" t="n">
        <v>0</v>
      </c>
      <c r="J147" s="13" t="n">
        <v>0</v>
      </c>
      <c r="K147" s="13" t="n">
        <v>0</v>
      </c>
      <c r="L147" s="13" t="n">
        <v>-0.15</v>
      </c>
      <c r="M147" s="13" t="n">
        <v>0.01</v>
      </c>
      <c r="N147" s="13" t="n">
        <v>0.2703</v>
      </c>
      <c r="O147" s="13" t="n">
        <v>0.2726</v>
      </c>
      <c r="P147" s="13" t="n">
        <v>0.194</v>
      </c>
      <c r="Q147" s="13" t="n">
        <v>0.052</v>
      </c>
      <c r="R147" s="13" t="n">
        <v>2</v>
      </c>
    </row>
    <row r="148" customFormat="false" ht="15" hidden="false" customHeight="false" outlineLevel="0" collapsed="false">
      <c r="A148" s="5" t="s">
        <v>363</v>
      </c>
      <c r="B148" s="5" t="s">
        <v>364</v>
      </c>
      <c r="C148" s="5" t="s">
        <v>122</v>
      </c>
      <c r="D148" s="5" t="s">
        <v>365</v>
      </c>
      <c r="E148" s="13" t="n">
        <v>0.3568</v>
      </c>
      <c r="F148" s="13" t="n">
        <v>0.3</v>
      </c>
      <c r="G148" s="13" t="n">
        <v>0.24</v>
      </c>
      <c r="H148" s="13" t="n">
        <v>0</v>
      </c>
      <c r="I148" s="13" t="n">
        <v>0</v>
      </c>
      <c r="J148" s="13" t="n">
        <v>0</v>
      </c>
      <c r="K148" s="13" t="n">
        <v>0</v>
      </c>
      <c r="L148" s="13" t="n">
        <v>0.12</v>
      </c>
      <c r="M148" s="13" t="n">
        <v>0</v>
      </c>
      <c r="N148" s="13" t="n">
        <v>0.3003</v>
      </c>
      <c r="O148" s="13" t="n">
        <v>0.3029</v>
      </c>
      <c r="P148" s="13" t="n">
        <v>0.2156</v>
      </c>
      <c r="Q148" s="13" t="n">
        <v>0.055</v>
      </c>
      <c r="R148" s="13" t="n">
        <v>2</v>
      </c>
    </row>
    <row r="149" customFormat="false" ht="15" hidden="false" customHeight="false" outlineLevel="0" collapsed="false">
      <c r="A149" s="5" t="s">
        <v>366</v>
      </c>
      <c r="B149" s="5" t="s">
        <v>367</v>
      </c>
      <c r="C149" s="5" t="s">
        <v>120</v>
      </c>
      <c r="D149" s="5" t="s">
        <v>368</v>
      </c>
      <c r="E149" s="13" t="n">
        <v>0.3988</v>
      </c>
      <c r="F149" s="13" t="n">
        <v>0.33</v>
      </c>
      <c r="G149" s="13" t="n">
        <v>0.23</v>
      </c>
      <c r="H149" s="13" t="n">
        <v>0</v>
      </c>
      <c r="I149" s="13" t="n">
        <v>0</v>
      </c>
      <c r="J149" s="13" t="n">
        <v>180</v>
      </c>
      <c r="K149" s="13" t="n">
        <v>0</v>
      </c>
      <c r="L149" s="13" t="n">
        <v>0.1</v>
      </c>
      <c r="M149" s="13" t="n">
        <v>0</v>
      </c>
      <c r="N149" s="13" t="n">
        <v>0.3003</v>
      </c>
      <c r="O149" s="13" t="n">
        <v>0.3029</v>
      </c>
      <c r="P149" s="13" t="n">
        <v>0.2156</v>
      </c>
      <c r="Q149" s="13" t="n">
        <v>0.055</v>
      </c>
      <c r="R149" s="13" t="n">
        <v>2</v>
      </c>
    </row>
    <row r="150" customFormat="false" ht="15" hidden="false" customHeight="false" outlineLevel="0" collapsed="false">
      <c r="A150" s="5" t="s">
        <v>369</v>
      </c>
      <c r="B150" s="5" t="s">
        <v>370</v>
      </c>
      <c r="C150" s="5" t="s">
        <v>118</v>
      </c>
      <c r="D150" s="5" t="s">
        <v>368</v>
      </c>
      <c r="E150" s="13" t="n">
        <v>0.32</v>
      </c>
      <c r="F150" s="13" t="n">
        <v>0.38</v>
      </c>
      <c r="G150" s="13" t="n">
        <v>0.16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0.07</v>
      </c>
      <c r="M150" s="13" t="n">
        <v>-0.2</v>
      </c>
      <c r="N150" s="13" t="n">
        <v>0.2902</v>
      </c>
      <c r="O150" s="13" t="n">
        <v>0.2824</v>
      </c>
      <c r="P150" s="13" t="n">
        <v>0.1825</v>
      </c>
      <c r="Q150" s="13" t="n">
        <v>0.07</v>
      </c>
      <c r="R150" s="13" t="n">
        <v>2</v>
      </c>
    </row>
    <row r="151" customFormat="false" ht="15" hidden="false" customHeight="false" outlineLevel="0" collapsed="false">
      <c r="A151" s="5" t="s">
        <v>371</v>
      </c>
      <c r="B151" s="5" t="s">
        <v>372</v>
      </c>
      <c r="C151" s="5" t="s">
        <v>125</v>
      </c>
      <c r="D151" s="5" t="s">
        <v>368</v>
      </c>
      <c r="E151" s="13" t="n">
        <v>0.11</v>
      </c>
      <c r="F151" s="13" t="n">
        <v>0.11</v>
      </c>
      <c r="G151" s="13" t="n">
        <v>0.34</v>
      </c>
      <c r="H151" s="13" t="n">
        <v>0</v>
      </c>
      <c r="I151" s="13" t="n">
        <v>90</v>
      </c>
      <c r="J151" s="13" t="n">
        <v>0</v>
      </c>
      <c r="K151" s="13" t="n">
        <v>0</v>
      </c>
      <c r="L151" s="13" t="n">
        <v>0.31</v>
      </c>
      <c r="M151" s="13" t="n">
        <v>-0.21</v>
      </c>
      <c r="N151" s="13" t="n">
        <v>0.2902</v>
      </c>
      <c r="O151" s="13" t="n">
        <v>0.2824</v>
      </c>
      <c r="P151" s="13" t="n">
        <v>0.1825</v>
      </c>
      <c r="Q151" s="13" t="n">
        <v>0.07</v>
      </c>
      <c r="R151" s="13" t="n">
        <v>2</v>
      </c>
    </row>
    <row r="152" customFormat="false" ht="15" hidden="false" customHeight="false" outlineLevel="0" collapsed="false">
      <c r="A152" s="5" t="s">
        <v>373</v>
      </c>
      <c r="B152" s="5" t="s">
        <v>374</v>
      </c>
      <c r="C152" s="5" t="s">
        <v>118</v>
      </c>
      <c r="D152" s="5" t="s">
        <v>375</v>
      </c>
      <c r="E152" s="13" t="n">
        <v>0.06</v>
      </c>
      <c r="F152" s="13" t="n">
        <v>0.11</v>
      </c>
      <c r="G152" s="13" t="n">
        <v>0.52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0</v>
      </c>
      <c r="N152" s="13" t="n">
        <v>0.07</v>
      </c>
      <c r="O152" s="13" t="n">
        <v>0.07</v>
      </c>
      <c r="P152" s="13" t="n">
        <v>0.075</v>
      </c>
      <c r="Q152" s="13" t="n">
        <v>0.435</v>
      </c>
      <c r="R152" s="13" t="n">
        <v>16</v>
      </c>
    </row>
    <row r="153" customFormat="false" ht="15" hidden="false" customHeight="false" outlineLevel="0" collapsed="false">
      <c r="A153" s="5" t="s">
        <v>376</v>
      </c>
      <c r="B153" s="5" t="s">
        <v>377</v>
      </c>
      <c r="C153" s="5" t="s">
        <v>125</v>
      </c>
      <c r="D153" s="5" t="s">
        <v>375</v>
      </c>
      <c r="E153" s="13" t="n">
        <v>0.035</v>
      </c>
      <c r="F153" s="13" t="n">
        <v>0.035</v>
      </c>
      <c r="G153" s="13" t="n">
        <v>0.4</v>
      </c>
      <c r="H153" s="13" t="n">
        <v>0</v>
      </c>
      <c r="I153" s="13" t="n">
        <v>0</v>
      </c>
      <c r="J153" s="13" t="n">
        <v>0</v>
      </c>
      <c r="K153" s="13" t="n">
        <v>0</v>
      </c>
      <c r="L153" s="13" t="n">
        <v>0.02</v>
      </c>
      <c r="M153" s="13" t="n">
        <v>0.45</v>
      </c>
      <c r="N153" s="13" t="n">
        <v>0.07</v>
      </c>
      <c r="O153" s="13" t="n">
        <v>0.07</v>
      </c>
      <c r="P153" s="13" t="n">
        <v>0.075</v>
      </c>
      <c r="Q153" s="13" t="n">
        <v>0.435</v>
      </c>
      <c r="R153" s="13" t="n">
        <v>16</v>
      </c>
    </row>
    <row r="154" customFormat="false" ht="15" hidden="false" customHeight="false" outlineLevel="0" collapsed="false">
      <c r="A154" s="5" t="s">
        <v>378</v>
      </c>
      <c r="B154" s="5" t="s">
        <v>379</v>
      </c>
      <c r="C154" s="5" t="s">
        <v>118</v>
      </c>
      <c r="D154" s="5" t="s">
        <v>375</v>
      </c>
      <c r="E154" s="13" t="n">
        <v>0.04</v>
      </c>
      <c r="F154" s="13" t="n">
        <v>0.16</v>
      </c>
      <c r="G154" s="13" t="n">
        <v>0.07</v>
      </c>
      <c r="H154" s="13" t="n">
        <v>15</v>
      </c>
      <c r="I154" s="13" t="n">
        <v>0</v>
      </c>
      <c r="J154" s="13" t="n">
        <v>0</v>
      </c>
      <c r="K154" s="13" t="n">
        <v>0</v>
      </c>
      <c r="L154" s="13" t="n">
        <v>-0.11</v>
      </c>
      <c r="M154" s="13" t="n">
        <v>0.1</v>
      </c>
      <c r="N154" s="13" t="n">
        <v>0.07</v>
      </c>
      <c r="O154" s="13" t="n">
        <v>0.07</v>
      </c>
      <c r="P154" s="13" t="n">
        <v>0.075</v>
      </c>
      <c r="Q154" s="13" t="n">
        <v>0.435</v>
      </c>
      <c r="R154" s="13" t="n">
        <v>16</v>
      </c>
    </row>
    <row r="155" customFormat="false" ht="15" hidden="false" customHeight="false" outlineLevel="0" collapsed="false">
      <c r="A155" s="5" t="s">
        <v>380</v>
      </c>
      <c r="B155" s="5" t="s">
        <v>381</v>
      </c>
      <c r="C155" s="5" t="s">
        <v>118</v>
      </c>
      <c r="D155" s="5" t="s">
        <v>375</v>
      </c>
      <c r="E155" s="13" t="n">
        <v>0.035</v>
      </c>
      <c r="F155" s="13" t="n">
        <v>0.1</v>
      </c>
      <c r="G155" s="13" t="n">
        <v>0.045</v>
      </c>
      <c r="H155" s="13" t="n">
        <v>-20</v>
      </c>
      <c r="I155" s="13" t="n">
        <v>0</v>
      </c>
      <c r="J155" s="13" t="n">
        <v>0</v>
      </c>
      <c r="K155" s="13" t="n">
        <v>0</v>
      </c>
      <c r="L155" s="13" t="n">
        <v>-0.09</v>
      </c>
      <c r="M155" s="13" t="n">
        <v>-0.13</v>
      </c>
      <c r="N155" s="13" t="n">
        <v>0.07</v>
      </c>
      <c r="O155" s="13" t="n">
        <v>0.07</v>
      </c>
      <c r="P155" s="13" t="n">
        <v>0.075</v>
      </c>
      <c r="Q155" s="13" t="n">
        <v>0.435</v>
      </c>
      <c r="R155" s="13" t="n">
        <v>16</v>
      </c>
    </row>
    <row r="156" customFormat="false" ht="15" hidden="false" customHeight="false" outlineLevel="0" collapsed="false">
      <c r="A156" s="5" t="s">
        <v>382</v>
      </c>
      <c r="B156" s="5" t="s">
        <v>383</v>
      </c>
      <c r="C156" s="5" t="s">
        <v>118</v>
      </c>
      <c r="D156" s="5" t="s">
        <v>375</v>
      </c>
      <c r="E156" s="13" t="n">
        <v>0.058</v>
      </c>
      <c r="F156" s="13" t="n">
        <v>0.068</v>
      </c>
      <c r="G156" s="13" t="n">
        <v>0.24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0.34</v>
      </c>
      <c r="N156" s="13" t="n">
        <v>0.07</v>
      </c>
      <c r="O156" s="13" t="n">
        <v>0.07</v>
      </c>
      <c r="P156" s="13" t="n">
        <v>0.075</v>
      </c>
      <c r="Q156" s="13" t="n">
        <v>0.435</v>
      </c>
      <c r="R156" s="13" t="n">
        <v>16</v>
      </c>
    </row>
    <row r="157" customFormat="false" ht="15" hidden="false" customHeight="false" outlineLevel="0" collapsed="false">
      <c r="A157" s="5" t="s">
        <v>384</v>
      </c>
      <c r="B157" s="5" t="s">
        <v>385</v>
      </c>
      <c r="C157" s="5" t="s">
        <v>125</v>
      </c>
      <c r="D157" s="5" t="s">
        <v>375</v>
      </c>
      <c r="E157" s="13" t="n">
        <v>0.042</v>
      </c>
      <c r="F157" s="13" t="n">
        <v>0.042</v>
      </c>
      <c r="G157" s="13" t="n">
        <v>0.13</v>
      </c>
      <c r="H157" s="13" t="n">
        <v>0</v>
      </c>
      <c r="I157" s="13" t="n">
        <v>0</v>
      </c>
      <c r="J157" s="13" t="n">
        <v>0</v>
      </c>
      <c r="K157" s="13" t="n">
        <v>0</v>
      </c>
      <c r="L157" s="13" t="n">
        <v>0.085</v>
      </c>
      <c r="M157" s="13" t="n">
        <v>0.02</v>
      </c>
      <c r="N157" s="13" t="n">
        <v>0.07</v>
      </c>
      <c r="O157" s="13" t="n">
        <v>0.07</v>
      </c>
      <c r="P157" s="13" t="n">
        <v>0.075</v>
      </c>
      <c r="Q157" s="13" t="n">
        <v>0.435</v>
      </c>
      <c r="R157" s="13" t="n">
        <v>16</v>
      </c>
    </row>
    <row r="158" customFormat="false" ht="15" hidden="false" customHeight="false" outlineLevel="0" collapsed="false">
      <c r="A158" s="5" t="s">
        <v>386</v>
      </c>
      <c r="B158" s="5" t="s">
        <v>374</v>
      </c>
      <c r="C158" s="5" t="s">
        <v>118</v>
      </c>
      <c r="D158" s="5" t="s">
        <v>387</v>
      </c>
      <c r="E158" s="13" t="n">
        <v>0.06</v>
      </c>
      <c r="F158" s="13" t="n">
        <v>0.11</v>
      </c>
      <c r="G158" s="13" t="n">
        <v>0.52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0.07</v>
      </c>
      <c r="O158" s="13" t="n">
        <v>0.07</v>
      </c>
      <c r="P158" s="13" t="n">
        <v>0.075</v>
      </c>
      <c r="Q158" s="13" t="n">
        <v>0.435</v>
      </c>
      <c r="R158" s="13" t="n">
        <v>16</v>
      </c>
    </row>
    <row r="159" customFormat="false" ht="15" hidden="false" customHeight="false" outlineLevel="0" collapsed="false">
      <c r="A159" s="5" t="s">
        <v>388</v>
      </c>
      <c r="B159" s="5" t="s">
        <v>377</v>
      </c>
      <c r="C159" s="5" t="s">
        <v>125</v>
      </c>
      <c r="D159" s="5" t="s">
        <v>387</v>
      </c>
      <c r="E159" s="13" t="n">
        <v>0.035</v>
      </c>
      <c r="F159" s="13" t="n">
        <v>0.035</v>
      </c>
      <c r="G159" s="13" t="n">
        <v>0.4</v>
      </c>
      <c r="H159" s="13" t="n">
        <v>0</v>
      </c>
      <c r="I159" s="13" t="n">
        <v>0</v>
      </c>
      <c r="J159" s="13" t="n">
        <v>0</v>
      </c>
      <c r="K159" s="13" t="n">
        <v>0</v>
      </c>
      <c r="L159" s="13" t="n">
        <v>0.02</v>
      </c>
      <c r="M159" s="13" t="n">
        <v>0.45</v>
      </c>
      <c r="N159" s="13" t="n">
        <v>0.07</v>
      </c>
      <c r="O159" s="13" t="n">
        <v>0.07</v>
      </c>
      <c r="P159" s="13" t="n">
        <v>0.075</v>
      </c>
      <c r="Q159" s="13" t="n">
        <v>0.435</v>
      </c>
      <c r="R159" s="13" t="n">
        <v>16</v>
      </c>
    </row>
    <row r="160" customFormat="false" ht="15" hidden="false" customHeight="false" outlineLevel="0" collapsed="false">
      <c r="A160" s="5" t="s">
        <v>389</v>
      </c>
      <c r="B160" s="5" t="s">
        <v>379</v>
      </c>
      <c r="C160" s="5" t="s">
        <v>118</v>
      </c>
      <c r="D160" s="5" t="s">
        <v>387</v>
      </c>
      <c r="E160" s="13" t="n">
        <v>0.04</v>
      </c>
      <c r="F160" s="13" t="n">
        <v>0.16</v>
      </c>
      <c r="G160" s="13" t="n">
        <v>0.07</v>
      </c>
      <c r="H160" s="13" t="n">
        <v>15</v>
      </c>
      <c r="I160" s="13" t="n">
        <v>0</v>
      </c>
      <c r="J160" s="13" t="n">
        <v>0</v>
      </c>
      <c r="K160" s="13" t="n">
        <v>0</v>
      </c>
      <c r="L160" s="13" t="n">
        <v>-0.11</v>
      </c>
      <c r="M160" s="13" t="n">
        <v>0.1</v>
      </c>
      <c r="N160" s="13" t="n">
        <v>0.07</v>
      </c>
      <c r="O160" s="13" t="n">
        <v>0.07</v>
      </c>
      <c r="P160" s="13" t="n">
        <v>0.075</v>
      </c>
      <c r="Q160" s="13" t="n">
        <v>0.435</v>
      </c>
      <c r="R160" s="13" t="n">
        <v>16</v>
      </c>
    </row>
    <row r="161" customFormat="false" ht="15" hidden="false" customHeight="false" outlineLevel="0" collapsed="false">
      <c r="A161" s="5" t="s">
        <v>390</v>
      </c>
      <c r="B161" s="5" t="s">
        <v>381</v>
      </c>
      <c r="C161" s="5" t="s">
        <v>118</v>
      </c>
      <c r="D161" s="5" t="s">
        <v>387</v>
      </c>
      <c r="E161" s="13" t="n">
        <v>0.035</v>
      </c>
      <c r="F161" s="13" t="n">
        <v>0.1</v>
      </c>
      <c r="G161" s="13" t="n">
        <v>0.045</v>
      </c>
      <c r="H161" s="13" t="n">
        <v>-20</v>
      </c>
      <c r="I161" s="13" t="n">
        <v>0</v>
      </c>
      <c r="J161" s="13" t="n">
        <v>0</v>
      </c>
      <c r="K161" s="13" t="n">
        <v>0</v>
      </c>
      <c r="L161" s="13" t="n">
        <v>-0.09</v>
      </c>
      <c r="M161" s="13" t="n">
        <v>-0.13</v>
      </c>
      <c r="N161" s="13" t="n">
        <v>0.07</v>
      </c>
      <c r="O161" s="13" t="n">
        <v>0.07</v>
      </c>
      <c r="P161" s="13" t="n">
        <v>0.075</v>
      </c>
      <c r="Q161" s="13" t="n">
        <v>0.435</v>
      </c>
      <c r="R161" s="13" t="n">
        <v>16</v>
      </c>
    </row>
    <row r="162" customFormat="false" ht="15" hidden="false" customHeight="false" outlineLevel="0" collapsed="false">
      <c r="A162" s="5" t="s">
        <v>391</v>
      </c>
      <c r="B162" s="5" t="s">
        <v>383</v>
      </c>
      <c r="C162" s="5" t="s">
        <v>118</v>
      </c>
      <c r="D162" s="5" t="s">
        <v>387</v>
      </c>
      <c r="E162" s="13" t="n">
        <v>0.058</v>
      </c>
      <c r="F162" s="13" t="n">
        <v>0.068</v>
      </c>
      <c r="G162" s="13" t="n">
        <v>0.24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 t="n">
        <v>0</v>
      </c>
      <c r="M162" s="13" t="n">
        <v>0.34</v>
      </c>
      <c r="N162" s="13" t="n">
        <v>0.07</v>
      </c>
      <c r="O162" s="13" t="n">
        <v>0.07</v>
      </c>
      <c r="P162" s="13" t="n">
        <v>0.075</v>
      </c>
      <c r="Q162" s="13" t="n">
        <v>0.435</v>
      </c>
      <c r="R162" s="13" t="n">
        <v>16</v>
      </c>
    </row>
    <row r="163" customFormat="false" ht="15" hidden="false" customHeight="false" outlineLevel="0" collapsed="false">
      <c r="A163" s="5" t="s">
        <v>392</v>
      </c>
      <c r="B163" s="5" t="s">
        <v>385</v>
      </c>
      <c r="C163" s="5" t="s">
        <v>125</v>
      </c>
      <c r="D163" s="5" t="s">
        <v>387</v>
      </c>
      <c r="E163" s="13" t="n">
        <v>0.042</v>
      </c>
      <c r="F163" s="13" t="n">
        <v>0.042</v>
      </c>
      <c r="G163" s="13" t="n">
        <v>0.13</v>
      </c>
      <c r="H163" s="13" t="n">
        <v>0</v>
      </c>
      <c r="I163" s="13" t="n">
        <v>0</v>
      </c>
      <c r="J163" s="13" t="n">
        <v>0</v>
      </c>
      <c r="K163" s="13" t="n">
        <v>0</v>
      </c>
      <c r="L163" s="13" t="n">
        <v>0.085</v>
      </c>
      <c r="M163" s="13" t="n">
        <v>0.02</v>
      </c>
      <c r="N163" s="13" t="n">
        <v>0.07</v>
      </c>
      <c r="O163" s="13" t="n">
        <v>0.07</v>
      </c>
      <c r="P163" s="13" t="n">
        <v>0.075</v>
      </c>
      <c r="Q163" s="13" t="n">
        <v>0.435</v>
      </c>
      <c r="R163" s="13" t="n">
        <v>16</v>
      </c>
    </row>
    <row r="164" customFormat="false" ht="15" hidden="false" customHeight="false" outlineLevel="0" collapsed="false">
      <c r="A164" s="5" t="s">
        <v>393</v>
      </c>
      <c r="B164" s="5" t="s">
        <v>394</v>
      </c>
      <c r="C164" s="5" t="s">
        <v>118</v>
      </c>
      <c r="D164" s="5" t="s">
        <v>368</v>
      </c>
      <c r="E164" s="13" t="n">
        <v>0.46</v>
      </c>
      <c r="F164" s="13" t="n">
        <v>0.32</v>
      </c>
      <c r="G164" s="13" t="n">
        <v>0.36</v>
      </c>
      <c r="H164" s="13" t="n">
        <v>0</v>
      </c>
      <c r="I164" s="13" t="n">
        <v>0</v>
      </c>
      <c r="J164" s="13" t="n">
        <v>0</v>
      </c>
      <c r="K164" s="13" t="n">
        <v>0</v>
      </c>
      <c r="L164" s="13" t="n">
        <v>-0.1</v>
      </c>
      <c r="M164" s="13" t="n">
        <v>0.4</v>
      </c>
      <c r="N164" s="13" t="n">
        <v>0.42</v>
      </c>
      <c r="O164" s="13" t="n">
        <v>0.33</v>
      </c>
      <c r="P164" s="13" t="n">
        <v>0.2</v>
      </c>
      <c r="Q164" s="13" t="n">
        <v>0.115</v>
      </c>
      <c r="R164" s="13" t="n">
        <v>4</v>
      </c>
    </row>
    <row r="165" customFormat="false" ht="15" hidden="false" customHeight="false" outlineLevel="0" collapsed="false">
      <c r="A165" s="5" t="s">
        <v>395</v>
      </c>
      <c r="B165" s="5" t="s">
        <v>396</v>
      </c>
      <c r="C165" s="5" t="s">
        <v>125</v>
      </c>
      <c r="D165" s="5" t="s">
        <v>397</v>
      </c>
      <c r="E165" s="13" t="n">
        <v>0.125</v>
      </c>
      <c r="F165" s="13" t="n">
        <v>0.115</v>
      </c>
      <c r="G165" s="13" t="n">
        <v>0.11</v>
      </c>
      <c r="H165" s="13" t="n">
        <v>90</v>
      </c>
      <c r="I165" s="13" t="n">
        <v>0</v>
      </c>
      <c r="J165" s="13" t="n">
        <v>0</v>
      </c>
      <c r="K165" s="13" t="n">
        <v>0</v>
      </c>
      <c r="L165" s="13" t="n">
        <v>0.035</v>
      </c>
      <c r="M165" s="13" t="n">
        <v>0</v>
      </c>
      <c r="N165" s="13" t="n">
        <v>0.376</v>
      </c>
      <c r="O165" s="13" t="n">
        <v>0.2629</v>
      </c>
      <c r="P165" s="13" t="n">
        <v>0.1904</v>
      </c>
      <c r="Q165" s="13" t="n">
        <v>0.175</v>
      </c>
      <c r="R165" s="13" t="n">
        <v>12.1257</v>
      </c>
    </row>
    <row r="166" customFormat="false" ht="15" hidden="false" customHeight="false" outlineLevel="0" collapsed="false">
      <c r="A166" s="5" t="s">
        <v>398</v>
      </c>
      <c r="B166" s="5" t="s">
        <v>399</v>
      </c>
      <c r="C166" s="5" t="s">
        <v>122</v>
      </c>
      <c r="D166" s="5" t="s">
        <v>400</v>
      </c>
      <c r="E166" s="13" t="n">
        <v>0.18</v>
      </c>
      <c r="F166" s="13" t="n">
        <v>0.225</v>
      </c>
      <c r="G166" s="13" t="n">
        <v>0.205</v>
      </c>
      <c r="H166" s="13" t="n">
        <v>0</v>
      </c>
      <c r="I166" s="13" t="n">
        <v>0</v>
      </c>
      <c r="J166" s="13" t="n">
        <v>0</v>
      </c>
      <c r="K166" s="13" t="n">
        <v>0</v>
      </c>
      <c r="L166" s="13" t="n">
        <v>0.08</v>
      </c>
      <c r="M166" s="13" t="n">
        <v>0</v>
      </c>
      <c r="N166" s="13" t="n">
        <v>0.376</v>
      </c>
      <c r="O166" s="13" t="n">
        <v>0.2629</v>
      </c>
      <c r="P166" s="13" t="n">
        <v>0.1904</v>
      </c>
      <c r="Q166" s="13" t="n">
        <v>0.175</v>
      </c>
      <c r="R166" s="13" t="n">
        <v>12.1257</v>
      </c>
    </row>
    <row r="167" customFormat="false" ht="15" hidden="false" customHeight="false" outlineLevel="0" collapsed="false">
      <c r="A167" s="5" t="s">
        <v>401</v>
      </c>
      <c r="B167" s="5" t="s">
        <v>402</v>
      </c>
      <c r="C167" s="5" t="s">
        <v>123</v>
      </c>
      <c r="D167" s="5" t="s">
        <v>400</v>
      </c>
      <c r="E167" s="13" t="n">
        <v>0.245</v>
      </c>
      <c r="F167" s="13" t="n">
        <v>0.125</v>
      </c>
      <c r="G167" s="13" t="n">
        <v>0.265</v>
      </c>
      <c r="H167" s="13" t="n">
        <v>-6</v>
      </c>
      <c r="I167" s="13" t="n">
        <v>0</v>
      </c>
      <c r="J167" s="13" t="n">
        <v>0</v>
      </c>
      <c r="K167" s="13" t="n">
        <v>0</v>
      </c>
      <c r="L167" s="13" t="n">
        <v>0.1822</v>
      </c>
      <c r="M167" s="13" t="n">
        <v>-0.0165</v>
      </c>
      <c r="N167" s="13" t="n">
        <v>0.2455</v>
      </c>
      <c r="O167" s="13" t="n">
        <v>0.2644</v>
      </c>
      <c r="P167" s="13" t="n">
        <v>0.1889</v>
      </c>
      <c r="Q167" s="13" t="n">
        <v>0.055</v>
      </c>
      <c r="R167" s="13" t="n">
        <v>2</v>
      </c>
    </row>
    <row r="168" customFormat="false" ht="15" hidden="false" customHeight="false" outlineLevel="0" collapsed="false">
      <c r="A168" s="5" t="s">
        <v>403</v>
      </c>
      <c r="B168" s="5" t="s">
        <v>404</v>
      </c>
      <c r="C168" s="5" t="s">
        <v>125</v>
      </c>
      <c r="D168" s="5" t="s">
        <v>400</v>
      </c>
      <c r="E168" s="13" t="n">
        <v>0.255</v>
      </c>
      <c r="F168" s="13" t="n">
        <v>0.28</v>
      </c>
      <c r="G168" s="13" t="n">
        <v>0.022</v>
      </c>
      <c r="H168" s="13" t="n">
        <v>84</v>
      </c>
      <c r="I168" s="13" t="n">
        <v>0</v>
      </c>
      <c r="J168" s="13" t="n">
        <v>0</v>
      </c>
      <c r="K168" s="13" t="n">
        <v>0</v>
      </c>
      <c r="L168" s="13" t="n">
        <v>0.138</v>
      </c>
      <c r="M168" s="13" t="n">
        <v>-0.005</v>
      </c>
      <c r="N168" s="13" t="n">
        <v>0.1719</v>
      </c>
      <c r="O168" s="13" t="n">
        <v>0.1851</v>
      </c>
      <c r="P168" s="13" t="n">
        <v>0.1322</v>
      </c>
      <c r="Q168" s="13" t="n">
        <v>0.198</v>
      </c>
      <c r="R168" s="13" t="n">
        <v>9.1896</v>
      </c>
    </row>
    <row r="169" customFormat="false" ht="15" hidden="false" customHeight="false" outlineLevel="0" collapsed="false">
      <c r="A169" s="5" t="s">
        <v>405</v>
      </c>
      <c r="B169" s="5" t="s">
        <v>406</v>
      </c>
      <c r="C169" s="5" t="s">
        <v>122</v>
      </c>
      <c r="D169" s="5" t="s">
        <v>400</v>
      </c>
      <c r="E169" s="13" t="n">
        <v>0.13</v>
      </c>
      <c r="F169" s="13" t="n">
        <v>0.085</v>
      </c>
      <c r="G169" s="13" t="n">
        <v>0.115</v>
      </c>
      <c r="H169" s="13" t="n">
        <v>0</v>
      </c>
      <c r="I169" s="13" t="n">
        <v>0</v>
      </c>
      <c r="J169" s="13" t="n">
        <v>0</v>
      </c>
      <c r="K169" s="13" t="n">
        <v>0</v>
      </c>
      <c r="L169" s="13" t="n">
        <v>0.018</v>
      </c>
      <c r="M169" s="13" t="n">
        <v>0.037</v>
      </c>
      <c r="N169" s="13" t="n">
        <v>0.376</v>
      </c>
      <c r="O169" s="13" t="n">
        <v>0.2629</v>
      </c>
      <c r="P169" s="13" t="n">
        <v>0.1904</v>
      </c>
      <c r="Q169" s="13" t="n">
        <v>0.175</v>
      </c>
      <c r="R169" s="13" t="n">
        <v>12.1257</v>
      </c>
    </row>
    <row r="170" customFormat="false" ht="15" hidden="false" customHeight="false" outlineLevel="0" collapsed="false">
      <c r="A170" s="5" t="s">
        <v>407</v>
      </c>
      <c r="B170" s="5" t="s">
        <v>408</v>
      </c>
      <c r="C170" s="5" t="s">
        <v>122</v>
      </c>
      <c r="D170" s="5" t="s">
        <v>400</v>
      </c>
      <c r="E170" s="13" t="n">
        <v>0.032</v>
      </c>
      <c r="F170" s="13" t="n">
        <v>0.05</v>
      </c>
      <c r="G170" s="13" t="n">
        <v>0.045</v>
      </c>
      <c r="H170" s="13" t="n">
        <v>-15</v>
      </c>
      <c r="I170" s="13" t="n">
        <v>0</v>
      </c>
      <c r="J170" s="13" t="n">
        <v>0</v>
      </c>
      <c r="K170" s="13" t="n">
        <v>0</v>
      </c>
      <c r="L170" s="13" t="n">
        <v>0.062</v>
      </c>
      <c r="M170" s="13" t="n">
        <v>0.098</v>
      </c>
      <c r="N170" s="13" t="n">
        <v>0.376</v>
      </c>
      <c r="O170" s="13" t="n">
        <v>0.2629</v>
      </c>
      <c r="P170" s="13" t="n">
        <v>0.1904</v>
      </c>
      <c r="Q170" s="13" t="n">
        <v>0.175</v>
      </c>
      <c r="R170" s="13" t="n">
        <v>12.1257</v>
      </c>
    </row>
    <row r="171" customFormat="false" ht="15" hidden="false" customHeight="false" outlineLevel="0" collapsed="false">
      <c r="A171" s="5" t="s">
        <v>409</v>
      </c>
      <c r="B171" s="5" t="s">
        <v>410</v>
      </c>
      <c r="C171" s="5" t="s">
        <v>122</v>
      </c>
      <c r="D171" s="5" t="s">
        <v>400</v>
      </c>
      <c r="E171" s="13" t="n">
        <v>0.024</v>
      </c>
      <c r="F171" s="13" t="n">
        <v>0.016</v>
      </c>
      <c r="G171" s="13" t="n">
        <v>0.012</v>
      </c>
      <c r="H171" s="13" t="n">
        <v>0</v>
      </c>
      <c r="I171" s="13" t="n">
        <v>0</v>
      </c>
      <c r="J171" s="13" t="n">
        <v>0</v>
      </c>
      <c r="K171" s="13" t="n">
        <v>0.033</v>
      </c>
      <c r="L171" s="13" t="n">
        <v>0.093</v>
      </c>
      <c r="M171" s="13" t="n">
        <v>0.094</v>
      </c>
      <c r="N171" s="13" t="n">
        <v>0.035</v>
      </c>
      <c r="O171" s="13" t="n">
        <v>0.03</v>
      </c>
      <c r="P171" s="13" t="n">
        <v>0.025</v>
      </c>
      <c r="Q171" s="13" t="n">
        <v>0.28</v>
      </c>
      <c r="R171" s="13" t="n">
        <v>84.4485</v>
      </c>
    </row>
    <row r="172" customFormat="false" ht="15" hidden="false" customHeight="false" outlineLevel="0" collapsed="false">
      <c r="A172" s="5" t="s">
        <v>411</v>
      </c>
      <c r="B172" s="5" t="s">
        <v>412</v>
      </c>
      <c r="C172" s="5" t="s">
        <v>122</v>
      </c>
      <c r="D172" s="5" t="s">
        <v>400</v>
      </c>
      <c r="E172" s="13" t="n">
        <v>0.022</v>
      </c>
      <c r="F172" s="13" t="n">
        <v>0.058</v>
      </c>
      <c r="G172" s="13" t="n">
        <v>0.042</v>
      </c>
      <c r="H172" s="13" t="n">
        <v>0</v>
      </c>
      <c r="I172" s="13" t="n">
        <v>0</v>
      </c>
      <c r="J172" s="13" t="n">
        <v>0</v>
      </c>
      <c r="K172" s="13" t="n">
        <v>0.089</v>
      </c>
      <c r="L172" s="13" t="n">
        <v>0.075</v>
      </c>
      <c r="M172" s="13" t="n">
        <v>-0.005</v>
      </c>
      <c r="N172" s="13" t="n">
        <v>0.376</v>
      </c>
      <c r="O172" s="13" t="n">
        <v>0.2629</v>
      </c>
      <c r="P172" s="13" t="n">
        <v>0.1904</v>
      </c>
      <c r="Q172" s="13" t="n">
        <v>0.175</v>
      </c>
      <c r="R172" s="13" t="n">
        <v>12.1257</v>
      </c>
    </row>
    <row r="173" customFormat="false" ht="15" hidden="false" customHeight="false" outlineLevel="0" collapsed="false">
      <c r="A173" s="5" t="s">
        <v>413</v>
      </c>
      <c r="B173" s="5" t="s">
        <v>414</v>
      </c>
      <c r="C173" s="5" t="s">
        <v>125</v>
      </c>
      <c r="D173" s="5" t="s">
        <v>400</v>
      </c>
      <c r="E173" s="13" t="n">
        <v>0.012</v>
      </c>
      <c r="F173" s="13" t="n">
        <v>0.012</v>
      </c>
      <c r="G173" s="13" t="n">
        <v>0.1695</v>
      </c>
      <c r="H173" s="13" t="n">
        <v>58.8041</v>
      </c>
      <c r="I173" s="13" t="n">
        <v>-37.1309</v>
      </c>
      <c r="J173" s="13" t="n">
        <v>0</v>
      </c>
      <c r="K173" s="13" t="n">
        <v>0.0615</v>
      </c>
      <c r="L173" s="13" t="n">
        <v>0.0525</v>
      </c>
      <c r="M173" s="13" t="n">
        <v>0.025</v>
      </c>
      <c r="N173" s="13" t="n">
        <v>0.09</v>
      </c>
      <c r="O173" s="13" t="n">
        <v>0.085</v>
      </c>
      <c r="P173" s="13" t="n">
        <v>0.06</v>
      </c>
      <c r="Q173" s="13" t="n">
        <v>0.085</v>
      </c>
      <c r="R173" s="13" t="n">
        <v>2.2974</v>
      </c>
    </row>
    <row r="174" customFormat="false" ht="15" hidden="false" customHeight="false" outlineLevel="0" collapsed="false">
      <c r="A174" s="5" t="s">
        <v>415</v>
      </c>
      <c r="B174" s="5" t="s">
        <v>410</v>
      </c>
      <c r="C174" s="5" t="s">
        <v>122</v>
      </c>
      <c r="D174" s="5" t="s">
        <v>400</v>
      </c>
      <c r="E174" s="13" t="n">
        <v>0.024</v>
      </c>
      <c r="F174" s="13" t="n">
        <v>0.016</v>
      </c>
      <c r="G174" s="13" t="n">
        <v>0.012</v>
      </c>
      <c r="H174" s="13" t="n">
        <v>0</v>
      </c>
      <c r="I174" s="13" t="n">
        <v>0</v>
      </c>
      <c r="J174" s="13" t="n">
        <v>0</v>
      </c>
      <c r="K174" s="13" t="n">
        <v>-0.033</v>
      </c>
      <c r="L174" s="13" t="n">
        <v>0.093</v>
      </c>
      <c r="M174" s="13" t="n">
        <v>0.094</v>
      </c>
      <c r="N174" s="13" t="n">
        <v>0.035</v>
      </c>
      <c r="O174" s="13" t="n">
        <v>0.03</v>
      </c>
      <c r="P174" s="13" t="n">
        <v>0.025</v>
      </c>
      <c r="Q174" s="13" t="n">
        <v>0.28</v>
      </c>
      <c r="R174" s="13" t="n">
        <v>84.4485</v>
      </c>
    </row>
    <row r="175" customFormat="false" ht="15" hidden="false" customHeight="false" outlineLevel="0" collapsed="false">
      <c r="A175" s="5" t="s">
        <v>416</v>
      </c>
      <c r="B175" s="5" t="s">
        <v>412</v>
      </c>
      <c r="C175" s="5" t="s">
        <v>122</v>
      </c>
      <c r="D175" s="5" t="s">
        <v>400</v>
      </c>
      <c r="E175" s="13" t="n">
        <v>0.022</v>
      </c>
      <c r="F175" s="13" t="n">
        <v>0.058</v>
      </c>
      <c r="G175" s="13" t="n">
        <v>0.042</v>
      </c>
      <c r="H175" s="13" t="n">
        <v>0</v>
      </c>
      <c r="I175" s="13" t="n">
        <v>0</v>
      </c>
      <c r="J175" s="13" t="n">
        <v>0</v>
      </c>
      <c r="K175" s="13" t="n">
        <v>-0.089</v>
      </c>
      <c r="L175" s="13" t="n">
        <v>0.075</v>
      </c>
      <c r="M175" s="13" t="n">
        <v>-0.005</v>
      </c>
      <c r="N175" s="13" t="n">
        <v>0.376</v>
      </c>
      <c r="O175" s="13" t="n">
        <v>0.2629</v>
      </c>
      <c r="P175" s="13" t="n">
        <v>0.1904</v>
      </c>
      <c r="Q175" s="13" t="n">
        <v>0.175</v>
      </c>
      <c r="R175" s="13" t="n">
        <v>12.1257</v>
      </c>
    </row>
    <row r="176" customFormat="false" ht="15" hidden="false" customHeight="false" outlineLevel="0" collapsed="false">
      <c r="A176" s="5" t="s">
        <v>417</v>
      </c>
      <c r="B176" s="5" t="s">
        <v>414</v>
      </c>
      <c r="C176" s="5" t="s">
        <v>125</v>
      </c>
      <c r="D176" s="5" t="s">
        <v>400</v>
      </c>
      <c r="E176" s="13" t="n">
        <v>0.012</v>
      </c>
      <c r="F176" s="13" t="n">
        <v>0.012</v>
      </c>
      <c r="G176" s="13" t="n">
        <v>0.1695</v>
      </c>
      <c r="H176" s="13" t="n">
        <v>58.8041</v>
      </c>
      <c r="I176" s="13" t="n">
        <v>37.1309</v>
      </c>
      <c r="J176" s="13" t="n">
        <v>0</v>
      </c>
      <c r="K176" s="13" t="n">
        <v>-0.0615</v>
      </c>
      <c r="L176" s="13" t="n">
        <v>0.0525</v>
      </c>
      <c r="M176" s="13" t="n">
        <v>0.025</v>
      </c>
      <c r="N176" s="13" t="n">
        <v>0.09</v>
      </c>
      <c r="O176" s="13" t="n">
        <v>0.085</v>
      </c>
      <c r="P176" s="13" t="n">
        <v>0.06</v>
      </c>
      <c r="Q176" s="13" t="n">
        <v>0.085</v>
      </c>
      <c r="R176" s="13" t="n">
        <v>2.2974</v>
      </c>
    </row>
    <row r="177" customFormat="false" ht="15" hidden="false" customHeight="false" outlineLevel="0" collapsed="false">
      <c r="A177" s="5" t="s">
        <v>418</v>
      </c>
      <c r="B177" s="5" t="s">
        <v>419</v>
      </c>
      <c r="C177" s="5" t="s">
        <v>118</v>
      </c>
      <c r="D177" s="5" t="s">
        <v>400</v>
      </c>
      <c r="E177" s="13" t="n">
        <v>0.15</v>
      </c>
      <c r="F177" s="13" t="n">
        <v>0.032</v>
      </c>
      <c r="G177" s="13" t="n">
        <v>0.03</v>
      </c>
      <c r="H177" s="13" t="n">
        <v>-35</v>
      </c>
      <c r="I177" s="13" t="n">
        <v>0</v>
      </c>
      <c r="J177" s="13" t="n">
        <v>0</v>
      </c>
      <c r="K177" s="13" t="n">
        <v>0</v>
      </c>
      <c r="L177" s="13" t="n">
        <v>0.215</v>
      </c>
      <c r="M177" s="13" t="n">
        <v>0.092</v>
      </c>
      <c r="N177" s="13" t="n">
        <v>0.04</v>
      </c>
      <c r="O177" s="13" t="n">
        <v>0.05</v>
      </c>
      <c r="P177" s="13" t="n">
        <v>0.06</v>
      </c>
      <c r="Q177" s="13" t="n">
        <v>0.3465</v>
      </c>
      <c r="R177" s="13" t="n">
        <v>194.012</v>
      </c>
    </row>
    <row r="178" customFormat="false" ht="15" hidden="false" customHeight="false" outlineLevel="0" collapsed="false">
      <c r="A178" s="5" t="s">
        <v>420</v>
      </c>
      <c r="B178" s="5" t="s">
        <v>421</v>
      </c>
      <c r="C178" s="5" t="s">
        <v>118</v>
      </c>
      <c r="D178" s="5" t="s">
        <v>400</v>
      </c>
      <c r="E178" s="13" t="n">
        <v>0.04</v>
      </c>
      <c r="F178" s="13" t="n">
        <v>0.035</v>
      </c>
      <c r="G178" s="13" t="n">
        <v>0.025</v>
      </c>
      <c r="H178" s="13" t="n">
        <v>-10</v>
      </c>
      <c r="I178" s="13" t="n">
        <v>0</v>
      </c>
      <c r="J178" s="13" t="n">
        <v>0</v>
      </c>
      <c r="K178" s="13" t="n">
        <v>0</v>
      </c>
      <c r="L178" s="13" t="n">
        <v>0.163</v>
      </c>
      <c r="M178" s="13" t="n">
        <v>0.128</v>
      </c>
      <c r="N178" s="13" t="n">
        <v>0.07</v>
      </c>
      <c r="O178" s="13" t="n">
        <v>0.07</v>
      </c>
      <c r="P178" s="13" t="n">
        <v>0.075</v>
      </c>
      <c r="Q178" s="13" t="n">
        <v>0.435</v>
      </c>
      <c r="R178" s="13" t="n">
        <v>16</v>
      </c>
    </row>
    <row r="179" customFormat="false" ht="15" hidden="false" customHeight="false" outlineLevel="0" collapsed="false">
      <c r="A179" s="5" t="s">
        <v>422</v>
      </c>
      <c r="B179" s="5" t="s">
        <v>423</v>
      </c>
      <c r="C179" s="5" t="s">
        <v>122</v>
      </c>
      <c r="D179" s="5" t="s">
        <v>397</v>
      </c>
      <c r="E179" s="13" t="n">
        <v>0.2</v>
      </c>
      <c r="F179" s="13" t="n">
        <v>0.085</v>
      </c>
      <c r="G179" s="13" t="n">
        <v>0.15</v>
      </c>
      <c r="H179" s="13" t="n">
        <v>0</v>
      </c>
      <c r="I179" s="13" t="n">
        <v>0</v>
      </c>
      <c r="J179" s="13" t="n">
        <v>-20</v>
      </c>
      <c r="K179" s="13" t="n">
        <v>0.085</v>
      </c>
      <c r="L179" s="13" t="n">
        <v>-0.02</v>
      </c>
      <c r="M179" s="13" t="n">
        <v>-0.02</v>
      </c>
      <c r="N179" s="13" t="n">
        <v>0.3003</v>
      </c>
      <c r="O179" s="13" t="n">
        <v>0.3029</v>
      </c>
      <c r="P179" s="13" t="n">
        <v>0.2156</v>
      </c>
      <c r="Q179" s="13" t="n">
        <v>0.055</v>
      </c>
      <c r="R179" s="13" t="n">
        <v>2</v>
      </c>
    </row>
    <row r="180" customFormat="false" ht="15" hidden="false" customHeight="false" outlineLevel="0" collapsed="false">
      <c r="A180" s="5" t="s">
        <v>424</v>
      </c>
      <c r="B180" s="5" t="s">
        <v>423</v>
      </c>
      <c r="C180" s="5" t="s">
        <v>122</v>
      </c>
      <c r="D180" s="5" t="s">
        <v>397</v>
      </c>
      <c r="E180" s="13" t="n">
        <v>0.2</v>
      </c>
      <c r="F180" s="13" t="n">
        <v>0.085</v>
      </c>
      <c r="G180" s="13" t="n">
        <v>0.15</v>
      </c>
      <c r="H180" s="13" t="n">
        <v>0</v>
      </c>
      <c r="I180" s="13" t="n">
        <v>0</v>
      </c>
      <c r="J180" s="13" t="n">
        <v>20</v>
      </c>
      <c r="K180" s="13" t="n">
        <v>-0.085</v>
      </c>
      <c r="L180" s="13" t="n">
        <v>-0.02</v>
      </c>
      <c r="M180" s="13" t="n">
        <v>-0.02</v>
      </c>
      <c r="N180" s="13" t="n">
        <v>0.3003</v>
      </c>
      <c r="O180" s="13" t="n">
        <v>0.3029</v>
      </c>
      <c r="P180" s="13" t="n">
        <v>0.2156</v>
      </c>
      <c r="Q180" s="13" t="n">
        <v>0.055</v>
      </c>
      <c r="R180" s="13" t="n">
        <v>2</v>
      </c>
    </row>
    <row r="181" customFormat="false" ht="15" hidden="false" customHeight="false" outlineLevel="0" collapsed="false">
      <c r="A181" s="5" t="s">
        <v>425</v>
      </c>
      <c r="B181" s="5" t="s">
        <v>426</v>
      </c>
      <c r="C181" s="5" t="s">
        <v>122</v>
      </c>
      <c r="D181" s="5" t="s">
        <v>427</v>
      </c>
      <c r="E181" s="13" t="n">
        <v>0.13</v>
      </c>
      <c r="F181" s="13" t="n">
        <v>0.13</v>
      </c>
      <c r="G181" s="13" t="n">
        <v>0.13</v>
      </c>
      <c r="H181" s="13" t="n">
        <v>0</v>
      </c>
      <c r="I181" s="13" t="n">
        <v>0</v>
      </c>
      <c r="J181" s="13" t="n">
        <v>0</v>
      </c>
      <c r="K181" s="13" t="n">
        <v>0</v>
      </c>
      <c r="L181" s="13" t="n">
        <v>0</v>
      </c>
      <c r="M181" s="13" t="n">
        <v>0</v>
      </c>
      <c r="N181" s="13" t="n">
        <v>0.3183</v>
      </c>
      <c r="O181" s="13" t="n">
        <v>0.3211</v>
      </c>
      <c r="P181" s="13" t="n">
        <v>0.2285</v>
      </c>
      <c r="Q181" s="13" t="n">
        <v>0.055</v>
      </c>
      <c r="R181" s="13" t="n">
        <v>2</v>
      </c>
    </row>
    <row r="182" customFormat="false" ht="15" hidden="false" customHeight="false" outlineLevel="0" collapsed="false">
      <c r="A182" s="5" t="s">
        <v>428</v>
      </c>
      <c r="B182" s="5" t="s">
        <v>429</v>
      </c>
      <c r="C182" s="5" t="s">
        <v>125</v>
      </c>
      <c r="D182" s="5" t="s">
        <v>427</v>
      </c>
      <c r="E182" s="13" t="n">
        <v>0.13</v>
      </c>
      <c r="F182" s="13" t="n">
        <v>0.13</v>
      </c>
      <c r="G182" s="13" t="n">
        <v>0.3</v>
      </c>
      <c r="H182" s="13" t="n">
        <v>90</v>
      </c>
      <c r="I182" s="13" t="n">
        <v>0</v>
      </c>
      <c r="J182" s="13" t="n">
        <v>0</v>
      </c>
      <c r="K182" s="13" t="n">
        <v>0</v>
      </c>
      <c r="L182" s="13" t="n">
        <v>-0.15</v>
      </c>
      <c r="M182" s="13" t="n">
        <v>0</v>
      </c>
      <c r="N182" s="13" t="n">
        <v>0.3183</v>
      </c>
      <c r="O182" s="13" t="n">
        <v>0.3211</v>
      </c>
      <c r="P182" s="13" t="n">
        <v>0.2285</v>
      </c>
      <c r="Q182" s="13" t="n">
        <v>0.055</v>
      </c>
      <c r="R182" s="13" t="n">
        <v>2</v>
      </c>
    </row>
    <row r="183" customFormat="false" ht="15" hidden="false" customHeight="false" outlineLevel="0" collapsed="false">
      <c r="A183" s="5" t="s">
        <v>430</v>
      </c>
      <c r="B183" s="5" t="s">
        <v>431</v>
      </c>
      <c r="C183" s="5" t="s">
        <v>122</v>
      </c>
      <c r="D183" s="5" t="s">
        <v>432</v>
      </c>
      <c r="E183" s="13" t="n">
        <v>0.13</v>
      </c>
      <c r="F183" s="13" t="n">
        <v>0.13</v>
      </c>
      <c r="G183" s="13" t="n">
        <v>0.13</v>
      </c>
      <c r="H183" s="13" t="n">
        <v>0</v>
      </c>
      <c r="I183" s="13" t="n">
        <v>0</v>
      </c>
      <c r="J183" s="13" t="n">
        <v>0</v>
      </c>
      <c r="K183" s="13" t="n">
        <v>0</v>
      </c>
      <c r="L183" s="13" t="n">
        <v>0</v>
      </c>
      <c r="M183" s="13" t="n">
        <v>0</v>
      </c>
      <c r="N183" s="13" t="n">
        <v>0.3183</v>
      </c>
      <c r="O183" s="13" t="n">
        <v>0.3211</v>
      </c>
      <c r="P183" s="13" t="n">
        <v>0.2285</v>
      </c>
      <c r="Q183" s="13" t="n">
        <v>0.055</v>
      </c>
      <c r="R183" s="13" t="n">
        <v>2</v>
      </c>
    </row>
    <row r="184" customFormat="false" ht="15" hidden="false" customHeight="false" outlineLevel="0" collapsed="false">
      <c r="A184" s="5" t="s">
        <v>433</v>
      </c>
      <c r="B184" s="5" t="s">
        <v>434</v>
      </c>
      <c r="C184" s="5" t="s">
        <v>125</v>
      </c>
      <c r="D184" s="5" t="s">
        <v>432</v>
      </c>
      <c r="E184" s="13" t="n">
        <v>0.11</v>
      </c>
      <c r="F184" s="13" t="n">
        <v>0.11</v>
      </c>
      <c r="G184" s="13" t="n">
        <v>0.26</v>
      </c>
      <c r="H184" s="13" t="n">
        <v>90</v>
      </c>
      <c r="I184" s="13" t="n">
        <v>0</v>
      </c>
      <c r="J184" s="13" t="n">
        <v>0</v>
      </c>
      <c r="K184" s="13" t="n">
        <v>0</v>
      </c>
      <c r="L184" s="13" t="n">
        <v>-0.13</v>
      </c>
      <c r="M184" s="13" t="n">
        <v>0</v>
      </c>
      <c r="N184" s="13" t="n">
        <v>0.3183</v>
      </c>
      <c r="O184" s="13" t="n">
        <v>0.3211</v>
      </c>
      <c r="P184" s="13" t="n">
        <v>0.2285</v>
      </c>
      <c r="Q184" s="13" t="n">
        <v>0.055</v>
      </c>
      <c r="R184" s="13" t="n">
        <v>2</v>
      </c>
    </row>
    <row r="185" customFormat="false" ht="15" hidden="false" customHeight="false" outlineLevel="0" collapsed="false">
      <c r="A185" s="5" t="s">
        <v>435</v>
      </c>
      <c r="B185" s="5" t="s">
        <v>436</v>
      </c>
      <c r="C185" s="5" t="s">
        <v>122</v>
      </c>
      <c r="D185" s="5" t="s">
        <v>437</v>
      </c>
      <c r="E185" s="13" t="n">
        <v>0.09</v>
      </c>
      <c r="F185" s="13" t="n">
        <v>0.12</v>
      </c>
      <c r="G185" s="13" t="n">
        <v>0.08</v>
      </c>
      <c r="H185" s="13" t="n">
        <v>0</v>
      </c>
      <c r="I185" s="13" t="n">
        <v>0</v>
      </c>
      <c r="J185" s="13" t="n">
        <v>0</v>
      </c>
      <c r="K185" s="13" t="n">
        <v>0</v>
      </c>
      <c r="L185" s="13" t="n">
        <v>-0.05</v>
      </c>
      <c r="M185" s="13" t="n">
        <v>0</v>
      </c>
      <c r="N185" s="13" t="n">
        <v>0.11</v>
      </c>
      <c r="O185" s="13" t="n">
        <v>0.1</v>
      </c>
      <c r="P185" s="13" t="n">
        <v>0.085</v>
      </c>
      <c r="Q185" s="13" t="n">
        <v>0.1</v>
      </c>
      <c r="R185" s="13" t="n">
        <v>3.0314</v>
      </c>
    </row>
    <row r="186" customFormat="false" ht="15" hidden="false" customHeight="false" outlineLevel="0" collapsed="false">
      <c r="A186" s="5" t="s">
        <v>438</v>
      </c>
      <c r="B186" s="5" t="s">
        <v>439</v>
      </c>
      <c r="C186" s="5" t="s">
        <v>122</v>
      </c>
      <c r="D186" s="5" t="s">
        <v>432</v>
      </c>
      <c r="E186" s="13" t="n">
        <v>0.12</v>
      </c>
      <c r="F186" s="13" t="n">
        <v>0.18</v>
      </c>
      <c r="G186" s="13" t="n">
        <v>0.12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-0.07</v>
      </c>
      <c r="M186" s="13" t="n">
        <v>0</v>
      </c>
      <c r="N186" s="13" t="n">
        <v>0.3183</v>
      </c>
      <c r="O186" s="13" t="n">
        <v>0.3211</v>
      </c>
      <c r="P186" s="13" t="n">
        <v>0.2285</v>
      </c>
      <c r="Q186" s="13" t="n">
        <v>0.055</v>
      </c>
      <c r="R186" s="13" t="n">
        <v>2</v>
      </c>
    </row>
    <row r="187" customFormat="false" ht="15" hidden="false" customHeight="false" outlineLevel="0" collapsed="false">
      <c r="A187" s="5" t="s">
        <v>440</v>
      </c>
      <c r="B187" s="5" t="s">
        <v>441</v>
      </c>
      <c r="C187" s="5" t="s">
        <v>122</v>
      </c>
      <c r="D187" s="5" t="s">
        <v>432</v>
      </c>
      <c r="E187" s="13" t="n">
        <v>0.1</v>
      </c>
      <c r="F187" s="13" t="n">
        <v>0.11</v>
      </c>
      <c r="G187" s="13" t="n">
        <v>0.055</v>
      </c>
      <c r="H187" s="13" t="n">
        <v>0</v>
      </c>
      <c r="I187" s="13" t="n">
        <v>0</v>
      </c>
      <c r="J187" s="13" t="n">
        <v>0</v>
      </c>
      <c r="K187" s="13" t="n">
        <v>0</v>
      </c>
      <c r="L187" s="13" t="n">
        <v>-0.01</v>
      </c>
      <c r="M187" s="13" t="n">
        <v>-0.055</v>
      </c>
      <c r="N187" s="13" t="n">
        <v>0.1</v>
      </c>
      <c r="O187" s="13" t="n">
        <v>0.1</v>
      </c>
      <c r="P187" s="13" t="n">
        <v>0.085</v>
      </c>
      <c r="Q187" s="13" t="n">
        <v>0.1</v>
      </c>
      <c r="R187" s="13" t="n">
        <v>3.0314</v>
      </c>
    </row>
    <row r="188" customFormat="false" ht="15" hidden="false" customHeight="false" outlineLevel="0" collapsed="false">
      <c r="A188" s="5" t="s">
        <v>442</v>
      </c>
      <c r="B188" s="5" t="s">
        <v>443</v>
      </c>
      <c r="C188" s="5" t="s">
        <v>122</v>
      </c>
      <c r="D188" s="5" t="s">
        <v>427</v>
      </c>
      <c r="E188" s="13" t="n">
        <v>0.155</v>
      </c>
      <c r="F188" s="13" t="n">
        <v>0.17</v>
      </c>
      <c r="G188" s="13" t="n">
        <v>0.15</v>
      </c>
      <c r="H188" s="13" t="n">
        <v>0</v>
      </c>
      <c r="I188" s="13" t="n">
        <v>0</v>
      </c>
      <c r="J188" s="13" t="n">
        <v>0</v>
      </c>
      <c r="K188" s="13" t="n">
        <v>0.01</v>
      </c>
      <c r="L188" s="13" t="n">
        <v>-0.035</v>
      </c>
      <c r="M188" s="13" t="n">
        <v>0</v>
      </c>
      <c r="N188" s="13" t="n">
        <v>0.3183</v>
      </c>
      <c r="O188" s="13" t="n">
        <v>0.3211</v>
      </c>
      <c r="P188" s="13" t="n">
        <v>0.2285</v>
      </c>
      <c r="Q188" s="13" t="n">
        <v>0.055</v>
      </c>
      <c r="R188" s="13" t="n">
        <v>2</v>
      </c>
    </row>
    <row r="189" customFormat="false" ht="15" hidden="false" customHeight="false" outlineLevel="0" collapsed="false">
      <c r="A189" s="5" t="s">
        <v>444</v>
      </c>
      <c r="B189" s="5" t="s">
        <v>426</v>
      </c>
      <c r="C189" s="5" t="s">
        <v>122</v>
      </c>
      <c r="D189" s="5" t="s">
        <v>445</v>
      </c>
      <c r="E189" s="13" t="n">
        <v>0.13</v>
      </c>
      <c r="F189" s="13" t="n">
        <v>0.13</v>
      </c>
      <c r="G189" s="13" t="n">
        <v>0.13</v>
      </c>
      <c r="H189" s="13" t="n">
        <v>0</v>
      </c>
      <c r="I189" s="13" t="n">
        <v>0</v>
      </c>
      <c r="J189" s="13" t="n">
        <v>0</v>
      </c>
      <c r="K189" s="13" t="n">
        <v>0</v>
      </c>
      <c r="L189" s="13" t="n">
        <v>0</v>
      </c>
      <c r="M189" s="13" t="n">
        <v>0</v>
      </c>
      <c r="N189" s="13" t="n">
        <v>0.3183</v>
      </c>
      <c r="O189" s="13" t="n">
        <v>0.3211</v>
      </c>
      <c r="P189" s="13" t="n">
        <v>0.2285</v>
      </c>
      <c r="Q189" s="13" t="n">
        <v>0.055</v>
      </c>
      <c r="R189" s="13" t="n">
        <v>2</v>
      </c>
    </row>
    <row r="190" customFormat="false" ht="15" hidden="false" customHeight="false" outlineLevel="0" collapsed="false">
      <c r="A190" s="5" t="s">
        <v>446</v>
      </c>
      <c r="B190" s="5" t="s">
        <v>429</v>
      </c>
      <c r="C190" s="5" t="s">
        <v>125</v>
      </c>
      <c r="D190" s="5" t="s">
        <v>445</v>
      </c>
      <c r="E190" s="13" t="n">
        <v>0.13</v>
      </c>
      <c r="F190" s="13" t="n">
        <v>0.13</v>
      </c>
      <c r="G190" s="13" t="n">
        <v>0.3</v>
      </c>
      <c r="H190" s="13" t="n">
        <v>90</v>
      </c>
      <c r="I190" s="13" t="n">
        <v>0</v>
      </c>
      <c r="J190" s="13" t="n">
        <v>0</v>
      </c>
      <c r="K190" s="13" t="n">
        <v>0</v>
      </c>
      <c r="L190" s="13" t="n">
        <v>-0.15</v>
      </c>
      <c r="M190" s="13" t="n">
        <v>0</v>
      </c>
      <c r="N190" s="13" t="n">
        <v>0.3183</v>
      </c>
      <c r="O190" s="13" t="n">
        <v>0.3211</v>
      </c>
      <c r="P190" s="13" t="n">
        <v>0.2285</v>
      </c>
      <c r="Q190" s="13" t="n">
        <v>0.055</v>
      </c>
      <c r="R190" s="13" t="n">
        <v>2</v>
      </c>
    </row>
    <row r="191" customFormat="false" ht="15" hidden="false" customHeight="false" outlineLevel="0" collapsed="false">
      <c r="A191" s="5" t="s">
        <v>447</v>
      </c>
      <c r="B191" s="5" t="s">
        <v>431</v>
      </c>
      <c r="C191" s="5" t="s">
        <v>122</v>
      </c>
      <c r="D191" s="5" t="s">
        <v>448</v>
      </c>
      <c r="E191" s="13" t="n">
        <v>0.13</v>
      </c>
      <c r="F191" s="13" t="n">
        <v>0.13</v>
      </c>
      <c r="G191" s="13" t="n">
        <v>0.13</v>
      </c>
      <c r="H191" s="13" t="n">
        <v>0</v>
      </c>
      <c r="I191" s="13" t="n">
        <v>0</v>
      </c>
      <c r="J191" s="13" t="n">
        <v>0</v>
      </c>
      <c r="K191" s="13" t="n">
        <v>0</v>
      </c>
      <c r="L191" s="13" t="n">
        <v>0</v>
      </c>
      <c r="M191" s="13" t="n">
        <v>0</v>
      </c>
      <c r="N191" s="13" t="n">
        <v>0.3183</v>
      </c>
      <c r="O191" s="13" t="n">
        <v>0.3211</v>
      </c>
      <c r="P191" s="13" t="n">
        <v>0.2285</v>
      </c>
      <c r="Q191" s="13" t="n">
        <v>0.055</v>
      </c>
      <c r="R191" s="13" t="n">
        <v>2</v>
      </c>
    </row>
    <row r="192" customFormat="false" ht="15" hidden="false" customHeight="false" outlineLevel="0" collapsed="false">
      <c r="A192" s="5" t="s">
        <v>449</v>
      </c>
      <c r="B192" s="5" t="s">
        <v>434</v>
      </c>
      <c r="C192" s="5" t="s">
        <v>125</v>
      </c>
      <c r="D192" s="5" t="s">
        <v>448</v>
      </c>
      <c r="E192" s="13" t="n">
        <v>0.11</v>
      </c>
      <c r="F192" s="13" t="n">
        <v>0.11</v>
      </c>
      <c r="G192" s="13" t="n">
        <v>0.26</v>
      </c>
      <c r="H192" s="13" t="n">
        <v>90</v>
      </c>
      <c r="I192" s="13" t="n">
        <v>0</v>
      </c>
      <c r="J192" s="13" t="n">
        <v>0</v>
      </c>
      <c r="K192" s="13" t="n">
        <v>0</v>
      </c>
      <c r="L192" s="13" t="n">
        <v>-0.13</v>
      </c>
      <c r="M192" s="13" t="n">
        <v>0</v>
      </c>
      <c r="N192" s="13" t="n">
        <v>0.3183</v>
      </c>
      <c r="O192" s="13" t="n">
        <v>0.3211</v>
      </c>
      <c r="P192" s="13" t="n">
        <v>0.2285</v>
      </c>
      <c r="Q192" s="13" t="n">
        <v>0.055</v>
      </c>
      <c r="R192" s="13" t="n">
        <v>2</v>
      </c>
    </row>
    <row r="193" customFormat="false" ht="15" hidden="false" customHeight="false" outlineLevel="0" collapsed="false">
      <c r="A193" s="5" t="s">
        <v>450</v>
      </c>
      <c r="B193" s="5" t="s">
        <v>436</v>
      </c>
      <c r="C193" s="5" t="s">
        <v>122</v>
      </c>
      <c r="D193" s="5" t="s">
        <v>451</v>
      </c>
      <c r="E193" s="13" t="n">
        <v>0.09</v>
      </c>
      <c r="F193" s="13" t="n">
        <v>0.12</v>
      </c>
      <c r="G193" s="13" t="n">
        <v>0.08</v>
      </c>
      <c r="H193" s="13" t="n">
        <v>0</v>
      </c>
      <c r="I193" s="13" t="n">
        <v>0</v>
      </c>
      <c r="J193" s="13" t="n">
        <v>0</v>
      </c>
      <c r="K193" s="13" t="n">
        <v>0</v>
      </c>
      <c r="L193" s="13" t="n">
        <v>-0.05</v>
      </c>
      <c r="M193" s="13" t="n">
        <v>0</v>
      </c>
      <c r="N193" s="13" t="n">
        <v>0.11</v>
      </c>
      <c r="O193" s="13" t="n">
        <v>0.1</v>
      </c>
      <c r="P193" s="13" t="n">
        <v>0.085</v>
      </c>
      <c r="Q193" s="13" t="n">
        <v>0.1</v>
      </c>
      <c r="R193" s="13" t="n">
        <v>3.0314</v>
      </c>
    </row>
    <row r="194" customFormat="false" ht="15" hidden="false" customHeight="false" outlineLevel="0" collapsed="false">
      <c r="A194" s="5" t="s">
        <v>452</v>
      </c>
      <c r="B194" s="5" t="s">
        <v>453</v>
      </c>
      <c r="C194" s="5" t="s">
        <v>125</v>
      </c>
      <c r="D194" s="5" t="s">
        <v>451</v>
      </c>
      <c r="E194" s="13" t="n">
        <v>0.03</v>
      </c>
      <c r="F194" s="13" t="n">
        <v>0.03</v>
      </c>
      <c r="G194" s="13" t="n">
        <v>0.26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-0.06</v>
      </c>
      <c r="M194" s="13" t="n">
        <v>0.1</v>
      </c>
      <c r="N194" s="13" t="n">
        <v>0.62</v>
      </c>
      <c r="O194" s="13" t="n">
        <v>0.63</v>
      </c>
      <c r="P194" s="13" t="n">
        <v>0.66</v>
      </c>
      <c r="Q194" s="13" t="n">
        <v>0.511</v>
      </c>
      <c r="R194" s="13" t="n">
        <v>48.5029</v>
      </c>
    </row>
    <row r="195" customFormat="false" ht="15" hidden="false" customHeight="false" outlineLevel="0" collapsed="false">
      <c r="A195" s="5" t="s">
        <v>454</v>
      </c>
      <c r="B195" s="5" t="s">
        <v>439</v>
      </c>
      <c r="C195" s="5" t="s">
        <v>122</v>
      </c>
      <c r="D195" s="5" t="s">
        <v>448</v>
      </c>
      <c r="E195" s="13" t="n">
        <v>0.12</v>
      </c>
      <c r="F195" s="13" t="n">
        <v>0.18</v>
      </c>
      <c r="G195" s="13" t="n">
        <v>0.12</v>
      </c>
      <c r="H195" s="13" t="n">
        <v>0</v>
      </c>
      <c r="I195" s="13" t="n">
        <v>0</v>
      </c>
      <c r="J195" s="13" t="n">
        <v>0</v>
      </c>
      <c r="K195" s="13" t="n">
        <v>0</v>
      </c>
      <c r="L195" s="13" t="n">
        <v>-0.07</v>
      </c>
      <c r="M195" s="13" t="n">
        <v>0</v>
      </c>
      <c r="N195" s="13" t="n">
        <v>0.3183</v>
      </c>
      <c r="O195" s="13" t="n">
        <v>0.3211</v>
      </c>
      <c r="P195" s="13" t="n">
        <v>0.2285</v>
      </c>
      <c r="Q195" s="13" t="n">
        <v>0.055</v>
      </c>
      <c r="R195" s="13" t="n">
        <v>2</v>
      </c>
    </row>
    <row r="196" customFormat="false" ht="15" hidden="false" customHeight="false" outlineLevel="0" collapsed="false">
      <c r="A196" s="5" t="s">
        <v>455</v>
      </c>
      <c r="B196" s="5" t="s">
        <v>441</v>
      </c>
      <c r="C196" s="5" t="s">
        <v>122</v>
      </c>
      <c r="D196" s="5" t="s">
        <v>448</v>
      </c>
      <c r="E196" s="13" t="n">
        <v>0.1</v>
      </c>
      <c r="F196" s="13" t="n">
        <v>0.11</v>
      </c>
      <c r="G196" s="13" t="n">
        <v>0.055</v>
      </c>
      <c r="H196" s="13" t="n">
        <v>0</v>
      </c>
      <c r="I196" s="13" t="n">
        <v>0</v>
      </c>
      <c r="J196" s="13" t="n">
        <v>0</v>
      </c>
      <c r="K196" s="13" t="n">
        <v>0</v>
      </c>
      <c r="L196" s="13" t="n">
        <v>-0.01</v>
      </c>
      <c r="M196" s="13" t="n">
        <v>-0.055</v>
      </c>
      <c r="N196" s="13" t="n">
        <v>0.1</v>
      </c>
      <c r="O196" s="13" t="n">
        <v>0.1</v>
      </c>
      <c r="P196" s="13" t="n">
        <v>0.085</v>
      </c>
      <c r="Q196" s="13" t="n">
        <v>0.1</v>
      </c>
      <c r="R196" s="13" t="n">
        <v>3.0314</v>
      </c>
    </row>
    <row r="197" customFormat="false" ht="15" hidden="false" customHeight="false" outlineLevel="0" collapsed="false">
      <c r="A197" s="5" t="s">
        <v>456</v>
      </c>
      <c r="B197" s="5" t="s">
        <v>443</v>
      </c>
      <c r="C197" s="5" t="s">
        <v>122</v>
      </c>
      <c r="D197" s="5" t="s">
        <v>445</v>
      </c>
      <c r="E197" s="13" t="n">
        <v>0.155</v>
      </c>
      <c r="F197" s="13" t="n">
        <v>0.17</v>
      </c>
      <c r="G197" s="13" t="n">
        <v>0.15</v>
      </c>
      <c r="H197" s="13" t="n">
        <v>0</v>
      </c>
      <c r="I197" s="13" t="n">
        <v>0</v>
      </c>
      <c r="J197" s="13" t="n">
        <v>0</v>
      </c>
      <c r="K197" s="13" t="n">
        <v>-0.01</v>
      </c>
      <c r="L197" s="13" t="n">
        <v>-0.035</v>
      </c>
      <c r="M197" s="13" t="n">
        <v>0</v>
      </c>
      <c r="N197" s="13" t="n">
        <v>0.3183</v>
      </c>
      <c r="O197" s="13" t="n">
        <v>0.3211</v>
      </c>
      <c r="P197" s="13" t="n">
        <v>0.2285</v>
      </c>
      <c r="Q197" s="13" t="n">
        <v>0.055</v>
      </c>
      <c r="R197" s="13" t="n">
        <v>2</v>
      </c>
    </row>
    <row r="198" customFormat="false" ht="15" hidden="false" customHeight="false" outlineLevel="0" collapsed="false">
      <c r="A198" s="5" t="s">
        <v>457</v>
      </c>
      <c r="B198" s="5" t="s">
        <v>458</v>
      </c>
      <c r="C198" s="5" t="s">
        <v>118</v>
      </c>
      <c r="D198" s="5" t="s">
        <v>368</v>
      </c>
      <c r="E198" s="13" t="n">
        <v>0.3463</v>
      </c>
      <c r="F198" s="13" t="n">
        <v>0.27</v>
      </c>
      <c r="G198" s="13" t="n">
        <v>0.295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0.07</v>
      </c>
      <c r="M198" s="13" t="n">
        <v>0.005</v>
      </c>
      <c r="N198" s="13" t="n">
        <v>0.27</v>
      </c>
      <c r="O198" s="13" t="n">
        <v>0.235</v>
      </c>
      <c r="P198" s="13" t="n">
        <v>0.155</v>
      </c>
      <c r="Q198" s="13" t="n">
        <v>0.124</v>
      </c>
      <c r="R198" s="13" t="n">
        <v>4.724</v>
      </c>
    </row>
    <row r="199" customFormat="false" ht="15" hidden="false" customHeight="false" outlineLevel="0" collapsed="false">
      <c r="A199" s="5" t="s">
        <v>459</v>
      </c>
      <c r="B199" s="5" t="s">
        <v>460</v>
      </c>
      <c r="C199" s="5" t="s">
        <v>118</v>
      </c>
      <c r="D199" s="5" t="s">
        <v>368</v>
      </c>
      <c r="E199" s="13" t="n">
        <v>0.25</v>
      </c>
      <c r="F199" s="13" t="n">
        <v>0.11</v>
      </c>
      <c r="G199" s="13" t="n">
        <v>0.06</v>
      </c>
      <c r="H199" s="13" t="n">
        <v>0</v>
      </c>
      <c r="I199" s="13" t="n">
        <v>0</v>
      </c>
      <c r="J199" s="13" t="n">
        <v>0</v>
      </c>
      <c r="K199" s="13" t="n">
        <v>0</v>
      </c>
      <c r="L199" s="13" t="n">
        <v>0</v>
      </c>
      <c r="M199" s="13" t="n">
        <v>0.175</v>
      </c>
      <c r="N199" s="13" t="n">
        <v>0.27</v>
      </c>
      <c r="O199" s="13" t="n">
        <v>0.235</v>
      </c>
      <c r="P199" s="13" t="n">
        <v>0.155</v>
      </c>
      <c r="Q199" s="13" t="n">
        <v>0.124</v>
      </c>
      <c r="R199" s="13" t="n">
        <v>4.724</v>
      </c>
    </row>
    <row r="200" customFormat="false" ht="15" hidden="false" customHeight="false" outlineLevel="0" collapsed="false">
      <c r="A200" s="5" t="s">
        <v>461</v>
      </c>
      <c r="B200" s="5" t="s">
        <v>462</v>
      </c>
      <c r="C200" s="5" t="s">
        <v>118</v>
      </c>
      <c r="D200" s="5" t="s">
        <v>368</v>
      </c>
      <c r="E200" s="13" t="n">
        <v>0.13</v>
      </c>
      <c r="F200" s="13" t="n">
        <v>0.07</v>
      </c>
      <c r="G200" s="13" t="n">
        <v>0.035</v>
      </c>
      <c r="H200" s="13" t="n">
        <v>0</v>
      </c>
      <c r="I200" s="13" t="n">
        <v>0</v>
      </c>
      <c r="J200" s="13" t="n">
        <v>0</v>
      </c>
      <c r="K200" s="13" t="n">
        <v>0</v>
      </c>
      <c r="L200" s="13" t="n">
        <v>0.115</v>
      </c>
      <c r="M200" s="13" t="n">
        <v>0.166</v>
      </c>
      <c r="N200" s="13" t="n">
        <v>0.2295</v>
      </c>
      <c r="O200" s="13" t="n">
        <v>0.1998</v>
      </c>
      <c r="P200" s="13" t="n">
        <v>0.1318</v>
      </c>
      <c r="Q200" s="13" t="n">
        <v>0.124</v>
      </c>
      <c r="R200" s="13" t="n">
        <v>4.724</v>
      </c>
    </row>
    <row r="201" customFormat="false" ht="15" hidden="false" customHeight="false" outlineLevel="0" collapsed="false">
      <c r="A201" s="5" t="s">
        <v>463</v>
      </c>
      <c r="B201" s="5" t="s">
        <v>464</v>
      </c>
      <c r="C201" s="5" t="s">
        <v>118</v>
      </c>
      <c r="D201" s="5" t="s">
        <v>368</v>
      </c>
      <c r="E201" s="13" t="n">
        <v>0.05</v>
      </c>
      <c r="F201" s="13" t="n">
        <v>0.15</v>
      </c>
      <c r="G201" s="13" t="n">
        <v>0.08</v>
      </c>
      <c r="H201" s="13" t="n">
        <v>0</v>
      </c>
      <c r="I201" s="13" t="n">
        <v>0</v>
      </c>
      <c r="J201" s="13" t="n">
        <v>0</v>
      </c>
      <c r="K201" s="13" t="n">
        <v>0.19</v>
      </c>
      <c r="L201" s="13" t="n">
        <v>0.04</v>
      </c>
      <c r="M201" s="13" t="n">
        <v>-0.05</v>
      </c>
      <c r="N201" s="13" t="n">
        <v>0.1</v>
      </c>
      <c r="O201" s="13" t="n">
        <v>0.11</v>
      </c>
      <c r="P201" s="13" t="n">
        <v>0.08</v>
      </c>
      <c r="Q201" s="13" t="n">
        <v>0.171</v>
      </c>
      <c r="R201" s="13" t="n">
        <v>5.278</v>
      </c>
    </row>
    <row r="202" customFormat="false" ht="15" hidden="false" customHeight="false" outlineLevel="0" collapsed="false">
      <c r="A202" s="5" t="s">
        <v>465</v>
      </c>
      <c r="B202" s="5" t="s">
        <v>466</v>
      </c>
      <c r="C202" s="5" t="s">
        <v>125</v>
      </c>
      <c r="D202" s="5" t="s">
        <v>368</v>
      </c>
      <c r="E202" s="13" t="n">
        <v>0.008</v>
      </c>
      <c r="F202" s="13" t="n">
        <v>0.008</v>
      </c>
      <c r="G202" s="13" t="n">
        <v>0.3693</v>
      </c>
      <c r="H202" s="13" t="n">
        <v>-81.2925</v>
      </c>
      <c r="I202" s="13" t="n">
        <v>153.4349</v>
      </c>
      <c r="J202" s="13" t="n">
        <v>0</v>
      </c>
      <c r="K202" s="13" t="n">
        <v>0.2025</v>
      </c>
      <c r="L202" s="13" t="n">
        <v>0.2975</v>
      </c>
      <c r="M202" s="13" t="n">
        <v>-0.095</v>
      </c>
      <c r="N202" s="13" t="n">
        <v>0.07</v>
      </c>
      <c r="O202" s="13" t="n">
        <v>0.07</v>
      </c>
      <c r="P202" s="13" t="n">
        <v>0.075</v>
      </c>
      <c r="Q202" s="13" t="n">
        <v>0.435</v>
      </c>
      <c r="R202" s="13" t="n">
        <v>16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6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41" man="true" max="16383" min="0"/>
    <brk id="124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24" min="7" style="0" width="7.5"/>
  </cols>
  <sheetData>
    <row r="1" customFormat="false" ht="16.15" hidden="false" customHeight="false" outlineLevel="0" collapsed="false">
      <c r="A1" s="1" t="s">
        <v>467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468</v>
      </c>
    </row>
    <row r="5" customFormat="false" ht="15" hidden="false" customHeight="false" outlineLevel="0" collapsed="false">
      <c r="A5" s="10" t="s">
        <v>469</v>
      </c>
    </row>
    <row r="6" customFormat="false" ht="42" hidden="false" customHeight="true" outlineLevel="0" collapsed="false">
      <c r="A6" s="3" t="s">
        <v>470</v>
      </c>
      <c r="B6" s="3" t="s">
        <v>471</v>
      </c>
      <c r="C6" s="3" t="s">
        <v>472</v>
      </c>
      <c r="D6" s="3" t="s">
        <v>473</v>
      </c>
      <c r="E6" s="3" t="s">
        <v>474</v>
      </c>
      <c r="F6" s="3" t="s">
        <v>475</v>
      </c>
      <c r="G6" s="3" t="s">
        <v>118</v>
      </c>
      <c r="H6" s="3" t="s">
        <v>476</v>
      </c>
      <c r="I6" s="3" t="s">
        <v>119</v>
      </c>
      <c r="J6" s="3" t="s">
        <v>120</v>
      </c>
      <c r="K6" s="3" t="s">
        <v>121</v>
      </c>
      <c r="L6" s="3" t="s">
        <v>122</v>
      </c>
      <c r="M6" s="3" t="s">
        <v>123</v>
      </c>
      <c r="N6" s="3" t="s">
        <v>124</v>
      </c>
      <c r="O6" s="3" t="s">
        <v>125</v>
      </c>
      <c r="P6" s="3" t="s">
        <v>126</v>
      </c>
      <c r="Q6" s="3" t="s">
        <v>127</v>
      </c>
      <c r="R6" s="3" t="s">
        <v>128</v>
      </c>
      <c r="S6" s="3" t="s">
        <v>129</v>
      </c>
      <c r="T6" s="3" t="s">
        <v>130</v>
      </c>
      <c r="U6" s="3" t="s">
        <v>131</v>
      </c>
      <c r="V6" s="3" t="s">
        <v>477</v>
      </c>
      <c r="W6" s="3" t="s">
        <v>134</v>
      </c>
    </row>
    <row r="7" customFormat="false" ht="15" hidden="false" customHeight="false" outlineLevel="0" collapsed="false">
      <c r="A7" s="4" t="s">
        <v>478</v>
      </c>
      <c r="B7" s="14" t="s">
        <v>479</v>
      </c>
      <c r="C7" s="8" t="n">
        <v>8</v>
      </c>
      <c r="D7" s="9" t="n">
        <v>75</v>
      </c>
      <c r="E7" s="8" t="n">
        <v>600</v>
      </c>
      <c r="F7" s="7" t="n">
        <f aca="false">IF(ISNUMBER(D7),C7*D7,E7)</f>
        <v>600</v>
      </c>
      <c r="G7" s="7"/>
      <c r="H7" s="8" t="n">
        <v>128</v>
      </c>
      <c r="I7" s="7"/>
      <c r="J7" s="8" t="n">
        <v>8</v>
      </c>
      <c r="K7" s="7"/>
      <c r="L7" s="8" t="n">
        <v>296</v>
      </c>
      <c r="M7" s="8" t="n">
        <v>8</v>
      </c>
      <c r="N7" s="7"/>
      <c r="O7" s="8" t="n">
        <v>160</v>
      </c>
      <c r="P7" s="7"/>
      <c r="Q7" s="7"/>
      <c r="R7" s="7"/>
      <c r="S7" s="7"/>
      <c r="T7" s="7"/>
      <c r="U7" s="7"/>
      <c r="V7" s="7" t="n">
        <f aca="false">SUM(G7:U7)</f>
        <v>600</v>
      </c>
      <c r="W7" s="12" t="str">
        <f aca="false">IF(AND(V7=E7,F7=E7),"OK","DIFF")</f>
        <v>OK</v>
      </c>
    </row>
    <row r="8" customFormat="false" ht="15" hidden="false" customHeight="false" outlineLevel="0" collapsed="false">
      <c r="A8" s="4" t="s">
        <v>480</v>
      </c>
      <c r="B8" s="14" t="s">
        <v>481</v>
      </c>
      <c r="C8" s="8" t="n">
        <v>3</v>
      </c>
      <c r="D8" s="9" t="n">
        <v>255</v>
      </c>
      <c r="E8" s="8" t="n">
        <v>765</v>
      </c>
      <c r="F8" s="7" t="n">
        <f aca="false">IF(ISNUMBER(D8),C8*D8,E8)</f>
        <v>765</v>
      </c>
      <c r="G8" s="7"/>
      <c r="H8" s="8" t="n">
        <v>504</v>
      </c>
      <c r="I8" s="8" t="n">
        <v>3</v>
      </c>
      <c r="J8" s="8" t="n">
        <v>3</v>
      </c>
      <c r="K8" s="7"/>
      <c r="L8" s="8" t="n">
        <v>15</v>
      </c>
      <c r="M8" s="7"/>
      <c r="N8" s="7"/>
      <c r="O8" s="8" t="n">
        <v>183</v>
      </c>
      <c r="P8" s="7"/>
      <c r="Q8" s="7"/>
      <c r="R8" s="8" t="n">
        <v>57</v>
      </c>
      <c r="S8" s="7"/>
      <c r="T8" s="7"/>
      <c r="U8" s="7"/>
      <c r="V8" s="7" t="n">
        <f aca="false">SUM(G8:U8)</f>
        <v>765</v>
      </c>
      <c r="W8" s="12" t="str">
        <f aca="false">IF(AND(V8=E8,F8=E8),"OK","DIFF")</f>
        <v>OK</v>
      </c>
    </row>
    <row r="9" customFormat="false" ht="15" hidden="false" customHeight="false" outlineLevel="0" collapsed="false">
      <c r="A9" s="4" t="s">
        <v>156</v>
      </c>
      <c r="B9" s="14" t="s">
        <v>481</v>
      </c>
      <c r="C9" s="8" t="n">
        <v>1</v>
      </c>
      <c r="D9" s="9" t="n">
        <v>106</v>
      </c>
      <c r="E9" s="8" t="n">
        <v>106</v>
      </c>
      <c r="F9" s="7" t="n">
        <f aca="false">IF(ISNUMBER(D9),C9*D9,E9)</f>
        <v>106</v>
      </c>
      <c r="G9" s="8" t="n">
        <v>1</v>
      </c>
      <c r="H9" s="8" t="n">
        <v>32</v>
      </c>
      <c r="I9" s="7"/>
      <c r="J9" s="7"/>
      <c r="K9" s="7"/>
      <c r="L9" s="8" t="n">
        <v>3</v>
      </c>
      <c r="M9" s="7"/>
      <c r="N9" s="7"/>
      <c r="O9" s="8" t="n">
        <v>46</v>
      </c>
      <c r="P9" s="7"/>
      <c r="Q9" s="7"/>
      <c r="R9" s="8" t="n">
        <v>24</v>
      </c>
      <c r="S9" s="7"/>
      <c r="T9" s="7"/>
      <c r="U9" s="7"/>
      <c r="V9" s="7" t="n">
        <f aca="false">SUM(G9:U9)</f>
        <v>106</v>
      </c>
      <c r="W9" s="12" t="str">
        <f aca="false">IF(AND(V9=E9,F9=E9),"OK","DIFF")</f>
        <v>OK</v>
      </c>
    </row>
    <row r="10" customFormat="false" ht="15" hidden="false" customHeight="false" outlineLevel="0" collapsed="false">
      <c r="A10" s="4" t="s">
        <v>482</v>
      </c>
      <c r="B10" s="14" t="s">
        <v>481</v>
      </c>
      <c r="C10" s="8" t="n">
        <v>1</v>
      </c>
      <c r="D10" s="9" t="n">
        <v>91</v>
      </c>
      <c r="E10" s="8" t="n">
        <v>91</v>
      </c>
      <c r="F10" s="7" t="n">
        <f aca="false">IF(ISNUMBER(D10),C10*D10,E10)</f>
        <v>91</v>
      </c>
      <c r="G10" s="7"/>
      <c r="H10" s="8" t="n">
        <v>40</v>
      </c>
      <c r="I10" s="7"/>
      <c r="J10" s="7"/>
      <c r="K10" s="7"/>
      <c r="L10" s="8" t="n">
        <v>21</v>
      </c>
      <c r="M10" s="7"/>
      <c r="N10" s="7"/>
      <c r="O10" s="8" t="n">
        <v>28</v>
      </c>
      <c r="P10" s="8" t="n">
        <v>1</v>
      </c>
      <c r="Q10" s="8" t="n">
        <v>1</v>
      </c>
      <c r="R10" s="7"/>
      <c r="S10" s="7"/>
      <c r="T10" s="7"/>
      <c r="U10" s="7"/>
      <c r="V10" s="7" t="n">
        <f aca="false">SUM(G10:U10)</f>
        <v>91</v>
      </c>
      <c r="W10" s="12" t="str">
        <f aca="false">IF(AND(V10=E10,F10=E10),"OK","DIFF")</f>
        <v>OK</v>
      </c>
    </row>
    <row r="11" customFormat="false" ht="15" hidden="false" customHeight="false" outlineLevel="0" collapsed="false">
      <c r="A11" s="4" t="s">
        <v>145</v>
      </c>
      <c r="B11" s="14" t="s">
        <v>481</v>
      </c>
      <c r="C11" s="8" t="n">
        <v>2</v>
      </c>
      <c r="D11" s="9" t="n">
        <v>55</v>
      </c>
      <c r="E11" s="8" t="n">
        <v>110</v>
      </c>
      <c r="F11" s="7" t="n">
        <f aca="false">IF(ISNUMBER(D11),C11*D11,E11)</f>
        <v>110</v>
      </c>
      <c r="G11" s="7"/>
      <c r="H11" s="8" t="n">
        <v>36</v>
      </c>
      <c r="I11" s="7"/>
      <c r="J11" s="7"/>
      <c r="K11" s="7"/>
      <c r="L11" s="8" t="n">
        <v>26</v>
      </c>
      <c r="M11" s="7"/>
      <c r="N11" s="7"/>
      <c r="O11" s="8" t="n">
        <v>38</v>
      </c>
      <c r="P11" s="8" t="n">
        <v>2</v>
      </c>
      <c r="Q11" s="7"/>
      <c r="R11" s="8" t="n">
        <v>8</v>
      </c>
      <c r="S11" s="7"/>
      <c r="T11" s="7"/>
      <c r="U11" s="7"/>
      <c r="V11" s="7" t="n">
        <f aca="false">SUM(G11:U11)</f>
        <v>110</v>
      </c>
      <c r="W11" s="12" t="str">
        <f aca="false">IF(AND(V11=E11,F11=E11),"OK","DIFF")</f>
        <v>OK</v>
      </c>
    </row>
    <row r="12" customFormat="false" ht="15" hidden="false" customHeight="false" outlineLevel="0" collapsed="false">
      <c r="A12" s="4" t="s">
        <v>483</v>
      </c>
      <c r="B12" s="14" t="s">
        <v>481</v>
      </c>
      <c r="C12" s="8" t="n">
        <v>2</v>
      </c>
      <c r="D12" s="9" t="n">
        <v>31</v>
      </c>
      <c r="E12" s="8" t="n">
        <v>62</v>
      </c>
      <c r="F12" s="7" t="n">
        <f aca="false">IF(ISNUMBER(D12),C12*D12,E12)</f>
        <v>62</v>
      </c>
      <c r="G12" s="7"/>
      <c r="H12" s="8" t="n">
        <v>30</v>
      </c>
      <c r="I12" s="7"/>
      <c r="J12" s="7"/>
      <c r="K12" s="7"/>
      <c r="L12" s="8" t="n">
        <v>4</v>
      </c>
      <c r="M12" s="7"/>
      <c r="N12" s="7"/>
      <c r="O12" s="8" t="n">
        <v>28</v>
      </c>
      <c r="P12" s="7"/>
      <c r="Q12" s="7"/>
      <c r="R12" s="7"/>
      <c r="S12" s="7"/>
      <c r="T12" s="7"/>
      <c r="U12" s="7"/>
      <c r="V12" s="7" t="n">
        <f aca="false">SUM(G12:U12)</f>
        <v>62</v>
      </c>
      <c r="W12" s="12" t="str">
        <f aca="false">IF(AND(V12=E12,F12=E12),"OK","DIFF")</f>
        <v>OK</v>
      </c>
    </row>
    <row r="13" customFormat="false" ht="15" hidden="false" customHeight="false" outlineLevel="0" collapsed="false">
      <c r="A13" s="4" t="s">
        <v>484</v>
      </c>
      <c r="B13" s="14" t="s">
        <v>481</v>
      </c>
      <c r="C13" s="8" t="n">
        <v>6</v>
      </c>
      <c r="D13" s="9" t="n">
        <v>26</v>
      </c>
      <c r="E13" s="8" t="n">
        <v>156</v>
      </c>
      <c r="F13" s="7" t="n">
        <f aca="false">IF(ISNUMBER(D13),C13*D13,E13)</f>
        <v>156</v>
      </c>
      <c r="G13" s="7"/>
      <c r="H13" s="8" t="n">
        <v>36</v>
      </c>
      <c r="I13" s="7"/>
      <c r="J13" s="7"/>
      <c r="K13" s="7"/>
      <c r="L13" s="8" t="n">
        <v>72</v>
      </c>
      <c r="M13" s="7"/>
      <c r="N13" s="7"/>
      <c r="O13" s="8" t="n">
        <v>48</v>
      </c>
      <c r="P13" s="7"/>
      <c r="Q13" s="7"/>
      <c r="R13" s="7"/>
      <c r="S13" s="7"/>
      <c r="T13" s="7"/>
      <c r="U13" s="7"/>
      <c r="V13" s="7" t="n">
        <f aca="false">SUM(G13:U13)</f>
        <v>156</v>
      </c>
      <c r="W13" s="12" t="str">
        <f aca="false">IF(AND(V13=E13,F13=E13),"OK","DIFF")</f>
        <v>OK</v>
      </c>
    </row>
    <row r="14" customFormat="false" ht="15" hidden="false" customHeight="false" outlineLevel="0" collapsed="false">
      <c r="A14" s="4" t="s">
        <v>154</v>
      </c>
      <c r="B14" s="14" t="s">
        <v>485</v>
      </c>
      <c r="C14" s="8" t="n">
        <v>1</v>
      </c>
      <c r="D14" s="9" t="n">
        <v>107</v>
      </c>
      <c r="E14" s="8" t="n">
        <v>107</v>
      </c>
      <c r="F14" s="7" t="n">
        <f aca="false">IF(ISNUMBER(D14),C14*D14,E14)</f>
        <v>107</v>
      </c>
      <c r="G14" s="8" t="n">
        <v>1</v>
      </c>
      <c r="H14" s="8" t="n">
        <v>71</v>
      </c>
      <c r="I14" s="7"/>
      <c r="J14" s="7"/>
      <c r="K14" s="7"/>
      <c r="L14" s="8" t="n">
        <v>4</v>
      </c>
      <c r="M14" s="7"/>
      <c r="N14" s="7"/>
      <c r="O14" s="8" t="n">
        <v>23</v>
      </c>
      <c r="P14" s="7"/>
      <c r="Q14" s="7"/>
      <c r="R14" s="8" t="n">
        <v>8</v>
      </c>
      <c r="S14" s="7"/>
      <c r="T14" s="7"/>
      <c r="U14" s="7"/>
      <c r="V14" s="7" t="n">
        <f aca="false">SUM(G14:U14)</f>
        <v>107</v>
      </c>
      <c r="W14" s="12" t="str">
        <f aca="false">IF(AND(V14=E14,F14=E14),"OK","DIFF")</f>
        <v>OK</v>
      </c>
    </row>
    <row r="15" customFormat="false" ht="15" hidden="false" customHeight="false" outlineLevel="0" collapsed="false">
      <c r="A15" s="4" t="s">
        <v>486</v>
      </c>
      <c r="B15" s="14" t="s">
        <v>485</v>
      </c>
      <c r="C15" s="8" t="n">
        <v>1</v>
      </c>
      <c r="D15" s="9" t="n">
        <v>58</v>
      </c>
      <c r="E15" s="8" t="n">
        <v>58</v>
      </c>
      <c r="F15" s="7" t="n">
        <f aca="false">IF(ISNUMBER(D15),C15*D15,E15)</f>
        <v>58</v>
      </c>
      <c r="G15" s="7"/>
      <c r="H15" s="8" t="n">
        <v>19</v>
      </c>
      <c r="I15" s="7"/>
      <c r="J15" s="7"/>
      <c r="K15" s="7"/>
      <c r="L15" s="8" t="n">
        <v>4</v>
      </c>
      <c r="M15" s="8" t="n">
        <v>1</v>
      </c>
      <c r="N15" s="7"/>
      <c r="O15" s="8" t="n">
        <v>34</v>
      </c>
      <c r="P15" s="7"/>
      <c r="Q15" s="7"/>
      <c r="R15" s="7"/>
      <c r="S15" s="7"/>
      <c r="T15" s="7"/>
      <c r="U15" s="7"/>
      <c r="V15" s="7" t="n">
        <f aca="false">SUM(G15:U15)</f>
        <v>58</v>
      </c>
      <c r="W15" s="12" t="str">
        <f aca="false">IF(AND(V15=E15,F15=E15),"OK","DIFF")</f>
        <v>OK</v>
      </c>
    </row>
    <row r="16" customFormat="false" ht="15" hidden="false" customHeight="false" outlineLevel="0" collapsed="false">
      <c r="A16" s="4" t="s">
        <v>487</v>
      </c>
      <c r="B16" s="14" t="s">
        <v>485</v>
      </c>
      <c r="C16" s="8" t="n">
        <v>1</v>
      </c>
      <c r="D16" s="9" t="n">
        <v>5</v>
      </c>
      <c r="E16" s="8" t="n">
        <v>5</v>
      </c>
      <c r="F16" s="7" t="n">
        <f aca="false">IF(ISNUMBER(D16),C16*D16,E16)</f>
        <v>5</v>
      </c>
      <c r="G16" s="7"/>
      <c r="H16" s="8" t="n">
        <v>2</v>
      </c>
      <c r="I16" s="7"/>
      <c r="J16" s="7"/>
      <c r="K16" s="7"/>
      <c r="L16" s="8" t="n">
        <v>1</v>
      </c>
      <c r="M16" s="7"/>
      <c r="N16" s="7"/>
      <c r="O16" s="8" t="n">
        <v>1</v>
      </c>
      <c r="P16" s="7"/>
      <c r="Q16" s="8" t="n">
        <v>1</v>
      </c>
      <c r="R16" s="7"/>
      <c r="S16" s="7"/>
      <c r="T16" s="7"/>
      <c r="U16" s="7"/>
      <c r="V16" s="7" t="n">
        <f aca="false">SUM(G16:U16)</f>
        <v>5</v>
      </c>
      <c r="W16" s="12" t="str">
        <f aca="false">IF(AND(V16=E16,F16=E16),"OK","DIFF")</f>
        <v>OK</v>
      </c>
    </row>
    <row r="17" customFormat="false" ht="15" hidden="false" customHeight="false" outlineLevel="0" collapsed="false">
      <c r="A17" s="4" t="s">
        <v>488</v>
      </c>
      <c r="B17" s="14" t="s">
        <v>485</v>
      </c>
      <c r="C17" s="8" t="n">
        <v>6</v>
      </c>
      <c r="D17" s="9" t="n">
        <v>5</v>
      </c>
      <c r="E17" s="8" t="n">
        <v>30</v>
      </c>
      <c r="F17" s="7" t="n">
        <f aca="false">IF(ISNUMBER(D17),C17*D17,E17)</f>
        <v>30</v>
      </c>
      <c r="G17" s="7"/>
      <c r="H17" s="8" t="n">
        <v>12</v>
      </c>
      <c r="I17" s="7"/>
      <c r="J17" s="7"/>
      <c r="K17" s="7"/>
      <c r="L17" s="8" t="n">
        <v>6</v>
      </c>
      <c r="M17" s="7"/>
      <c r="N17" s="7"/>
      <c r="O17" s="8" t="n">
        <v>6</v>
      </c>
      <c r="P17" s="7"/>
      <c r="Q17" s="8" t="n">
        <v>6</v>
      </c>
      <c r="R17" s="7"/>
      <c r="S17" s="7"/>
      <c r="T17" s="7"/>
      <c r="U17" s="7"/>
      <c r="V17" s="7" t="n">
        <f aca="false">SUM(G17:U17)</f>
        <v>30</v>
      </c>
      <c r="W17" s="12" t="str">
        <f aca="false">IF(AND(V17=E17,F17=E17),"OK","DIFF")</f>
        <v>OK</v>
      </c>
    </row>
    <row r="18" customFormat="false" ht="15" hidden="false" customHeight="false" outlineLevel="0" collapsed="false">
      <c r="A18" s="4" t="s">
        <v>489</v>
      </c>
      <c r="B18" s="14" t="s">
        <v>485</v>
      </c>
      <c r="C18" s="8" t="n">
        <v>8</v>
      </c>
      <c r="D18" s="9" t="n">
        <v>6</v>
      </c>
      <c r="E18" s="8" t="n">
        <v>48</v>
      </c>
      <c r="F18" s="7" t="n">
        <f aca="false">IF(ISNUMBER(D18),C18*D18,E18)</f>
        <v>48</v>
      </c>
      <c r="G18" s="7"/>
      <c r="H18" s="8" t="n">
        <v>32</v>
      </c>
      <c r="I18" s="7"/>
      <c r="J18" s="7"/>
      <c r="K18" s="7"/>
      <c r="L18" s="7"/>
      <c r="M18" s="7"/>
      <c r="N18" s="7"/>
      <c r="O18" s="8" t="n">
        <v>8</v>
      </c>
      <c r="P18" s="7"/>
      <c r="Q18" s="8" t="n">
        <v>8</v>
      </c>
      <c r="R18" s="7"/>
      <c r="S18" s="7"/>
      <c r="T18" s="7"/>
      <c r="U18" s="7"/>
      <c r="V18" s="7" t="n">
        <f aca="false">SUM(G18:U18)</f>
        <v>48</v>
      </c>
      <c r="W18" s="12" t="str">
        <f aca="false">IF(AND(V18=E18,F18=E18),"OK","DIFF")</f>
        <v>OK</v>
      </c>
    </row>
    <row r="19" customFormat="false" ht="15" hidden="false" customHeight="false" outlineLevel="0" collapsed="false">
      <c r="A19" s="4" t="s">
        <v>490</v>
      </c>
      <c r="B19" s="14" t="s">
        <v>485</v>
      </c>
      <c r="C19" s="8" t="n">
        <v>20</v>
      </c>
      <c r="D19" s="9" t="n">
        <v>1</v>
      </c>
      <c r="E19" s="8" t="n">
        <v>20</v>
      </c>
      <c r="F19" s="7" t="n">
        <f aca="false">IF(ISNUMBER(D19),C19*D19,E19)</f>
        <v>20</v>
      </c>
      <c r="G19" s="7"/>
      <c r="H19" s="7"/>
      <c r="I19" s="7"/>
      <c r="J19" s="7"/>
      <c r="K19" s="7"/>
      <c r="L19" s="7"/>
      <c r="M19" s="7"/>
      <c r="N19" s="7"/>
      <c r="O19" s="8" t="n">
        <v>20</v>
      </c>
      <c r="P19" s="7"/>
      <c r="Q19" s="7"/>
      <c r="R19" s="7"/>
      <c r="S19" s="7"/>
      <c r="T19" s="7"/>
      <c r="U19" s="7"/>
      <c r="V19" s="7" t="n">
        <f aca="false">SUM(G19:U19)</f>
        <v>20</v>
      </c>
      <c r="W19" s="12" t="str">
        <f aca="false">IF(AND(V19=E19,F19=E19),"OK","DIFF")</f>
        <v>OK</v>
      </c>
    </row>
    <row r="20" customFormat="false" ht="15" hidden="false" customHeight="false" outlineLevel="0" collapsed="false">
      <c r="A20" s="4" t="s">
        <v>491</v>
      </c>
      <c r="B20" s="14" t="s">
        <v>492</v>
      </c>
      <c r="C20" s="8" t="n">
        <v>1</v>
      </c>
      <c r="D20" s="9" t="n">
        <v>403</v>
      </c>
      <c r="E20" s="8" t="n">
        <v>403</v>
      </c>
      <c r="F20" s="7" t="n">
        <f aca="false">IF(ISNUMBER(D20),C20*D20,E20)</f>
        <v>403</v>
      </c>
      <c r="G20" s="7"/>
      <c r="H20" s="8" t="n">
        <v>290</v>
      </c>
      <c r="I20" s="8" t="n">
        <v>1</v>
      </c>
      <c r="J20" s="7"/>
      <c r="K20" s="7"/>
      <c r="L20" s="8" t="n">
        <v>20</v>
      </c>
      <c r="M20" s="8" t="n">
        <v>1</v>
      </c>
      <c r="N20" s="8" t="n">
        <v>9</v>
      </c>
      <c r="O20" s="8" t="n">
        <v>82</v>
      </c>
      <c r="P20" s="7"/>
      <c r="Q20" s="7"/>
      <c r="R20" s="7"/>
      <c r="S20" s="7"/>
      <c r="T20" s="7"/>
      <c r="U20" s="7"/>
      <c r="V20" s="7" t="n">
        <f aca="false">SUM(G20:U20)</f>
        <v>403</v>
      </c>
      <c r="W20" s="12" t="str">
        <f aca="false">IF(AND(V20=E20,F20=E20),"OK","DIFF")</f>
        <v>OK</v>
      </c>
    </row>
    <row r="21" customFormat="false" ht="15" hidden="false" customHeight="false" outlineLevel="0" collapsed="false">
      <c r="A21" s="4" t="s">
        <v>147</v>
      </c>
      <c r="B21" s="14" t="s">
        <v>492</v>
      </c>
      <c r="C21" s="8" t="n">
        <v>1</v>
      </c>
      <c r="D21" s="9" t="n">
        <v>277</v>
      </c>
      <c r="E21" s="8" t="n">
        <v>277</v>
      </c>
      <c r="F21" s="7" t="n">
        <f aca="false">IF(ISNUMBER(D21),C21*D21,E21)</f>
        <v>277</v>
      </c>
      <c r="G21" s="7"/>
      <c r="H21" s="8" t="n">
        <v>225</v>
      </c>
      <c r="I21" s="7"/>
      <c r="J21" s="7"/>
      <c r="K21" s="7"/>
      <c r="L21" s="8" t="n">
        <v>2</v>
      </c>
      <c r="M21" s="7"/>
      <c r="N21" s="7"/>
      <c r="O21" s="8" t="n">
        <v>50</v>
      </c>
      <c r="P21" s="7"/>
      <c r="Q21" s="7"/>
      <c r="R21" s="7"/>
      <c r="S21" s="7"/>
      <c r="T21" s="7"/>
      <c r="U21" s="7"/>
      <c r="V21" s="7" t="n">
        <f aca="false">SUM(G21:U21)</f>
        <v>277</v>
      </c>
      <c r="W21" s="12" t="str">
        <f aca="false">IF(AND(V21=E21,F21=E21),"OK","DIFF")</f>
        <v>OK</v>
      </c>
    </row>
    <row r="22" customFormat="false" ht="15" hidden="false" customHeight="false" outlineLevel="0" collapsed="false">
      <c r="A22" s="4" t="s">
        <v>153</v>
      </c>
      <c r="B22" s="14" t="s">
        <v>492</v>
      </c>
      <c r="C22" s="8" t="n">
        <v>1</v>
      </c>
      <c r="D22" s="9" t="n">
        <v>108</v>
      </c>
      <c r="E22" s="8" t="n">
        <v>108</v>
      </c>
      <c r="F22" s="7" t="n">
        <f aca="false">IF(ISNUMBER(D22),C22*D22,E22)</f>
        <v>108</v>
      </c>
      <c r="G22" s="7"/>
      <c r="H22" s="8" t="n">
        <v>62</v>
      </c>
      <c r="I22" s="7"/>
      <c r="J22" s="7"/>
      <c r="K22" s="7"/>
      <c r="L22" s="8" t="n">
        <v>3</v>
      </c>
      <c r="M22" s="7"/>
      <c r="N22" s="7"/>
      <c r="O22" s="8" t="n">
        <v>42</v>
      </c>
      <c r="P22" s="7"/>
      <c r="Q22" s="8" t="n">
        <v>1</v>
      </c>
      <c r="R22" s="7"/>
      <c r="S22" s="7"/>
      <c r="T22" s="7"/>
      <c r="U22" s="7"/>
      <c r="V22" s="7" t="n">
        <f aca="false">SUM(G22:U22)</f>
        <v>108</v>
      </c>
      <c r="W22" s="12" t="str">
        <f aca="false">IF(AND(V22=E22,F22=E22),"OK","DIFF")</f>
        <v>OK</v>
      </c>
    </row>
    <row r="23" customFormat="false" ht="15" hidden="false" customHeight="false" outlineLevel="0" collapsed="false">
      <c r="A23" s="4" t="s">
        <v>493</v>
      </c>
      <c r="B23" s="14" t="s">
        <v>492</v>
      </c>
      <c r="C23" s="8" t="n">
        <v>1</v>
      </c>
      <c r="D23" s="9" t="n">
        <v>4</v>
      </c>
      <c r="E23" s="8" t="n">
        <v>4</v>
      </c>
      <c r="F23" s="7" t="n">
        <f aca="false">IF(ISNUMBER(D23),C23*D23,E23)</f>
        <v>4</v>
      </c>
      <c r="G23" s="7"/>
      <c r="H23" s="8" t="n">
        <v>1</v>
      </c>
      <c r="I23" s="7"/>
      <c r="J23" s="7"/>
      <c r="K23" s="7"/>
      <c r="L23" s="8" t="n">
        <v>1</v>
      </c>
      <c r="M23" s="7"/>
      <c r="N23" s="7"/>
      <c r="O23" s="8" t="n">
        <v>2</v>
      </c>
      <c r="P23" s="7"/>
      <c r="Q23" s="7"/>
      <c r="R23" s="7"/>
      <c r="S23" s="7"/>
      <c r="T23" s="7"/>
      <c r="U23" s="7"/>
      <c r="V23" s="7" t="n">
        <f aca="false">SUM(G23:U23)</f>
        <v>4</v>
      </c>
      <c r="W23" s="12" t="str">
        <f aca="false">IF(AND(V23=E23,F23=E23),"OK","DIFF")</f>
        <v>OK</v>
      </c>
    </row>
    <row r="24" customFormat="false" ht="15" hidden="false" customHeight="false" outlineLevel="0" collapsed="false">
      <c r="A24" s="4" t="s">
        <v>494</v>
      </c>
      <c r="B24" s="14" t="s">
        <v>492</v>
      </c>
      <c r="C24" s="8" t="n">
        <v>1</v>
      </c>
      <c r="D24" s="9" t="n">
        <v>51</v>
      </c>
      <c r="E24" s="8" t="n">
        <v>51</v>
      </c>
      <c r="F24" s="7" t="n">
        <f aca="false">IF(ISNUMBER(D24),C24*D24,E24)</f>
        <v>51</v>
      </c>
      <c r="G24" s="7"/>
      <c r="H24" s="8" t="n">
        <v>31</v>
      </c>
      <c r="I24" s="7"/>
      <c r="J24" s="7"/>
      <c r="K24" s="7"/>
      <c r="L24" s="8" t="n">
        <v>17</v>
      </c>
      <c r="M24" s="7"/>
      <c r="N24" s="7"/>
      <c r="O24" s="8" t="n">
        <v>3</v>
      </c>
      <c r="P24" s="7"/>
      <c r="Q24" s="7"/>
      <c r="R24" s="7"/>
      <c r="S24" s="7"/>
      <c r="T24" s="7"/>
      <c r="U24" s="7"/>
      <c r="V24" s="7" t="n">
        <f aca="false">SUM(G24:U24)</f>
        <v>51</v>
      </c>
      <c r="W24" s="12" t="str">
        <f aca="false">IF(AND(V24=E24,F24=E24),"OK","DIFF")</f>
        <v>OK</v>
      </c>
    </row>
    <row r="25" customFormat="false" ht="15" hidden="false" customHeight="false" outlineLevel="0" collapsed="false">
      <c r="A25" s="4" t="s">
        <v>161</v>
      </c>
      <c r="B25" s="14" t="s">
        <v>492</v>
      </c>
      <c r="C25" s="8" t="n">
        <v>1</v>
      </c>
      <c r="D25" s="9" t="n">
        <v>36</v>
      </c>
      <c r="E25" s="8" t="n">
        <v>36</v>
      </c>
      <c r="F25" s="7" t="n">
        <f aca="false">IF(ISNUMBER(D25),C25*D25,E25)</f>
        <v>36</v>
      </c>
      <c r="G25" s="7"/>
      <c r="H25" s="8" t="n">
        <v>12</v>
      </c>
      <c r="I25" s="8" t="n">
        <v>2</v>
      </c>
      <c r="J25" s="7"/>
      <c r="K25" s="7"/>
      <c r="L25" s="8" t="n">
        <v>10</v>
      </c>
      <c r="M25" s="7"/>
      <c r="N25" s="8" t="n">
        <v>8</v>
      </c>
      <c r="O25" s="8" t="n">
        <v>4</v>
      </c>
      <c r="P25" s="7"/>
      <c r="Q25" s="7"/>
      <c r="R25" s="7"/>
      <c r="S25" s="7"/>
      <c r="T25" s="7"/>
      <c r="U25" s="7"/>
      <c r="V25" s="7" t="n">
        <f aca="false">SUM(G25:U25)</f>
        <v>36</v>
      </c>
      <c r="W25" s="12" t="str">
        <f aca="false">IF(AND(V25=E25,F25=E25),"OK","DIFF")</f>
        <v>OK</v>
      </c>
    </row>
    <row r="26" customFormat="false" ht="15" hidden="false" customHeight="false" outlineLevel="0" collapsed="false">
      <c r="A26" s="4" t="s">
        <v>495</v>
      </c>
      <c r="B26" s="14" t="s">
        <v>492</v>
      </c>
      <c r="C26" s="8" t="n">
        <v>4</v>
      </c>
      <c r="D26" s="9" t="n">
        <v>37</v>
      </c>
      <c r="E26" s="8" t="n">
        <v>148</v>
      </c>
      <c r="F26" s="7" t="n">
        <f aca="false">IF(ISNUMBER(D26),C26*D26,E26)</f>
        <v>148</v>
      </c>
      <c r="G26" s="7"/>
      <c r="H26" s="8" t="n">
        <v>44</v>
      </c>
      <c r="I26" s="7"/>
      <c r="J26" s="7"/>
      <c r="K26" s="7"/>
      <c r="L26" s="8" t="n">
        <v>8</v>
      </c>
      <c r="M26" s="7"/>
      <c r="N26" s="7"/>
      <c r="O26" s="8" t="n">
        <v>96</v>
      </c>
      <c r="P26" s="7"/>
      <c r="Q26" s="7"/>
      <c r="R26" s="7"/>
      <c r="S26" s="7"/>
      <c r="T26" s="7"/>
      <c r="U26" s="7"/>
      <c r="V26" s="7" t="n">
        <f aca="false">SUM(G26:U26)</f>
        <v>148</v>
      </c>
      <c r="W26" s="12" t="str">
        <f aca="false">IF(AND(V26=E26,F26=E26),"OK","DIFF")</f>
        <v>OK</v>
      </c>
    </row>
    <row r="27" customFormat="false" ht="15" hidden="false" customHeight="false" outlineLevel="0" collapsed="false">
      <c r="A27" s="4" t="s">
        <v>496</v>
      </c>
      <c r="B27" s="14" t="s">
        <v>492</v>
      </c>
      <c r="C27" s="8" t="n">
        <v>1</v>
      </c>
      <c r="D27" s="9" t="n">
        <v>26</v>
      </c>
      <c r="E27" s="8" t="n">
        <v>26</v>
      </c>
      <c r="F27" s="7" t="n">
        <f aca="false">IF(ISNUMBER(D27),C27*D27,E27)</f>
        <v>26</v>
      </c>
      <c r="G27" s="7"/>
      <c r="H27" s="8" t="n">
        <v>5</v>
      </c>
      <c r="I27" s="7"/>
      <c r="J27" s="7"/>
      <c r="K27" s="7"/>
      <c r="L27" s="8" t="n">
        <v>1</v>
      </c>
      <c r="M27" s="7"/>
      <c r="N27" s="7"/>
      <c r="O27" s="8" t="n">
        <v>19</v>
      </c>
      <c r="P27" s="7"/>
      <c r="Q27" s="8" t="n">
        <v>1</v>
      </c>
      <c r="R27" s="7"/>
      <c r="S27" s="7"/>
      <c r="T27" s="7"/>
      <c r="U27" s="7"/>
      <c r="V27" s="7" t="n">
        <f aca="false">SUM(G27:U27)</f>
        <v>26</v>
      </c>
      <c r="W27" s="12" t="str">
        <f aca="false">IF(AND(V27=E27,F27=E27),"OK","DIFF")</f>
        <v>OK</v>
      </c>
    </row>
    <row r="28" customFormat="false" ht="15" hidden="false" customHeight="false" outlineLevel="0" collapsed="false">
      <c r="A28" s="4" t="s">
        <v>497</v>
      </c>
      <c r="B28" s="14" t="s">
        <v>492</v>
      </c>
      <c r="C28" s="8" t="n">
        <v>1</v>
      </c>
      <c r="D28" s="9" t="n">
        <v>20</v>
      </c>
      <c r="E28" s="8" t="n">
        <v>20</v>
      </c>
      <c r="F28" s="7" t="n">
        <f aca="false">IF(ISNUMBER(D28),C28*D28,E28)</f>
        <v>20</v>
      </c>
      <c r="G28" s="7"/>
      <c r="H28" s="8" t="n">
        <v>8</v>
      </c>
      <c r="I28" s="7"/>
      <c r="J28" s="7"/>
      <c r="K28" s="7"/>
      <c r="L28" s="8" t="n">
        <v>2</v>
      </c>
      <c r="M28" s="7"/>
      <c r="N28" s="7"/>
      <c r="O28" s="8" t="n">
        <v>10</v>
      </c>
      <c r="P28" s="7"/>
      <c r="Q28" s="7"/>
      <c r="R28" s="7"/>
      <c r="S28" s="7"/>
      <c r="T28" s="7"/>
      <c r="U28" s="7"/>
      <c r="V28" s="7" t="n">
        <f aca="false">SUM(G28:U28)</f>
        <v>20</v>
      </c>
      <c r="W28" s="12" t="str">
        <f aca="false">IF(AND(V28=E28,F28=E28),"OK","DIFF")</f>
        <v>OK</v>
      </c>
    </row>
    <row r="29" customFormat="false" ht="15" hidden="false" customHeight="false" outlineLevel="0" collapsed="false">
      <c r="A29" s="4" t="s">
        <v>498</v>
      </c>
      <c r="B29" s="14" t="s">
        <v>492</v>
      </c>
      <c r="C29" s="8" t="n">
        <v>3</v>
      </c>
      <c r="D29" s="9" t="n">
        <v>19</v>
      </c>
      <c r="E29" s="8" t="n">
        <v>57</v>
      </c>
      <c r="F29" s="7" t="n">
        <f aca="false">IF(ISNUMBER(D29),C29*D29,E29)</f>
        <v>57</v>
      </c>
      <c r="G29" s="7"/>
      <c r="H29" s="8" t="n">
        <v>42</v>
      </c>
      <c r="I29" s="7"/>
      <c r="J29" s="7"/>
      <c r="K29" s="7"/>
      <c r="L29" s="8" t="n">
        <v>6</v>
      </c>
      <c r="M29" s="7"/>
      <c r="N29" s="7"/>
      <c r="O29" s="8" t="n">
        <v>9</v>
      </c>
      <c r="P29" s="7"/>
      <c r="Q29" s="7"/>
      <c r="R29" s="7"/>
      <c r="S29" s="7"/>
      <c r="T29" s="7"/>
      <c r="U29" s="7"/>
      <c r="V29" s="7" t="n">
        <f aca="false">SUM(G29:U29)</f>
        <v>57</v>
      </c>
      <c r="W29" s="12" t="str">
        <f aca="false">IF(AND(V29=E29,F29=E29),"OK","DIFF")</f>
        <v>OK</v>
      </c>
    </row>
    <row r="30" customFormat="false" ht="15" hidden="false" customHeight="false" outlineLevel="0" collapsed="false">
      <c r="A30" s="4" t="s">
        <v>499</v>
      </c>
      <c r="B30" s="14" t="s">
        <v>492</v>
      </c>
      <c r="C30" s="8" t="n">
        <v>1</v>
      </c>
      <c r="D30" s="9" t="n">
        <v>20</v>
      </c>
      <c r="E30" s="8" t="n">
        <v>20</v>
      </c>
      <c r="F30" s="7" t="n">
        <f aca="false">IF(ISNUMBER(D30),C30*D30,E30)</f>
        <v>20</v>
      </c>
      <c r="G30" s="7"/>
      <c r="H30" s="8" t="n">
        <v>5</v>
      </c>
      <c r="I30" s="7"/>
      <c r="J30" s="7"/>
      <c r="K30" s="7"/>
      <c r="L30" s="8" t="n">
        <v>2</v>
      </c>
      <c r="M30" s="7"/>
      <c r="N30" s="7"/>
      <c r="O30" s="8" t="n">
        <v>13</v>
      </c>
      <c r="P30" s="7"/>
      <c r="Q30" s="7"/>
      <c r="R30" s="7"/>
      <c r="S30" s="7"/>
      <c r="T30" s="7"/>
      <c r="U30" s="7"/>
      <c r="V30" s="7" t="n">
        <f aca="false">SUM(G30:U30)</f>
        <v>20</v>
      </c>
      <c r="W30" s="12" t="str">
        <f aca="false">IF(AND(V30=E30,F30=E30),"OK","DIFF")</f>
        <v>OK</v>
      </c>
    </row>
    <row r="31" customFormat="false" ht="15" hidden="false" customHeight="false" outlineLevel="0" collapsed="false">
      <c r="A31" s="4" t="s">
        <v>500</v>
      </c>
      <c r="B31" s="14" t="s">
        <v>492</v>
      </c>
      <c r="C31" s="8" t="n">
        <v>1</v>
      </c>
      <c r="D31" s="9" t="n">
        <v>14</v>
      </c>
      <c r="E31" s="8" t="n">
        <v>14</v>
      </c>
      <c r="F31" s="7" t="n">
        <f aca="false">IF(ISNUMBER(D31),C31*D31,E31)</f>
        <v>14</v>
      </c>
      <c r="G31" s="7"/>
      <c r="H31" s="8" t="n">
        <v>3</v>
      </c>
      <c r="I31" s="7"/>
      <c r="J31" s="7"/>
      <c r="K31" s="7"/>
      <c r="L31" s="8" t="n">
        <v>4</v>
      </c>
      <c r="M31" s="7"/>
      <c r="N31" s="7"/>
      <c r="O31" s="8" t="n">
        <v>7</v>
      </c>
      <c r="P31" s="7"/>
      <c r="Q31" s="7"/>
      <c r="R31" s="7"/>
      <c r="S31" s="7"/>
      <c r="T31" s="7"/>
      <c r="U31" s="7"/>
      <c r="V31" s="7" t="n">
        <f aca="false">SUM(G31:U31)</f>
        <v>14</v>
      </c>
      <c r="W31" s="12" t="str">
        <f aca="false">IF(AND(V31=E31,F31=E31),"OK","DIFF")</f>
        <v>OK</v>
      </c>
    </row>
    <row r="32" customFormat="false" ht="15" hidden="false" customHeight="false" outlineLevel="0" collapsed="false">
      <c r="A32" s="4" t="s">
        <v>501</v>
      </c>
      <c r="B32" s="14" t="s">
        <v>492</v>
      </c>
      <c r="C32" s="8" t="n">
        <v>2</v>
      </c>
      <c r="D32" s="9" t="n">
        <v>11</v>
      </c>
      <c r="E32" s="8" t="n">
        <v>22</v>
      </c>
      <c r="F32" s="7" t="n">
        <f aca="false">IF(ISNUMBER(D32),C32*D32,E32)</f>
        <v>22</v>
      </c>
      <c r="G32" s="8" t="n">
        <v>12</v>
      </c>
      <c r="H32" s="8" t="n">
        <v>6</v>
      </c>
      <c r="I32" s="7"/>
      <c r="J32" s="7"/>
      <c r="K32" s="7"/>
      <c r="L32" s="7"/>
      <c r="M32" s="7"/>
      <c r="N32" s="7"/>
      <c r="O32" s="8" t="n">
        <v>4</v>
      </c>
      <c r="P32" s="7"/>
      <c r="Q32" s="7"/>
      <c r="R32" s="7"/>
      <c r="S32" s="7"/>
      <c r="T32" s="7"/>
      <c r="U32" s="7"/>
      <c r="V32" s="7" t="n">
        <f aca="false">SUM(G32:U32)</f>
        <v>22</v>
      </c>
      <c r="W32" s="12" t="str">
        <f aca="false">IF(AND(V32=E32,F32=E32),"OK","DIFF")</f>
        <v>OK</v>
      </c>
    </row>
    <row r="33" customFormat="false" ht="15" hidden="false" customHeight="false" outlineLevel="0" collapsed="false">
      <c r="A33" s="4" t="s">
        <v>502</v>
      </c>
      <c r="B33" s="14" t="s">
        <v>492</v>
      </c>
      <c r="C33" s="8" t="n">
        <v>1</v>
      </c>
      <c r="D33" s="9" t="n">
        <v>11</v>
      </c>
      <c r="E33" s="8" t="n">
        <v>11</v>
      </c>
      <c r="F33" s="7" t="n">
        <f aca="false">IF(ISNUMBER(D33),C33*D33,E33)</f>
        <v>11</v>
      </c>
      <c r="G33" s="7"/>
      <c r="H33" s="8" t="n">
        <v>8</v>
      </c>
      <c r="I33" s="7"/>
      <c r="J33" s="7"/>
      <c r="K33" s="7"/>
      <c r="L33" s="7"/>
      <c r="M33" s="7"/>
      <c r="N33" s="7"/>
      <c r="O33" s="8" t="n">
        <v>3</v>
      </c>
      <c r="P33" s="7"/>
      <c r="Q33" s="7"/>
      <c r="R33" s="7"/>
      <c r="S33" s="7"/>
      <c r="T33" s="7"/>
      <c r="U33" s="7"/>
      <c r="V33" s="7" t="n">
        <f aca="false">SUM(G33:U33)</f>
        <v>11</v>
      </c>
      <c r="W33" s="12" t="str">
        <f aca="false">IF(AND(V33=E33,F33=E33),"OK","DIFF")</f>
        <v>OK</v>
      </c>
    </row>
    <row r="34" customFormat="false" ht="15" hidden="false" customHeight="false" outlineLevel="0" collapsed="false">
      <c r="A34" s="4" t="s">
        <v>503</v>
      </c>
      <c r="B34" s="14" t="s">
        <v>492</v>
      </c>
      <c r="C34" s="8" t="n">
        <v>2</v>
      </c>
      <c r="D34" s="9" t="n">
        <v>9</v>
      </c>
      <c r="E34" s="8" t="n">
        <v>18</v>
      </c>
      <c r="F34" s="7" t="n">
        <f aca="false">IF(ISNUMBER(D34),C34*D34,E34)</f>
        <v>18</v>
      </c>
      <c r="G34" s="7"/>
      <c r="H34" s="8" t="n">
        <v>4</v>
      </c>
      <c r="I34" s="7"/>
      <c r="J34" s="7"/>
      <c r="K34" s="7"/>
      <c r="L34" s="8" t="n">
        <v>8</v>
      </c>
      <c r="M34" s="7"/>
      <c r="N34" s="7"/>
      <c r="O34" s="8" t="n">
        <v>4</v>
      </c>
      <c r="P34" s="7"/>
      <c r="Q34" s="7"/>
      <c r="R34" s="7"/>
      <c r="S34" s="8" t="n">
        <v>2</v>
      </c>
      <c r="T34" s="7"/>
      <c r="U34" s="7"/>
      <c r="V34" s="7" t="n">
        <f aca="false">SUM(G34:U34)</f>
        <v>18</v>
      </c>
      <c r="W34" s="12" t="str">
        <f aca="false">IF(AND(V34=E34,F34=E34),"OK","DIFF")</f>
        <v>OK</v>
      </c>
    </row>
    <row r="35" customFormat="false" ht="15" hidden="false" customHeight="false" outlineLevel="0" collapsed="false">
      <c r="A35" s="4" t="s">
        <v>504</v>
      </c>
      <c r="B35" s="14" t="s">
        <v>505</v>
      </c>
      <c r="C35" s="8" t="n">
        <v>1</v>
      </c>
      <c r="D35" s="9" t="n">
        <v>244</v>
      </c>
      <c r="E35" s="8" t="n">
        <v>244</v>
      </c>
      <c r="F35" s="7" t="n">
        <f aca="false">IF(ISNUMBER(D35),C35*D35,E35)</f>
        <v>244</v>
      </c>
      <c r="G35" s="7"/>
      <c r="H35" s="8" t="n">
        <v>244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 t="n">
        <f aca="false">SUM(G35:U35)</f>
        <v>244</v>
      </c>
      <c r="W35" s="12" t="str">
        <f aca="false">IF(AND(V35=E35,F35=E35),"OK","DIFF")</f>
        <v>OK</v>
      </c>
    </row>
    <row r="36" customFormat="false" ht="15" hidden="false" customHeight="false" outlineLevel="0" collapsed="false">
      <c r="A36" s="4" t="s">
        <v>506</v>
      </c>
      <c r="B36" s="14" t="s">
        <v>505</v>
      </c>
      <c r="C36" s="8" t="n">
        <v>1</v>
      </c>
      <c r="D36" s="9" t="n">
        <v>102</v>
      </c>
      <c r="E36" s="8" t="n">
        <v>102</v>
      </c>
      <c r="F36" s="7" t="n">
        <f aca="false">IF(ISNUMBER(D36),C36*D36,E36)</f>
        <v>102</v>
      </c>
      <c r="G36" s="7"/>
      <c r="H36" s="7"/>
      <c r="I36" s="7"/>
      <c r="J36" s="7"/>
      <c r="K36" s="7"/>
      <c r="L36" s="7"/>
      <c r="M36" s="7"/>
      <c r="N36" s="7"/>
      <c r="O36" s="8" t="n">
        <v>50</v>
      </c>
      <c r="P36" s="7"/>
      <c r="Q36" s="7"/>
      <c r="R36" s="7"/>
      <c r="S36" s="7"/>
      <c r="T36" s="8" t="n">
        <v>52</v>
      </c>
      <c r="U36" s="7"/>
      <c r="V36" s="7" t="n">
        <f aca="false">SUM(G36:U36)</f>
        <v>102</v>
      </c>
      <c r="W36" s="12" t="str">
        <f aca="false">IF(AND(V36=E36,F36=E36),"OK","DIFF")</f>
        <v>OK</v>
      </c>
    </row>
    <row r="37" customFormat="false" ht="15" hidden="false" customHeight="false" outlineLevel="0" collapsed="false">
      <c r="A37" s="4" t="s">
        <v>507</v>
      </c>
      <c r="B37" s="14" t="s">
        <v>505</v>
      </c>
      <c r="C37" s="8" t="n">
        <v>1</v>
      </c>
      <c r="D37" s="9" t="n">
        <v>86</v>
      </c>
      <c r="E37" s="8" t="n">
        <v>86</v>
      </c>
      <c r="F37" s="7" t="n">
        <f aca="false">IF(ISNUMBER(D37),C37*D37,E37)</f>
        <v>86</v>
      </c>
      <c r="G37" s="7"/>
      <c r="H37" s="8" t="n">
        <v>1</v>
      </c>
      <c r="I37" s="7"/>
      <c r="J37" s="7"/>
      <c r="K37" s="7"/>
      <c r="L37" s="7"/>
      <c r="M37" s="7"/>
      <c r="N37" s="7"/>
      <c r="O37" s="8" t="n">
        <v>85</v>
      </c>
      <c r="P37" s="7"/>
      <c r="Q37" s="7"/>
      <c r="R37" s="7"/>
      <c r="S37" s="7"/>
      <c r="T37" s="7"/>
      <c r="U37" s="7"/>
      <c r="V37" s="7" t="n">
        <f aca="false">SUM(G37:U37)</f>
        <v>86</v>
      </c>
      <c r="W37" s="12" t="str">
        <f aca="false">IF(AND(V37=E37,F37=E37),"OK","DIFF")</f>
        <v>OK</v>
      </c>
    </row>
    <row r="38" customFormat="false" ht="15" hidden="false" customHeight="false" outlineLevel="0" collapsed="false">
      <c r="A38" s="4" t="s">
        <v>508</v>
      </c>
      <c r="B38" s="14" t="s">
        <v>505</v>
      </c>
      <c r="C38" s="8" t="n">
        <v>1</v>
      </c>
      <c r="D38" s="9" t="n">
        <v>50</v>
      </c>
      <c r="E38" s="8" t="n">
        <v>50</v>
      </c>
      <c r="F38" s="7" t="n">
        <f aca="false">IF(ISNUMBER(D38),C38*D38,E38)</f>
        <v>50</v>
      </c>
      <c r="G38" s="7"/>
      <c r="H38" s="8" t="n">
        <v>7</v>
      </c>
      <c r="I38" s="7"/>
      <c r="J38" s="7"/>
      <c r="K38" s="8" t="n">
        <v>2</v>
      </c>
      <c r="L38" s="8" t="n">
        <v>3</v>
      </c>
      <c r="M38" s="7"/>
      <c r="N38" s="8" t="n">
        <v>34</v>
      </c>
      <c r="O38" s="8" t="n">
        <v>4</v>
      </c>
      <c r="P38" s="7"/>
      <c r="Q38" s="7"/>
      <c r="R38" s="7"/>
      <c r="S38" s="7"/>
      <c r="T38" s="7"/>
      <c r="U38" s="7"/>
      <c r="V38" s="7" t="n">
        <f aca="false">SUM(G38:U38)</f>
        <v>50</v>
      </c>
      <c r="W38" s="12" t="str">
        <f aca="false">IF(AND(V38=E38,F38=E38),"OK","DIFF")</f>
        <v>OK</v>
      </c>
    </row>
    <row r="39" customFormat="false" ht="15" hidden="false" customHeight="false" outlineLevel="0" collapsed="false">
      <c r="A39" s="4" t="s">
        <v>509</v>
      </c>
      <c r="B39" s="14" t="s">
        <v>505</v>
      </c>
      <c r="C39" s="8" t="n">
        <v>7</v>
      </c>
      <c r="D39" s="15" t="s">
        <v>510</v>
      </c>
      <c r="E39" s="8" t="n">
        <v>379</v>
      </c>
      <c r="F39" s="7" t="n">
        <f aca="false">IF(ISNUMBER(D39),C39*D39,E39)</f>
        <v>379</v>
      </c>
      <c r="G39" s="7"/>
      <c r="H39" s="8" t="n">
        <v>297</v>
      </c>
      <c r="I39" s="7"/>
      <c r="J39" s="7"/>
      <c r="K39" s="7"/>
      <c r="L39" s="7"/>
      <c r="M39" s="7"/>
      <c r="N39" s="7"/>
      <c r="O39" s="8" t="n">
        <v>82</v>
      </c>
      <c r="P39" s="7"/>
      <c r="Q39" s="7"/>
      <c r="R39" s="7"/>
      <c r="S39" s="7"/>
      <c r="T39" s="7"/>
      <c r="U39" s="7"/>
      <c r="V39" s="7" t="n">
        <f aca="false">SUM(G39:U39)</f>
        <v>379</v>
      </c>
      <c r="W39" s="12" t="str">
        <f aca="false">IF(AND(V39=E39,F39=E39),"OK","DIFF")</f>
        <v>OK</v>
      </c>
    </row>
    <row r="40" customFormat="false" ht="15" hidden="false" customHeight="false" outlineLevel="0" collapsed="false">
      <c r="A40" s="4" t="s">
        <v>511</v>
      </c>
      <c r="B40" s="14" t="s">
        <v>505</v>
      </c>
      <c r="C40" s="8" t="n">
        <v>5</v>
      </c>
      <c r="D40" s="15" t="s">
        <v>512</v>
      </c>
      <c r="E40" s="8" t="n">
        <v>246</v>
      </c>
      <c r="F40" s="7" t="n">
        <f aca="false">IF(ISNUMBER(D40),C40*D40,E40)</f>
        <v>246</v>
      </c>
      <c r="G40" s="7"/>
      <c r="H40" s="8" t="n">
        <v>42</v>
      </c>
      <c r="I40" s="7"/>
      <c r="J40" s="7"/>
      <c r="K40" s="7"/>
      <c r="L40" s="7"/>
      <c r="M40" s="7"/>
      <c r="N40" s="8" t="n">
        <v>204</v>
      </c>
      <c r="O40" s="7"/>
      <c r="P40" s="7"/>
      <c r="Q40" s="7"/>
      <c r="R40" s="7"/>
      <c r="S40" s="7"/>
      <c r="T40" s="7"/>
      <c r="U40" s="7"/>
      <c r="V40" s="7" t="n">
        <f aca="false">SUM(G40:U40)</f>
        <v>246</v>
      </c>
      <c r="W40" s="12" t="str">
        <f aca="false">IF(AND(V40=E40,F40=E40),"OK","DIFF")</f>
        <v>OK</v>
      </c>
    </row>
    <row r="41" customFormat="false" ht="15" hidden="false" customHeight="false" outlineLevel="0" collapsed="false">
      <c r="A41" s="4" t="s">
        <v>513</v>
      </c>
      <c r="B41" s="14" t="s">
        <v>505</v>
      </c>
      <c r="C41" s="8" t="n">
        <v>1</v>
      </c>
      <c r="D41" s="9" t="n">
        <v>51</v>
      </c>
      <c r="E41" s="8" t="n">
        <v>51</v>
      </c>
      <c r="F41" s="7" t="n">
        <f aca="false">IF(ISNUMBER(D41),C41*D41,E41)</f>
        <v>51</v>
      </c>
      <c r="G41" s="7"/>
      <c r="H41" s="8" t="n">
        <v>2</v>
      </c>
      <c r="I41" s="7"/>
      <c r="J41" s="7"/>
      <c r="K41" s="7"/>
      <c r="L41" s="7"/>
      <c r="M41" s="7"/>
      <c r="N41" s="7"/>
      <c r="O41" s="8" t="n">
        <v>49</v>
      </c>
      <c r="P41" s="7"/>
      <c r="Q41" s="7"/>
      <c r="R41" s="7"/>
      <c r="S41" s="7"/>
      <c r="T41" s="7"/>
      <c r="U41" s="7"/>
      <c r="V41" s="7" t="n">
        <f aca="false">SUM(G41:U41)</f>
        <v>51</v>
      </c>
      <c r="W41" s="12" t="str">
        <f aca="false">IF(AND(V41=E41,F41=E41),"OK","DIFF")</f>
        <v>OK</v>
      </c>
    </row>
    <row r="42" customFormat="false" ht="15" hidden="false" customHeight="false" outlineLevel="0" collapsed="false">
      <c r="A42" s="4" t="s">
        <v>514</v>
      </c>
      <c r="B42" s="14" t="s">
        <v>505</v>
      </c>
      <c r="C42" s="8" t="n">
        <v>1</v>
      </c>
      <c r="D42" s="9" t="n">
        <v>41</v>
      </c>
      <c r="E42" s="8" t="n">
        <v>41</v>
      </c>
      <c r="F42" s="7" t="n">
        <f aca="false">IF(ISNUMBER(D42),C42*D42,E42)</f>
        <v>41</v>
      </c>
      <c r="G42" s="7"/>
      <c r="H42" s="8" t="n">
        <v>3</v>
      </c>
      <c r="I42" s="7"/>
      <c r="J42" s="7"/>
      <c r="K42" s="7"/>
      <c r="L42" s="7"/>
      <c r="M42" s="7"/>
      <c r="N42" s="8" t="n">
        <v>37</v>
      </c>
      <c r="O42" s="8" t="n">
        <v>1</v>
      </c>
      <c r="P42" s="7"/>
      <c r="Q42" s="7"/>
      <c r="R42" s="7"/>
      <c r="S42" s="7"/>
      <c r="T42" s="7"/>
      <c r="U42" s="7"/>
      <c r="V42" s="7" t="n">
        <f aca="false">SUM(G42:U42)</f>
        <v>41</v>
      </c>
      <c r="W42" s="12" t="str">
        <f aca="false">IF(AND(V42=E42,F42=E42),"OK","DIFF")</f>
        <v>OK</v>
      </c>
    </row>
    <row r="43" customFormat="false" ht="15" hidden="false" customHeight="false" outlineLevel="0" collapsed="false">
      <c r="A43" s="4" t="s">
        <v>515</v>
      </c>
      <c r="B43" s="14" t="s">
        <v>505</v>
      </c>
      <c r="C43" s="8" t="n">
        <v>3</v>
      </c>
      <c r="D43" s="15" t="s">
        <v>516</v>
      </c>
      <c r="E43" s="8" t="n">
        <v>57</v>
      </c>
      <c r="F43" s="7" t="n">
        <f aca="false">IF(ISNUMBER(D43),C43*D43,E43)</f>
        <v>57</v>
      </c>
      <c r="G43" s="7"/>
      <c r="H43" s="7"/>
      <c r="I43" s="7"/>
      <c r="J43" s="7"/>
      <c r="K43" s="7"/>
      <c r="L43" s="7"/>
      <c r="M43" s="7"/>
      <c r="N43" s="8" t="n">
        <v>57</v>
      </c>
      <c r="O43" s="7"/>
      <c r="P43" s="7"/>
      <c r="Q43" s="7"/>
      <c r="R43" s="7"/>
      <c r="S43" s="7"/>
      <c r="T43" s="7"/>
      <c r="U43" s="7"/>
      <c r="V43" s="7" t="n">
        <f aca="false">SUM(G43:U43)</f>
        <v>57</v>
      </c>
      <c r="W43" s="12" t="str">
        <f aca="false">IF(AND(V43=E43,F43=E43),"OK","DIFF")</f>
        <v>OK</v>
      </c>
    </row>
    <row r="44" customFormat="false" ht="15" hidden="false" customHeight="false" outlineLevel="0" collapsed="false">
      <c r="A44" s="4" t="s">
        <v>163</v>
      </c>
      <c r="B44" s="14" t="s">
        <v>505</v>
      </c>
      <c r="C44" s="8" t="n">
        <v>1</v>
      </c>
      <c r="D44" s="9" t="n">
        <v>20</v>
      </c>
      <c r="E44" s="8" t="n">
        <v>20</v>
      </c>
      <c r="F44" s="7" t="n">
        <f aca="false">IF(ISNUMBER(D44),C44*D44,E44)</f>
        <v>20</v>
      </c>
      <c r="G44" s="7"/>
      <c r="H44" s="8" t="n">
        <v>17</v>
      </c>
      <c r="I44" s="7"/>
      <c r="J44" s="7"/>
      <c r="K44" s="7"/>
      <c r="L44" s="8" t="n">
        <v>2</v>
      </c>
      <c r="M44" s="7"/>
      <c r="N44" s="7"/>
      <c r="O44" s="8" t="n">
        <v>1</v>
      </c>
      <c r="P44" s="7"/>
      <c r="Q44" s="7"/>
      <c r="R44" s="7"/>
      <c r="S44" s="7"/>
      <c r="T44" s="7"/>
      <c r="U44" s="7"/>
      <c r="V44" s="7" t="n">
        <f aca="false">SUM(G44:U44)</f>
        <v>20</v>
      </c>
      <c r="W44" s="12" t="str">
        <f aca="false">IF(AND(V44=E44,F44=E44),"OK","DIFF")</f>
        <v>OK</v>
      </c>
    </row>
    <row r="45" customFormat="false" ht="15" hidden="false" customHeight="false" outlineLevel="0" collapsed="false">
      <c r="A45" s="4" t="s">
        <v>517</v>
      </c>
      <c r="B45" s="14" t="s">
        <v>505</v>
      </c>
      <c r="C45" s="8" t="n">
        <v>2</v>
      </c>
      <c r="D45" s="15" t="s">
        <v>518</v>
      </c>
      <c r="E45" s="8" t="n">
        <v>8</v>
      </c>
      <c r="F45" s="7" t="n">
        <f aca="false">IF(ISNUMBER(D45),C45*D45,E45)</f>
        <v>8</v>
      </c>
      <c r="G45" s="7"/>
      <c r="H45" s="8" t="n">
        <v>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 t="n">
        <f aca="false">SUM(G45:U45)</f>
        <v>8</v>
      </c>
      <c r="W45" s="12" t="str">
        <f aca="false">IF(AND(V45=E45,F45=E45),"OK","DIFF")</f>
        <v>OK</v>
      </c>
    </row>
    <row r="46" customFormat="false" ht="15" hidden="false" customHeight="false" outlineLevel="0" collapsed="false">
      <c r="A46" s="4" t="s">
        <v>519</v>
      </c>
      <c r="B46" s="14" t="s">
        <v>505</v>
      </c>
      <c r="C46" s="8" t="n">
        <v>2</v>
      </c>
      <c r="D46" s="9" t="n">
        <v>3</v>
      </c>
      <c r="E46" s="8" t="n">
        <v>6</v>
      </c>
      <c r="F46" s="7" t="n">
        <f aca="false">IF(ISNUMBER(D46),C46*D46,E46)</f>
        <v>6</v>
      </c>
      <c r="G46" s="7"/>
      <c r="H46" s="8" t="n">
        <v>6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 t="n">
        <f aca="false">SUM(G46:U46)</f>
        <v>6</v>
      </c>
      <c r="W46" s="12" t="str">
        <f aca="false">IF(AND(V46=E46,F46=E46),"OK","DIFF")</f>
        <v>OK</v>
      </c>
    </row>
    <row r="47" customFormat="false" ht="15" hidden="false" customHeight="false" outlineLevel="0" collapsed="false">
      <c r="A47" s="4" t="s">
        <v>520</v>
      </c>
      <c r="B47" s="14" t="s">
        <v>505</v>
      </c>
      <c r="C47" s="8" t="n">
        <v>6</v>
      </c>
      <c r="D47" s="9" t="n">
        <v>2</v>
      </c>
      <c r="E47" s="8" t="n">
        <v>12</v>
      </c>
      <c r="F47" s="7" t="n">
        <f aca="false">IF(ISNUMBER(D47),C47*D47,E47)</f>
        <v>12</v>
      </c>
      <c r="G47" s="7"/>
      <c r="H47" s="8" t="n">
        <v>12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 t="n">
        <f aca="false">SUM(G47:U47)</f>
        <v>12</v>
      </c>
      <c r="W47" s="12" t="str">
        <f aca="false">IF(AND(V47=E47,F47=E47),"OK","DIFF")</f>
        <v>OK</v>
      </c>
    </row>
    <row r="48" customFormat="false" ht="15" hidden="false" customHeight="false" outlineLevel="0" collapsed="false">
      <c r="A48" s="4" t="s">
        <v>521</v>
      </c>
      <c r="B48" s="14" t="s">
        <v>522</v>
      </c>
      <c r="C48" s="8" t="n">
        <v>4</v>
      </c>
      <c r="D48" s="9" t="n">
        <v>18</v>
      </c>
      <c r="E48" s="8" t="n">
        <v>72</v>
      </c>
      <c r="F48" s="7" t="n">
        <f aca="false">IF(ISNUMBER(D48),C48*D48,E48)</f>
        <v>72</v>
      </c>
      <c r="G48" s="7"/>
      <c r="H48" s="7"/>
      <c r="I48" s="7"/>
      <c r="J48" s="7"/>
      <c r="K48" s="7"/>
      <c r="L48" s="8" t="n">
        <v>56</v>
      </c>
      <c r="M48" s="7"/>
      <c r="N48" s="7"/>
      <c r="O48" s="8" t="n">
        <v>16</v>
      </c>
      <c r="P48" s="7"/>
      <c r="Q48" s="7"/>
      <c r="R48" s="7"/>
      <c r="S48" s="7"/>
      <c r="T48" s="7"/>
      <c r="U48" s="7"/>
      <c r="V48" s="7" t="n">
        <f aca="false">SUM(G48:U48)</f>
        <v>72</v>
      </c>
      <c r="W48" s="12" t="str">
        <f aca="false">IF(AND(V48=E48,F48=E48),"OK","DIFF")</f>
        <v>OK</v>
      </c>
    </row>
    <row r="49" customFormat="false" ht="15" hidden="false" customHeight="false" outlineLevel="0" collapsed="false">
      <c r="A49" s="4" t="s">
        <v>523</v>
      </c>
      <c r="B49" s="14" t="s">
        <v>522</v>
      </c>
      <c r="C49" s="8" t="n">
        <v>26</v>
      </c>
      <c r="D49" s="15" t="s">
        <v>524</v>
      </c>
      <c r="E49" s="8" t="n">
        <v>193</v>
      </c>
      <c r="F49" s="7" t="n">
        <f aca="false">IF(ISNUMBER(D49),C49*D49,E49)</f>
        <v>193</v>
      </c>
      <c r="G49" s="7"/>
      <c r="H49" s="7"/>
      <c r="I49" s="7"/>
      <c r="J49" s="7"/>
      <c r="K49" s="7"/>
      <c r="L49" s="7"/>
      <c r="M49" s="7"/>
      <c r="N49" s="7"/>
      <c r="O49" s="8" t="n">
        <v>26</v>
      </c>
      <c r="P49" s="7"/>
      <c r="Q49" s="8" t="n">
        <v>167</v>
      </c>
      <c r="R49" s="7"/>
      <c r="S49" s="7"/>
      <c r="T49" s="7"/>
      <c r="U49" s="7"/>
      <c r="V49" s="7" t="n">
        <f aca="false">SUM(G49:U49)</f>
        <v>193</v>
      </c>
      <c r="W49" s="12" t="str">
        <f aca="false">IF(AND(V49=E49,F49=E49),"OK","DIFF")</f>
        <v>OK</v>
      </c>
    </row>
    <row r="50" customFormat="false" ht="15" hidden="false" customHeight="false" outlineLevel="0" collapsed="false">
      <c r="A50" s="4" t="s">
        <v>525</v>
      </c>
      <c r="B50" s="14" t="s">
        <v>522</v>
      </c>
      <c r="C50" s="8" t="n">
        <v>8</v>
      </c>
      <c r="D50" s="9" t="n">
        <v>12</v>
      </c>
      <c r="E50" s="8" t="n">
        <v>96</v>
      </c>
      <c r="F50" s="7" t="n">
        <f aca="false">IF(ISNUMBER(D50),C50*D50,E50)</f>
        <v>96</v>
      </c>
      <c r="G50" s="7"/>
      <c r="H50" s="7"/>
      <c r="I50" s="7"/>
      <c r="J50" s="7"/>
      <c r="K50" s="7"/>
      <c r="L50" s="8" t="n">
        <v>48</v>
      </c>
      <c r="M50" s="7"/>
      <c r="N50" s="7"/>
      <c r="O50" s="8" t="n">
        <v>24</v>
      </c>
      <c r="P50" s="7"/>
      <c r="Q50" s="8" t="n">
        <v>24</v>
      </c>
      <c r="R50" s="7"/>
      <c r="S50" s="7"/>
      <c r="T50" s="7"/>
      <c r="U50" s="7"/>
      <c r="V50" s="7" t="n">
        <f aca="false">SUM(G50:U50)</f>
        <v>96</v>
      </c>
      <c r="W50" s="12" t="str">
        <f aca="false">IF(AND(V50=E50,F50=E50),"OK","DIFF")</f>
        <v>OK</v>
      </c>
    </row>
    <row r="51" customFormat="false" ht="15" hidden="false" customHeight="false" outlineLevel="0" collapsed="false">
      <c r="A51" s="4" t="s">
        <v>526</v>
      </c>
      <c r="B51" s="14" t="s">
        <v>522</v>
      </c>
      <c r="C51" s="8" t="n">
        <v>14</v>
      </c>
      <c r="D51" s="15" t="s">
        <v>527</v>
      </c>
      <c r="E51" s="8" t="n">
        <v>88</v>
      </c>
      <c r="F51" s="7" t="n">
        <f aca="false">IF(ISNUMBER(D51),C51*D51,E51)</f>
        <v>88</v>
      </c>
      <c r="G51" s="7"/>
      <c r="H51" s="7"/>
      <c r="I51" s="7"/>
      <c r="J51" s="7"/>
      <c r="K51" s="7"/>
      <c r="L51" s="8" t="n">
        <v>88</v>
      </c>
      <c r="M51" s="7"/>
      <c r="N51" s="7"/>
      <c r="O51" s="7"/>
      <c r="P51" s="7"/>
      <c r="Q51" s="7"/>
      <c r="R51" s="7"/>
      <c r="S51" s="7"/>
      <c r="T51" s="7"/>
      <c r="U51" s="7"/>
      <c r="V51" s="7" t="n">
        <f aca="false">SUM(G51:U51)</f>
        <v>88</v>
      </c>
      <c r="W51" s="12" t="str">
        <f aca="false">IF(AND(V51=E51,F51=E51),"OK","DIFF")</f>
        <v>OK</v>
      </c>
    </row>
    <row r="52" customFormat="false" ht="15" hidden="false" customHeight="false" outlineLevel="0" collapsed="false">
      <c r="A52" s="4" t="s">
        <v>528</v>
      </c>
      <c r="B52" s="14" t="s">
        <v>522</v>
      </c>
      <c r="C52" s="8" t="n">
        <v>43</v>
      </c>
      <c r="D52" s="9" t="n">
        <v>2</v>
      </c>
      <c r="E52" s="8" t="n">
        <v>86</v>
      </c>
      <c r="F52" s="7" t="n">
        <f aca="false">IF(ISNUMBER(D52),C52*D52,E52)</f>
        <v>86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8" t="n">
        <v>86</v>
      </c>
      <c r="R52" s="7"/>
      <c r="S52" s="7"/>
      <c r="T52" s="7"/>
      <c r="U52" s="7"/>
      <c r="V52" s="7" t="n">
        <f aca="false">SUM(G52:U52)</f>
        <v>86</v>
      </c>
      <c r="W52" s="12" t="str">
        <f aca="false">IF(AND(V52=E52,F52=E52),"OK","DIFF")</f>
        <v>OK</v>
      </c>
    </row>
    <row r="53" customFormat="false" ht="15" hidden="false" customHeight="false" outlineLevel="0" collapsed="false">
      <c r="A53" s="4" t="s">
        <v>165</v>
      </c>
      <c r="B53" s="14" t="s">
        <v>529</v>
      </c>
      <c r="C53" s="8" t="n">
        <v>1</v>
      </c>
      <c r="D53" s="9" t="n">
        <v>47</v>
      </c>
      <c r="E53" s="8" t="n">
        <v>47</v>
      </c>
      <c r="F53" s="7" t="n">
        <f aca="false">IF(ISNUMBER(D53),C53*D53,E53)</f>
        <v>47</v>
      </c>
      <c r="G53" s="7"/>
      <c r="H53" s="8" t="n">
        <v>40</v>
      </c>
      <c r="I53" s="7"/>
      <c r="J53" s="7"/>
      <c r="K53" s="7"/>
      <c r="L53" s="8" t="n">
        <v>2</v>
      </c>
      <c r="M53" s="7"/>
      <c r="N53" s="7"/>
      <c r="O53" s="8" t="n">
        <v>5</v>
      </c>
      <c r="P53" s="7"/>
      <c r="Q53" s="7"/>
      <c r="R53" s="7"/>
      <c r="S53" s="7"/>
      <c r="T53" s="7"/>
      <c r="U53" s="7"/>
      <c r="V53" s="7" t="n">
        <f aca="false">SUM(G53:U53)</f>
        <v>47</v>
      </c>
      <c r="W53" s="12" t="str">
        <f aca="false">IF(AND(V53=E53,F53=E53),"OK","DIFF")</f>
        <v>OK</v>
      </c>
    </row>
    <row r="54" customFormat="false" ht="15" hidden="false" customHeight="false" outlineLevel="0" collapsed="false">
      <c r="A54" s="4" t="s">
        <v>164</v>
      </c>
      <c r="B54" s="14" t="s">
        <v>529</v>
      </c>
      <c r="C54" s="8" t="n">
        <v>1</v>
      </c>
      <c r="D54" s="9" t="n">
        <v>15</v>
      </c>
      <c r="E54" s="8" t="n">
        <v>15</v>
      </c>
      <c r="F54" s="7" t="n">
        <f aca="false">IF(ISNUMBER(D54),C54*D54,E54)</f>
        <v>15</v>
      </c>
      <c r="G54" s="7"/>
      <c r="H54" s="8" t="n">
        <v>1</v>
      </c>
      <c r="I54" s="7"/>
      <c r="J54" s="7"/>
      <c r="K54" s="7"/>
      <c r="L54" s="7"/>
      <c r="M54" s="7"/>
      <c r="N54" s="7"/>
      <c r="O54" s="8" t="n">
        <v>14</v>
      </c>
      <c r="P54" s="7"/>
      <c r="Q54" s="7"/>
      <c r="R54" s="7"/>
      <c r="S54" s="7"/>
      <c r="T54" s="7"/>
      <c r="U54" s="7"/>
      <c r="V54" s="7" t="n">
        <f aca="false">SUM(G54:U54)</f>
        <v>15</v>
      </c>
      <c r="W54" s="12" t="str">
        <f aca="false">IF(AND(V54=E54,F54=E54),"OK","DIFF")</f>
        <v>OK</v>
      </c>
    </row>
    <row r="55" customFormat="false" ht="15" hidden="false" customHeight="false" outlineLevel="0" collapsed="false">
      <c r="A55" s="4" t="s">
        <v>530</v>
      </c>
      <c r="B55" s="14" t="s">
        <v>529</v>
      </c>
      <c r="C55" s="8" t="n">
        <v>7</v>
      </c>
      <c r="D55" s="15" t="s">
        <v>531</v>
      </c>
      <c r="E55" s="8" t="n">
        <v>41</v>
      </c>
      <c r="F55" s="7" t="n">
        <f aca="false">IF(ISNUMBER(D55),C55*D55,E55)</f>
        <v>41</v>
      </c>
      <c r="G55" s="8" t="n">
        <v>10</v>
      </c>
      <c r="H55" s="8" t="n">
        <v>13</v>
      </c>
      <c r="I55" s="7"/>
      <c r="J55" s="7"/>
      <c r="K55" s="7"/>
      <c r="L55" s="7"/>
      <c r="M55" s="7"/>
      <c r="N55" s="7"/>
      <c r="O55" s="8" t="n">
        <v>18</v>
      </c>
      <c r="P55" s="7"/>
      <c r="Q55" s="7"/>
      <c r="R55" s="7"/>
      <c r="S55" s="7"/>
      <c r="T55" s="7"/>
      <c r="U55" s="7"/>
      <c r="V55" s="7" t="n">
        <f aca="false">SUM(G55:U55)</f>
        <v>41</v>
      </c>
      <c r="W55" s="12" t="str">
        <f aca="false">IF(AND(V55=E55,F55=E55),"OK","DIFF")</f>
        <v>OK</v>
      </c>
    </row>
    <row r="56" customFormat="false" ht="15" hidden="false" customHeight="false" outlineLevel="0" collapsed="false">
      <c r="A56" s="4" t="s">
        <v>532</v>
      </c>
      <c r="B56" s="14" t="s">
        <v>529</v>
      </c>
      <c r="C56" s="8" t="n">
        <v>13</v>
      </c>
      <c r="D56" s="15" t="s">
        <v>533</v>
      </c>
      <c r="E56" s="8" t="n">
        <v>46</v>
      </c>
      <c r="F56" s="7" t="n">
        <f aca="false">IF(ISNUMBER(D56),C56*D56,E56)</f>
        <v>46</v>
      </c>
      <c r="G56" s="7"/>
      <c r="H56" s="7"/>
      <c r="I56" s="7"/>
      <c r="J56" s="7"/>
      <c r="K56" s="7"/>
      <c r="L56" s="8" t="n">
        <v>46</v>
      </c>
      <c r="M56" s="7"/>
      <c r="N56" s="7"/>
      <c r="O56" s="7"/>
      <c r="P56" s="7"/>
      <c r="Q56" s="7"/>
      <c r="R56" s="7"/>
      <c r="S56" s="7"/>
      <c r="T56" s="7"/>
      <c r="U56" s="7"/>
      <c r="V56" s="7" t="n">
        <f aca="false">SUM(G56:U56)</f>
        <v>46</v>
      </c>
      <c r="W56" s="12" t="str">
        <f aca="false">IF(AND(V56=E56,F56=E56),"OK","DIFF")</f>
        <v>OK</v>
      </c>
    </row>
    <row r="57" customFormat="false" ht="15" hidden="false" customHeight="false" outlineLevel="0" collapsed="false">
      <c r="A57" s="4" t="s">
        <v>534</v>
      </c>
      <c r="B57" s="14" t="s">
        <v>529</v>
      </c>
      <c r="C57" s="8" t="n">
        <v>2</v>
      </c>
      <c r="D57" s="9" t="n">
        <v>4</v>
      </c>
      <c r="E57" s="8" t="n">
        <v>8</v>
      </c>
      <c r="F57" s="7" t="n">
        <f aca="false">IF(ISNUMBER(D57),C57*D57,E57)</f>
        <v>8</v>
      </c>
      <c r="G57" s="7"/>
      <c r="H57" s="8" t="n">
        <v>4</v>
      </c>
      <c r="I57" s="7"/>
      <c r="J57" s="7"/>
      <c r="K57" s="7"/>
      <c r="L57" s="8" t="n">
        <v>2</v>
      </c>
      <c r="M57" s="7"/>
      <c r="N57" s="7"/>
      <c r="O57" s="8" t="n">
        <v>2</v>
      </c>
      <c r="P57" s="7"/>
      <c r="Q57" s="7"/>
      <c r="R57" s="7"/>
      <c r="S57" s="7"/>
      <c r="T57" s="7"/>
      <c r="U57" s="7"/>
      <c r="V57" s="7" t="n">
        <f aca="false">SUM(G57:U57)</f>
        <v>8</v>
      </c>
      <c r="W57" s="12" t="str">
        <f aca="false">IF(AND(V57=E57,F57=E57),"OK","DIFF")</f>
        <v>OK</v>
      </c>
    </row>
    <row r="58" customFormat="false" ht="15" hidden="false" customHeight="false" outlineLevel="0" collapsed="false">
      <c r="A58" s="4" t="s">
        <v>535</v>
      </c>
      <c r="B58" s="14" t="s">
        <v>529</v>
      </c>
      <c r="C58" s="8" t="n">
        <v>1</v>
      </c>
      <c r="D58" s="9" t="n">
        <v>4</v>
      </c>
      <c r="E58" s="8" t="n">
        <v>4</v>
      </c>
      <c r="F58" s="7" t="n">
        <f aca="false">IF(ISNUMBER(D58),C58*D58,E58)</f>
        <v>4</v>
      </c>
      <c r="G58" s="7"/>
      <c r="H58" s="8" t="n">
        <v>3</v>
      </c>
      <c r="I58" s="7"/>
      <c r="J58" s="7"/>
      <c r="K58" s="7"/>
      <c r="L58" s="7"/>
      <c r="M58" s="7"/>
      <c r="N58" s="7"/>
      <c r="O58" s="8" t="n">
        <v>1</v>
      </c>
      <c r="P58" s="7"/>
      <c r="Q58" s="7"/>
      <c r="R58" s="7"/>
      <c r="S58" s="7"/>
      <c r="T58" s="7"/>
      <c r="U58" s="7"/>
      <c r="V58" s="7" t="n">
        <f aca="false">SUM(G58:U58)</f>
        <v>4</v>
      </c>
      <c r="W58" s="12" t="str">
        <f aca="false">IF(AND(V58=E58,F58=E58),"OK","DIFF")</f>
        <v>OK</v>
      </c>
    </row>
    <row r="59" customFormat="false" ht="15" hidden="false" customHeight="false" outlineLevel="0" collapsed="false">
      <c r="A59" s="4" t="s">
        <v>536</v>
      </c>
      <c r="B59" s="14" t="s">
        <v>529</v>
      </c>
      <c r="C59" s="8" t="n">
        <v>1</v>
      </c>
      <c r="D59" s="9" t="n">
        <v>2</v>
      </c>
      <c r="E59" s="8" t="n">
        <v>2</v>
      </c>
      <c r="F59" s="7" t="n">
        <f aca="false">IF(ISNUMBER(D59),C59*D59,E59)</f>
        <v>2</v>
      </c>
      <c r="G59" s="7"/>
      <c r="H59" s="7"/>
      <c r="I59" s="7"/>
      <c r="J59" s="7"/>
      <c r="K59" s="7"/>
      <c r="L59" s="8" t="n">
        <v>1</v>
      </c>
      <c r="M59" s="7"/>
      <c r="N59" s="7"/>
      <c r="O59" s="8" t="n">
        <v>1</v>
      </c>
      <c r="P59" s="7"/>
      <c r="Q59" s="7"/>
      <c r="R59" s="7"/>
      <c r="S59" s="7"/>
      <c r="T59" s="7"/>
      <c r="U59" s="7"/>
      <c r="V59" s="7" t="n">
        <f aca="false">SUM(G59:U59)</f>
        <v>2</v>
      </c>
      <c r="W59" s="12" t="str">
        <f aca="false">IF(AND(V59=E59,F59=E59),"OK","DIFF")</f>
        <v>OK</v>
      </c>
    </row>
    <row r="60" customFormat="false" ht="15" hidden="false" customHeight="false" outlineLevel="0" collapsed="false">
      <c r="A60" s="4" t="s">
        <v>537</v>
      </c>
      <c r="B60" s="14" t="s">
        <v>529</v>
      </c>
      <c r="C60" s="8" t="n">
        <v>1</v>
      </c>
      <c r="D60" s="9" t="n">
        <v>1</v>
      </c>
      <c r="E60" s="8" t="n">
        <v>1</v>
      </c>
      <c r="F60" s="7" t="n">
        <f aca="false">IF(ISNUMBER(D60),C60*D60,E60)</f>
        <v>1</v>
      </c>
      <c r="G60" s="7"/>
      <c r="H60" s="7"/>
      <c r="I60" s="7"/>
      <c r="J60" s="7"/>
      <c r="K60" s="7"/>
      <c r="L60" s="8" t="n">
        <v>1</v>
      </c>
      <c r="M60" s="7"/>
      <c r="N60" s="7"/>
      <c r="O60" s="7"/>
      <c r="P60" s="7"/>
      <c r="Q60" s="7"/>
      <c r="R60" s="7"/>
      <c r="S60" s="7"/>
      <c r="T60" s="7"/>
      <c r="U60" s="7"/>
      <c r="V60" s="7" t="n">
        <f aca="false">SUM(G60:U60)</f>
        <v>1</v>
      </c>
      <c r="W60" s="12" t="str">
        <f aca="false">IF(AND(V60=E60,F60=E60),"OK","DIFF")</f>
        <v>OK</v>
      </c>
    </row>
    <row r="61" customFormat="false" ht="15" hidden="false" customHeight="false" outlineLevel="0" collapsed="false">
      <c r="A61" s="4" t="s">
        <v>538</v>
      </c>
      <c r="B61" s="14" t="s">
        <v>529</v>
      </c>
      <c r="C61" s="8" t="n">
        <v>1</v>
      </c>
      <c r="D61" s="9" t="n">
        <v>1</v>
      </c>
      <c r="E61" s="8" t="n">
        <v>1</v>
      </c>
      <c r="F61" s="7" t="n">
        <f aca="false">IF(ISNUMBER(D61),C61*D61,E61)</f>
        <v>1</v>
      </c>
      <c r="G61" s="7"/>
      <c r="H61" s="7"/>
      <c r="I61" s="7"/>
      <c r="J61" s="7"/>
      <c r="K61" s="7"/>
      <c r="L61" s="8" t="n">
        <v>1</v>
      </c>
      <c r="M61" s="7"/>
      <c r="N61" s="7"/>
      <c r="O61" s="7"/>
      <c r="P61" s="7"/>
      <c r="Q61" s="7"/>
      <c r="R61" s="7"/>
      <c r="S61" s="7"/>
      <c r="T61" s="7"/>
      <c r="U61" s="7"/>
      <c r="V61" s="7" t="n">
        <f aca="false">SUM(G61:U61)</f>
        <v>1</v>
      </c>
      <c r="W61" s="12" t="str">
        <f aca="false">IF(AND(V61=E61,F61=E61),"OK","DIFF")</f>
        <v>OK</v>
      </c>
    </row>
    <row r="62" customFormat="false" ht="15" hidden="false" customHeight="false" outlineLevel="0" collapsed="false">
      <c r="A62" s="4" t="s">
        <v>131</v>
      </c>
      <c r="B62" s="14" t="s">
        <v>539</v>
      </c>
      <c r="C62" s="8" t="n">
        <v>1</v>
      </c>
      <c r="D62" s="9" t="n">
        <v>1</v>
      </c>
      <c r="E62" s="8" t="n">
        <v>1</v>
      </c>
      <c r="F62" s="7" t="n">
        <f aca="false">IF(ISNUMBER(D62),C62*D62,E62)</f>
        <v>1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 t="n">
        <v>1</v>
      </c>
      <c r="V62" s="7" t="n">
        <f aca="false">SUM(G62:U62)</f>
        <v>1</v>
      </c>
      <c r="W62" s="12" t="str">
        <f aca="false">IF(AND(V62=E62,F62=E62),"OK","DIFF")</f>
        <v>OK</v>
      </c>
    </row>
    <row r="63" customFormat="false" ht="15" hidden="false" customHeight="false" outlineLevel="0" collapsed="false">
      <c r="A63" s="4" t="s">
        <v>540</v>
      </c>
      <c r="B63" s="14" t="s">
        <v>539</v>
      </c>
      <c r="C63" s="8" t="n">
        <v>4</v>
      </c>
      <c r="D63" s="9" t="n">
        <v>1</v>
      </c>
      <c r="E63" s="8" t="n">
        <v>4</v>
      </c>
      <c r="F63" s="7" t="n">
        <f aca="false">IF(ISNUMBER(D63),C63*D63,E63)</f>
        <v>4</v>
      </c>
      <c r="G63" s="7"/>
      <c r="H63" s="8" t="n">
        <v>4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 t="n">
        <f aca="false">SUM(G63:U63)</f>
        <v>4</v>
      </c>
      <c r="W63" s="12" t="str">
        <f aca="false">IF(AND(V63=E63,F63=E63),"OK","DIFF")</f>
        <v>OK</v>
      </c>
    </row>
    <row r="64" customFormat="false" ht="15" hidden="false" customHeight="false" outlineLevel="0" collapsed="false">
      <c r="A64" s="4" t="s">
        <v>541</v>
      </c>
      <c r="B64" s="14" t="s">
        <v>539</v>
      </c>
      <c r="C64" s="8" t="n">
        <v>1</v>
      </c>
      <c r="D64" s="9" t="n">
        <v>21</v>
      </c>
      <c r="E64" s="8" t="n">
        <v>21</v>
      </c>
      <c r="F64" s="7" t="n">
        <f aca="false">IF(ISNUMBER(D64),C64*D64,E64)</f>
        <v>21</v>
      </c>
      <c r="G64" s="7"/>
      <c r="H64" s="7"/>
      <c r="I64" s="7"/>
      <c r="J64" s="7"/>
      <c r="K64" s="7"/>
      <c r="L64" s="8" t="n">
        <v>21</v>
      </c>
      <c r="M64" s="7"/>
      <c r="N64" s="7"/>
      <c r="O64" s="7"/>
      <c r="P64" s="7"/>
      <c r="Q64" s="7"/>
      <c r="R64" s="7"/>
      <c r="S64" s="7"/>
      <c r="T64" s="7"/>
      <c r="U64" s="7"/>
      <c r="V64" s="7" t="n">
        <f aca="false">SUM(G64:U64)</f>
        <v>21</v>
      </c>
      <c r="W64" s="12" t="str">
        <f aca="false">IF(AND(V64=E64,F64=E64),"OK","DIFF")</f>
        <v>OK</v>
      </c>
    </row>
    <row r="65" customFormat="false" ht="15" hidden="false" customHeight="false" outlineLevel="0" collapsed="false">
      <c r="A65" s="4" t="s">
        <v>542</v>
      </c>
      <c r="B65" s="14" t="s">
        <v>539</v>
      </c>
      <c r="C65" s="8" t="n">
        <v>1</v>
      </c>
      <c r="D65" s="9" t="n">
        <v>12</v>
      </c>
      <c r="E65" s="8" t="n">
        <v>12</v>
      </c>
      <c r="F65" s="7" t="n">
        <f aca="false">IF(ISNUMBER(D65),C65*D65,E65)</f>
        <v>12</v>
      </c>
      <c r="G65" s="7"/>
      <c r="H65" s="7"/>
      <c r="I65" s="7"/>
      <c r="J65" s="7"/>
      <c r="K65" s="7"/>
      <c r="L65" s="8" t="n">
        <v>3</v>
      </c>
      <c r="M65" s="7"/>
      <c r="N65" s="7"/>
      <c r="O65" s="8" t="n">
        <v>9</v>
      </c>
      <c r="P65" s="7"/>
      <c r="Q65" s="7"/>
      <c r="R65" s="7"/>
      <c r="S65" s="7"/>
      <c r="T65" s="7"/>
      <c r="U65" s="7"/>
      <c r="V65" s="7" t="n">
        <f aca="false">SUM(G65:U65)</f>
        <v>12</v>
      </c>
      <c r="W65" s="12" t="str">
        <f aca="false">IF(AND(V65=E65,F65=E65),"OK","DIFF")</f>
        <v>OK</v>
      </c>
    </row>
    <row r="66" customFormat="false" ht="15" hidden="false" customHeight="false" outlineLevel="0" collapsed="false">
      <c r="A66" s="4" t="s">
        <v>543</v>
      </c>
      <c r="B66" s="14" t="s">
        <v>539</v>
      </c>
      <c r="C66" s="8" t="n">
        <v>1</v>
      </c>
      <c r="D66" s="9" t="n">
        <v>7</v>
      </c>
      <c r="E66" s="8" t="n">
        <v>7</v>
      </c>
      <c r="F66" s="7" t="n">
        <f aca="false">IF(ISNUMBER(D66),C66*D66,E66)</f>
        <v>7</v>
      </c>
      <c r="G66" s="7"/>
      <c r="H66" s="8" t="n">
        <v>7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 t="n">
        <f aca="false">SUM(G66:U66)</f>
        <v>7</v>
      </c>
      <c r="W66" s="12" t="str">
        <f aca="false">IF(AND(V66=E66,F66=E66),"OK","DIFF")</f>
        <v>OK</v>
      </c>
    </row>
    <row r="67" customFormat="false" ht="15" hidden="false" customHeight="false" outlineLevel="0" collapsed="false">
      <c r="A67" s="4" t="s">
        <v>544</v>
      </c>
      <c r="B67" s="14" t="s">
        <v>539</v>
      </c>
      <c r="C67" s="8" t="n">
        <v>1</v>
      </c>
      <c r="D67" s="9" t="n">
        <v>50</v>
      </c>
      <c r="E67" s="8" t="n">
        <v>50</v>
      </c>
      <c r="F67" s="7" t="n">
        <f aca="false">IF(ISNUMBER(D67),C67*D67,E67)</f>
        <v>50</v>
      </c>
      <c r="G67" s="7"/>
      <c r="H67" s="8" t="n">
        <v>50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 t="n">
        <f aca="false">SUM(G67:U67)</f>
        <v>50</v>
      </c>
      <c r="W67" s="12" t="str">
        <f aca="false">IF(AND(V67=E67,F67=E67),"OK","DIFF")</f>
        <v>OK</v>
      </c>
    </row>
    <row r="68" customFormat="false" ht="15" hidden="false" customHeight="false" outlineLevel="0" collapsed="false">
      <c r="A68" s="4" t="s">
        <v>545</v>
      </c>
      <c r="B68" s="14" t="s">
        <v>539</v>
      </c>
      <c r="C68" s="8" t="n">
        <v>1</v>
      </c>
      <c r="D68" s="9" t="n">
        <v>4</v>
      </c>
      <c r="E68" s="8" t="n">
        <v>4</v>
      </c>
      <c r="F68" s="7" t="n">
        <f aca="false">IF(ISNUMBER(D68),C68*D68,E68)</f>
        <v>4</v>
      </c>
      <c r="G68" s="7"/>
      <c r="H68" s="8" t="n">
        <v>4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 t="n">
        <f aca="false">SUM(G68:U68)</f>
        <v>4</v>
      </c>
      <c r="W68" s="12" t="str">
        <f aca="false">IF(AND(V68=E68,F68=E68),"OK","DIFF")</f>
        <v>OK</v>
      </c>
    </row>
    <row r="69" customFormat="false" ht="15" hidden="false" customHeight="false" outlineLevel="0" collapsed="false">
      <c r="A69" s="4" t="s">
        <v>546</v>
      </c>
      <c r="C69" s="7" t="n">
        <f aca="false">SUM(C7:C68)</f>
        <v>247</v>
      </c>
      <c r="E69" s="7" t="n">
        <f aca="false">SUM(E7:E68)</f>
        <v>5474</v>
      </c>
      <c r="F69" s="7" t="n">
        <f aca="false">SUM(F7:F68)</f>
        <v>5474</v>
      </c>
      <c r="G69" s="7" t="n">
        <f aca="false">SUM(G7:G68)</f>
        <v>24</v>
      </c>
      <c r="H69" s="7" t="n">
        <f aca="false">SUM(H7:H68)</f>
        <v>2453</v>
      </c>
      <c r="I69" s="7" t="n">
        <f aca="false">SUM(I7:I68)</f>
        <v>6</v>
      </c>
      <c r="J69" s="7" t="n">
        <f aca="false">SUM(J7:J68)</f>
        <v>11</v>
      </c>
      <c r="K69" s="7" t="n">
        <f aca="false">SUM(K7:K68)</f>
        <v>2</v>
      </c>
      <c r="L69" s="7" t="n">
        <f aca="false">SUM(L7:L68)</f>
        <v>810</v>
      </c>
      <c r="M69" s="7" t="n">
        <f aca="false">SUM(M7:M68)</f>
        <v>10</v>
      </c>
      <c r="N69" s="7" t="n">
        <f aca="false">SUM(N7:N68)</f>
        <v>349</v>
      </c>
      <c r="O69" s="7" t="n">
        <f aca="false">SUM(O7:O68)</f>
        <v>1359</v>
      </c>
      <c r="P69" s="7" t="n">
        <f aca="false">SUM(P7:P68)</f>
        <v>3</v>
      </c>
      <c r="Q69" s="7" t="n">
        <f aca="false">SUM(Q7:Q68)</f>
        <v>295</v>
      </c>
      <c r="R69" s="7" t="n">
        <f aca="false">SUM(R7:R68)</f>
        <v>97</v>
      </c>
      <c r="S69" s="7" t="n">
        <f aca="false">SUM(S7:S68)</f>
        <v>2</v>
      </c>
      <c r="T69" s="7" t="n">
        <f aca="false">SUM(T7:T68)</f>
        <v>52</v>
      </c>
      <c r="U69" s="7" t="n">
        <f aca="false">SUM(U7:U68)</f>
        <v>1</v>
      </c>
      <c r="V69" s="7" t="n">
        <f aca="false">SUM(V7:V68)</f>
        <v>5474</v>
      </c>
    </row>
    <row r="70" customFormat="false" ht="15" hidden="false" customHeight="false" outlineLevel="0" collapsed="false">
      <c r="A70" s="4" t="s">
        <v>547</v>
      </c>
      <c r="E70" s="8" t="n">
        <v>5474</v>
      </c>
      <c r="F70" s="12" t="str">
        <f aca="false">IF(E69=E70,"OK","DIFF")</f>
        <v>OK</v>
      </c>
    </row>
    <row r="73" customFormat="false" ht="15" hidden="false" customHeight="false" outlineLevel="0" collapsed="false">
      <c r="A73" s="10" t="s">
        <v>548</v>
      </c>
    </row>
    <row r="74" customFormat="false" ht="30" hidden="false" customHeight="true" outlineLevel="0" collapsed="false">
      <c r="A74" s="3" t="s">
        <v>3</v>
      </c>
      <c r="B74" s="3" t="s">
        <v>471</v>
      </c>
      <c r="C74" s="3" t="s">
        <v>190</v>
      </c>
      <c r="D74" s="3" t="s">
        <v>191</v>
      </c>
      <c r="E74" s="3" t="s">
        <v>192</v>
      </c>
      <c r="F74" s="3" t="s">
        <v>549</v>
      </c>
      <c r="G74" s="3" t="s">
        <v>550</v>
      </c>
      <c r="H74" s="3" t="s">
        <v>551</v>
      </c>
    </row>
    <row r="75" customFormat="false" ht="15" hidden="false" customHeight="false" outlineLevel="0" collapsed="false">
      <c r="A75" s="4" t="s">
        <v>118</v>
      </c>
      <c r="B75" s="14" t="s">
        <v>552</v>
      </c>
      <c r="C75" s="8" t="n">
        <v>0</v>
      </c>
      <c r="D75" s="8" t="n">
        <v>70</v>
      </c>
      <c r="E75" s="8" t="n">
        <v>144</v>
      </c>
      <c r="F75" s="16"/>
      <c r="G75" s="17" t="n">
        <f aca="false">0.2126*IF(C75/255&lt;=0.04045,C75/255/12.92,((C75/255+0.055)/1.055)^2.4)+0.7152*IF(D75/255&lt;=0.04045,D75/255/12.92,((D75/255+0.055)/1.055)^2.4)+0.0722*IF(E75/255&lt;=0.04045,E75/255/12.92,((E75/255+0.055)/1.055)^2.4)</f>
        <v>0.0639393438094786</v>
      </c>
      <c r="H75" s="18" t="n">
        <f aca="false">IF(G75&gt;0.008856,116*G75^(1/3)-16,903.3*G75)</f>
        <v>30.3853367872801</v>
      </c>
    </row>
    <row r="76" customFormat="false" ht="15" hidden="false" customHeight="false" outlineLevel="0" collapsed="false">
      <c r="A76" s="4" t="s">
        <v>476</v>
      </c>
      <c r="B76" s="14" t="s">
        <v>552</v>
      </c>
      <c r="C76" s="8" t="n">
        <v>0</v>
      </c>
      <c r="D76" s="8" t="n">
        <v>109</v>
      </c>
      <c r="E76" s="8" t="n">
        <v>178</v>
      </c>
      <c r="F76" s="19"/>
      <c r="G76" s="17" t="n">
        <f aca="false">0.2126*IF(C76/255&lt;=0.04045,C76/255/12.92,((C76/255+0.055)/1.055)^2.4)+0.7152*IF(D76/255&lt;=0.04045,D76/255/12.92,((D76/255+0.055)/1.055)^2.4)+0.0722*IF(E76/255&lt;=0.04045,E76/255/12.92,((E76/255+0.055)/1.055)^2.4)</f>
        <v>0.141516310151718</v>
      </c>
      <c r="H76" s="18" t="n">
        <f aca="false">IF(G76&gt;0.008856,116*G76^(1/3)-16,903.3*G76)</f>
        <v>44.4496078759266</v>
      </c>
    </row>
    <row r="77" customFormat="false" ht="15" hidden="false" customHeight="false" outlineLevel="0" collapsed="false">
      <c r="A77" s="4" t="s">
        <v>119</v>
      </c>
      <c r="B77" s="14" t="s">
        <v>552</v>
      </c>
      <c r="C77" s="8" t="n">
        <v>0</v>
      </c>
      <c r="D77" s="8" t="n">
        <v>118</v>
      </c>
      <c r="E77" s="8" t="n">
        <v>133</v>
      </c>
      <c r="F77" s="20"/>
      <c r="G77" s="17" t="n">
        <f aca="false">0.2126*IF(C77/255&lt;=0.04045,C77/255/12.92,((C77/255+0.055)/1.055)^2.4)+0.7152*IF(D77/255&lt;=0.04045,D77/255/12.92,((D77/255+0.055)/1.055)^2.4)+0.0722*IF(E77/255&lt;=0.04045,E77/255/12.92,((E77/255+0.055)/1.055)^2.4)</f>
        <v>0.146503219519525</v>
      </c>
      <c r="H77" s="18" t="n">
        <f aca="false">IF(G77&gt;0.008856,116*G77^(1/3)-16,903.3*G77)</f>
        <v>45.151490292489</v>
      </c>
    </row>
    <row r="78" customFormat="false" ht="15" hidden="false" customHeight="false" outlineLevel="0" collapsed="false">
      <c r="A78" s="4" t="s">
        <v>120</v>
      </c>
      <c r="B78" s="14" t="s">
        <v>552</v>
      </c>
      <c r="C78" s="8" t="n">
        <v>80</v>
      </c>
      <c r="D78" s="8" t="n">
        <v>101</v>
      </c>
      <c r="E78" s="8" t="n">
        <v>147</v>
      </c>
      <c r="F78" s="21"/>
      <c r="G78" s="17" t="n">
        <f aca="false">0.2126*IF(C78/255&lt;=0.04045,C78/255/12.92,((C78/255+0.055)/1.055)^2.4)+0.7152*IF(D78/255&lt;=0.04045,D78/255/12.92,((D78/255+0.055)/1.055)^2.4)+0.0722*IF(E78/255&lt;=0.04045,E78/255/12.92,((E78/255+0.055)/1.055)^2.4)</f>
        <v>0.131194182844631</v>
      </c>
      <c r="H78" s="18" t="n">
        <f aca="false">IF(G78&gt;0.008856,116*G78^(1/3)-16,903.3*G78)</f>
        <v>42.9426307446423</v>
      </c>
    </row>
    <row r="79" customFormat="false" ht="15" hidden="false" customHeight="false" outlineLevel="0" collapsed="false">
      <c r="A79" s="4" t="s">
        <v>121</v>
      </c>
      <c r="B79" s="14" t="s">
        <v>552</v>
      </c>
      <c r="C79" s="8" t="n">
        <v>0</v>
      </c>
      <c r="D79" s="8" t="n">
        <v>88</v>
      </c>
      <c r="E79" s="8" t="n">
        <v>80</v>
      </c>
      <c r="F79" s="22"/>
      <c r="G79" s="17" t="n">
        <f aca="false">0.2126*IF(C79/255&lt;=0.04045,C79/255/12.92,((C79/255+0.055)/1.055)^2.4)+0.7152*IF(D79/255&lt;=0.04045,D79/255/12.92,((D79/255+0.055)/1.055)^2.4)+0.0722*IF(E79/255&lt;=0.04045,E79/255/12.92,((E79/255+0.055)/1.055)^2.4)</f>
        <v>0.0755863417025646</v>
      </c>
      <c r="H79" s="18" t="n">
        <f aca="false">IF(G79&gt;0.008856,116*G79^(1/3)-16,903.3*G79)</f>
        <v>33.0462451676777</v>
      </c>
    </row>
    <row r="80" customFormat="false" ht="15" hidden="false" customHeight="false" outlineLevel="0" collapsed="false">
      <c r="A80" s="4" t="s">
        <v>122</v>
      </c>
      <c r="B80" s="14" t="s">
        <v>553</v>
      </c>
      <c r="C80" s="8" t="n">
        <v>255</v>
      </c>
      <c r="D80" s="8" t="n">
        <v>160</v>
      </c>
      <c r="E80" s="8" t="n">
        <v>50</v>
      </c>
      <c r="F80" s="23"/>
      <c r="G80" s="17" t="n">
        <f aca="false">0.2126*IF(C80/255&lt;=0.04045,C80/255/12.92,((C80/255+0.055)/1.055)^2.4)+0.7152*IF(D80/255&lt;=0.04045,D80/255/12.92,((D80/255+0.055)/1.055)^2.4)+0.0722*IF(E80/255&lt;=0.04045,E80/255/12.92,((E80/255+0.055)/1.055)^2.4)</f>
        <v>0.466319008750586</v>
      </c>
      <c r="H80" s="18" t="n">
        <f aca="false">IF(G80&gt;0.008856,116*G80^(1/3)-16,903.3*G80)</f>
        <v>73.953699455642</v>
      </c>
    </row>
    <row r="81" customFormat="false" ht="15" hidden="false" customHeight="false" outlineLevel="0" collapsed="false">
      <c r="A81" s="4" t="s">
        <v>123</v>
      </c>
      <c r="B81" s="14" t="s">
        <v>553</v>
      </c>
      <c r="C81" s="8" t="n">
        <v>255</v>
      </c>
      <c r="D81" s="8" t="n">
        <v>220</v>
      </c>
      <c r="E81" s="8" t="n">
        <v>69</v>
      </c>
      <c r="F81" s="24"/>
      <c r="G81" s="17" t="n">
        <f aca="false">0.2126*IF(C81/255&lt;=0.04045,C81/255/12.92,((C81/255+0.055)/1.055)^2.4)+0.7152*IF(D81/255&lt;=0.04045,D81/255/12.92,((D81/255+0.055)/1.055)^2.4)+0.0722*IF(E81/255&lt;=0.04045,E81/255/12.92,((E81/255+0.055)/1.055)^2.4)</f>
        <v>0.728760702957602</v>
      </c>
      <c r="H81" s="18" t="n">
        <f aca="false">IF(G81&gt;0.008856,116*G81^(1/3)-16,903.3*G81)</f>
        <v>88.3885755165657</v>
      </c>
    </row>
    <row r="82" customFormat="false" ht="15" hidden="false" customHeight="false" outlineLevel="0" collapsed="false">
      <c r="A82" s="4" t="s">
        <v>124</v>
      </c>
      <c r="B82" s="14" t="s">
        <v>553</v>
      </c>
      <c r="C82" s="8" t="n">
        <v>255</v>
      </c>
      <c r="D82" s="8" t="n">
        <v>200</v>
      </c>
      <c r="E82" s="8" t="n">
        <v>120</v>
      </c>
      <c r="F82" s="25"/>
      <c r="G82" s="17" t="n">
        <f aca="false">0.2126*IF(C82/255&lt;=0.04045,C82/255/12.92,((C82/255+0.055)/1.055)^2.4)+0.7152*IF(D82/255&lt;=0.04045,D82/255/12.92,((D82/255+0.055)/1.055)^2.4)+0.0722*IF(E82/255&lt;=0.04045,E82/255/12.92,((E82/255+0.055)/1.055)^2.4)</f>
        <v>0.639246190755395</v>
      </c>
      <c r="H82" s="18" t="n">
        <f aca="false">IF(G82&gt;0.008856,116*G82^(1/3)-16,903.3*G82)</f>
        <v>83.9265067394829</v>
      </c>
    </row>
    <row r="83" customFormat="false" ht="15" hidden="false" customHeight="false" outlineLevel="0" collapsed="false">
      <c r="A83" s="4" t="s">
        <v>125</v>
      </c>
      <c r="B83" s="14" t="s">
        <v>554</v>
      </c>
      <c r="C83" s="8" t="n">
        <v>87</v>
      </c>
      <c r="D83" s="8" t="n">
        <v>180</v>
      </c>
      <c r="E83" s="8" t="n">
        <v>93</v>
      </c>
      <c r="F83" s="26"/>
      <c r="G83" s="17" t="n">
        <f aca="false">0.2126*IF(C83/255&lt;=0.04045,C83/255/12.92,((C83/255+0.055)/1.055)^2.4)+0.7152*IF(D83/255&lt;=0.04045,D83/255/12.92,((D83/255+0.055)/1.055)^2.4)+0.0722*IF(E83/255&lt;=0.04045,E83/255/12.92,((E83/255+0.055)/1.055)^2.4)</f>
        <v>0.354590666702562</v>
      </c>
      <c r="H83" s="18" t="n">
        <f aca="false">IF(G83&gt;0.008856,116*G83^(1/3)-16,903.3*G83)</f>
        <v>66.1045243168514</v>
      </c>
    </row>
    <row r="84" customFormat="false" ht="15" hidden="false" customHeight="false" outlineLevel="0" collapsed="false">
      <c r="A84" s="4" t="s">
        <v>126</v>
      </c>
      <c r="B84" s="14" t="s">
        <v>554</v>
      </c>
      <c r="C84" s="8" t="n">
        <v>148</v>
      </c>
      <c r="D84" s="8" t="n">
        <v>180</v>
      </c>
      <c r="E84" s="8" t="n">
        <v>70</v>
      </c>
      <c r="F84" s="27"/>
      <c r="G84" s="17" t="n">
        <f aca="false">0.2126*IF(C84/255&lt;=0.04045,C84/255/12.92,((C84/255+0.055)/1.055)^2.4)+0.7152*IF(D84/255&lt;=0.04045,D84/255/12.92,((D84/255+0.055)/1.055)^2.4)+0.0722*IF(E84/255&lt;=0.04045,E84/255/12.92,((E84/255+0.055)/1.055)^2.4)</f>
        <v>0.393806125265871</v>
      </c>
      <c r="H84" s="18" t="n">
        <f aca="false">IF(G84&gt;0.008856,116*G84^(1/3)-16,903.3*G84)</f>
        <v>69.0260776135904</v>
      </c>
    </row>
    <row r="85" customFormat="false" ht="15" hidden="false" customHeight="false" outlineLevel="0" collapsed="false">
      <c r="A85" s="4" t="s">
        <v>127</v>
      </c>
      <c r="B85" s="14" t="s">
        <v>554</v>
      </c>
      <c r="C85" s="8" t="n">
        <v>51</v>
      </c>
      <c r="D85" s="8" t="n">
        <v>174</v>
      </c>
      <c r="E85" s="8" t="n">
        <v>141</v>
      </c>
      <c r="F85" s="28"/>
      <c r="G85" s="17" t="n">
        <f aca="false">0.2126*IF(C85/255&lt;=0.04045,C85/255/12.92,((C85/255+0.055)/1.055)^2.4)+0.7152*IF(D85/255&lt;=0.04045,D85/255/12.92,((D85/255+0.055)/1.055)^2.4)+0.0722*IF(E85/255&lt;=0.04045,E85/255/12.92,((E85/255+0.055)/1.055)^2.4)</f>
        <v>0.328989985613775</v>
      </c>
      <c r="H85" s="18" t="n">
        <f aca="false">IF(G85&gt;0.008856,116*G85^(1/3)-16,903.3*G85)</f>
        <v>64.0790444045019</v>
      </c>
    </row>
    <row r="86" customFormat="false" ht="15" hidden="false" customHeight="false" outlineLevel="0" collapsed="false">
      <c r="A86" s="4" t="s">
        <v>128</v>
      </c>
      <c r="B86" s="14" t="s">
        <v>555</v>
      </c>
      <c r="C86" s="8" t="n">
        <v>210</v>
      </c>
      <c r="D86" s="8" t="n">
        <v>71</v>
      </c>
      <c r="E86" s="8" t="n">
        <v>144</v>
      </c>
      <c r="F86" s="29"/>
      <c r="G86" s="17" t="n">
        <f aca="false">0.2126*IF(C86/255&lt;=0.04045,C86/255/12.92,((C86/255+0.055)/1.055)^2.4)+0.7152*IF(D86/255&lt;=0.04045,D86/255/12.92,((D86/255+0.055)/1.055)^2.4)+0.0722*IF(E86/255&lt;=0.04045,E86/255/12.92,((E86/255+0.055)/1.055)^2.4)</f>
        <v>0.202217310835517</v>
      </c>
      <c r="H86" s="18" t="n">
        <f aca="false">IF(G86&gt;0.008856,116*G86^(1/3)-16,903.3*G86)</f>
        <v>52.0869843882549</v>
      </c>
    </row>
    <row r="87" customFormat="false" ht="15" hidden="false" customHeight="false" outlineLevel="0" collapsed="false">
      <c r="A87" s="4" t="s">
        <v>129</v>
      </c>
      <c r="B87" s="14" t="s">
        <v>555</v>
      </c>
      <c r="C87" s="8" t="n">
        <v>130</v>
      </c>
      <c r="D87" s="8" t="n">
        <v>104</v>
      </c>
      <c r="E87" s="8" t="n">
        <v>192</v>
      </c>
      <c r="F87" s="30"/>
      <c r="G87" s="17" t="n">
        <f aca="false">0.2126*IF(C87/255&lt;=0.04045,C87/255/12.92,((C87/255+0.055)/1.055)^2.4)+0.7152*IF(D87/255&lt;=0.04045,D87/255/12.92,((D87/255+0.055)/1.055)^2.4)+0.0722*IF(E87/255&lt;=0.04045,E87/255/12.92,((E87/255+0.055)/1.055)^2.4)</f>
        <v>0.184522266872723</v>
      </c>
      <c r="H87" s="18" t="n">
        <f aca="false">IF(G87&gt;0.008856,116*G87^(1/3)-16,903.3*G87)</f>
        <v>50.0400788305999</v>
      </c>
    </row>
    <row r="88" customFormat="false" ht="15" hidden="false" customHeight="false" outlineLevel="0" collapsed="false">
      <c r="A88" s="4" t="s">
        <v>130</v>
      </c>
      <c r="B88" s="14" t="s">
        <v>555</v>
      </c>
      <c r="C88" s="8" t="n">
        <v>189</v>
      </c>
      <c r="D88" s="8" t="n">
        <v>107</v>
      </c>
      <c r="E88" s="8" t="n">
        <v>186</v>
      </c>
      <c r="F88" s="31"/>
      <c r="G88" s="17" t="n">
        <f aca="false">0.2126*IF(C88/255&lt;=0.04045,C88/255/12.92,((C88/255+0.055)/1.055)^2.4)+0.7152*IF(D88/255&lt;=0.04045,D88/255/12.92,((D88/255+0.055)/1.055)^2.4)+0.0722*IF(E88/255&lt;=0.04045,E88/255/12.92,((E88/255+0.055)/1.055)^2.4)</f>
        <v>0.248793775171853</v>
      </c>
      <c r="H88" s="18" t="n">
        <f aca="false">IF(G88&gt;0.008856,116*G88^(1/3)-16,903.3*G88)</f>
        <v>56.9577041839816</v>
      </c>
    </row>
    <row r="89" customFormat="false" ht="15" hidden="false" customHeight="false" outlineLevel="0" collapsed="false">
      <c r="A89" s="4" t="s">
        <v>556</v>
      </c>
      <c r="B89" s="14" t="s">
        <v>557</v>
      </c>
      <c r="C89" s="8" t="n">
        <v>149</v>
      </c>
      <c r="D89" s="8" t="n">
        <v>147</v>
      </c>
      <c r="E89" s="8" t="n">
        <v>142</v>
      </c>
      <c r="F89" s="32"/>
      <c r="G89" s="17" t="n">
        <f aca="false">0.2126*IF(C89/255&lt;=0.04045,C89/255/12.92,((C89/255+0.055)/1.055)^2.4)+0.7152*IF(D89/255&lt;=0.04045,D89/255/12.92,((D89/255+0.055)/1.055)^2.4)+0.0722*IF(E89/255&lt;=0.04045,E89/255/12.92,((E89/255+0.055)/1.055)^2.4)</f>
        <v>0.292099919953439</v>
      </c>
      <c r="H89" s="18" t="n">
        <f aca="false">IF(G89&gt;0.008856,116*G89^(1/3)-16,903.3*G89)</f>
        <v>60.9665113638781</v>
      </c>
    </row>
    <row r="90" customFormat="false" ht="15" hidden="false" customHeight="false" outlineLevel="0" collapsed="false">
      <c r="A90" s="4" t="s">
        <v>131</v>
      </c>
      <c r="B90" s="14" t="s">
        <v>557</v>
      </c>
      <c r="C90" s="8" t="n">
        <v>175</v>
      </c>
      <c r="D90" s="8" t="n">
        <v>137</v>
      </c>
      <c r="E90" s="8" t="n">
        <v>103</v>
      </c>
      <c r="F90" s="33"/>
      <c r="G90" s="17" t="n">
        <f aca="false">0.2126*IF(C90/255&lt;=0.04045,C90/255/12.92,((C90/255+0.055)/1.055)^2.4)+0.7152*IF(D90/255&lt;=0.04045,D90/255/12.92,((D90/255+0.055)/1.055)^2.4)+0.0722*IF(E90/255&lt;=0.04045,E90/255/12.92,((E90/255+0.055)/1.055)^2.4)</f>
        <v>0.279845531220085</v>
      </c>
      <c r="H90" s="18" t="n">
        <f aca="false">IF(G90&gt;0.008856,116*G90^(1/3)-16,903.3*G90)</f>
        <v>59.8747805426296</v>
      </c>
    </row>
    <row r="92" customFormat="false" ht="15" hidden="false" customHeight="false" outlineLevel="0" collapsed="false">
      <c r="A92" s="2" t="s">
        <v>558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6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9"/>
    <col collapsed="false" customWidth="true" hidden="false" outlineLevel="0" max="6" min="6" style="0" width="2.5"/>
    <col collapsed="false" customWidth="true" hidden="false" outlineLevel="0" max="10" min="7" style="0" width="9"/>
    <col collapsed="false" customWidth="true" hidden="false" outlineLevel="0" max="11" min="11" style="0" width="2.5"/>
    <col collapsed="false" customWidth="true" hidden="false" outlineLevel="0" max="15" min="12" style="0" width="9"/>
    <col collapsed="false" customWidth="true" hidden="false" outlineLevel="0" max="16" min="16" style="0" width="2.5"/>
    <col collapsed="false" customWidth="true" hidden="false" outlineLevel="0" max="20" min="17" style="0" width="9"/>
  </cols>
  <sheetData>
    <row r="1" customFormat="false" ht="16.15" hidden="false" customHeight="false" outlineLevel="0" collapsed="false">
      <c r="A1" s="1" t="s">
        <v>559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560</v>
      </c>
    </row>
    <row r="5" customFormat="false" ht="15" hidden="false" customHeight="false" outlineLevel="0" collapsed="false">
      <c r="A5" s="4" t="s">
        <v>179</v>
      </c>
      <c r="B5" s="5" t="s">
        <v>561</v>
      </c>
      <c r="C5" s="5"/>
      <c r="D5" s="5"/>
      <c r="E5" s="5"/>
      <c r="F5" s="5"/>
      <c r="G5" s="5"/>
      <c r="H5" s="5"/>
      <c r="I5" s="5"/>
      <c r="K5" s="4" t="s">
        <v>562</v>
      </c>
      <c r="L5" s="4"/>
      <c r="M5" s="5" t="s">
        <v>563</v>
      </c>
      <c r="N5" s="5"/>
      <c r="O5" s="5"/>
      <c r="P5" s="5"/>
      <c r="Q5" s="5"/>
      <c r="R5" s="5"/>
      <c r="S5" s="5"/>
      <c r="T5" s="5"/>
    </row>
    <row r="6" customFormat="false" ht="15" hidden="false" customHeight="false" outlineLevel="0" collapsed="false">
      <c r="A6" s="3"/>
      <c r="B6" s="3" t="s">
        <v>564</v>
      </c>
      <c r="C6" s="3" t="s">
        <v>565</v>
      </c>
      <c r="D6" s="3" t="s">
        <v>566</v>
      </c>
      <c r="E6" s="3" t="s">
        <v>567</v>
      </c>
    </row>
    <row r="7" customFormat="false" ht="15" hidden="false" customHeight="false" outlineLevel="0" collapsed="false">
      <c r="A7" s="4" t="s">
        <v>568</v>
      </c>
      <c r="B7" s="13" t="n">
        <v>0.025</v>
      </c>
      <c r="C7" s="13" t="n">
        <v>0.018</v>
      </c>
      <c r="D7" s="13" t="n">
        <v>0.22</v>
      </c>
    </row>
    <row r="8" customFormat="false" ht="15" hidden="false" customHeight="false" outlineLevel="0" collapsed="false">
      <c r="A8" s="4" t="s">
        <v>569</v>
      </c>
      <c r="B8" s="8" t="n">
        <v>0</v>
      </c>
      <c r="C8" s="8" t="n">
        <v>-45</v>
      </c>
      <c r="D8" s="8" t="n">
        <v>0</v>
      </c>
    </row>
    <row r="9" customFormat="false" ht="15" hidden="false" customHeight="false" outlineLevel="0" collapsed="false">
      <c r="A9" s="4" t="s">
        <v>570</v>
      </c>
      <c r="B9" s="13" t="n">
        <v>-0.106066</v>
      </c>
      <c r="C9" s="8" t="n">
        <v>0</v>
      </c>
      <c r="D9" s="13" t="n">
        <v>0.106066</v>
      </c>
    </row>
    <row r="10" customFormat="false" ht="15" hidden="false" customHeight="false" outlineLevel="0" collapsed="false">
      <c r="A10" s="4" t="s">
        <v>571</v>
      </c>
      <c r="B10" s="13" t="n">
        <v>0.5</v>
      </c>
      <c r="C10" s="13" t="n">
        <v>0.5</v>
      </c>
      <c r="D10" s="13" t="n">
        <v>0.5</v>
      </c>
      <c r="E10" s="8" t="n">
        <v>1</v>
      </c>
      <c r="F10" s="2" t="s">
        <v>572</v>
      </c>
    </row>
    <row r="12" customFormat="false" ht="15" hidden="false" customHeight="false" outlineLevel="0" collapsed="false">
      <c r="B12" s="10" t="s">
        <v>573</v>
      </c>
      <c r="G12" s="10" t="s">
        <v>574</v>
      </c>
      <c r="L12" s="10" t="s">
        <v>575</v>
      </c>
      <c r="Q12" s="10" t="s">
        <v>576</v>
      </c>
    </row>
    <row r="13" customFormat="false" ht="15" hidden="false" customHeight="false" outlineLevel="0" collapsed="false">
      <c r="B13" s="12" t="n">
        <f aca="false">$B$7</f>
        <v>0.025</v>
      </c>
      <c r="C13" s="34" t="n">
        <v>0</v>
      </c>
      <c r="D13" s="34" t="n">
        <v>0</v>
      </c>
      <c r="E13" s="34" t="n">
        <v>0</v>
      </c>
      <c r="G13" s="34" t="n">
        <v>1</v>
      </c>
      <c r="H13" s="34" t="n">
        <v>0</v>
      </c>
      <c r="I13" s="34" t="n">
        <v>0</v>
      </c>
      <c r="J13" s="34" t="n">
        <v>0</v>
      </c>
      <c r="L13" s="12" t="n">
        <f aca="false">COS(RADIANS($C$8))</f>
        <v>0.707106781186548</v>
      </c>
      <c r="M13" s="34" t="n">
        <v>0</v>
      </c>
      <c r="N13" s="12" t="n">
        <f aca="false">SIN(RADIANS($C$8))</f>
        <v>-0.707106781186548</v>
      </c>
      <c r="O13" s="34" t="n">
        <v>0</v>
      </c>
      <c r="Q13" s="12" t="n">
        <f aca="false">COS(RADIANS($D$8))</f>
        <v>1</v>
      </c>
      <c r="R13" s="12" t="n">
        <f aca="false">-SIN(RADIANS($D$8))</f>
        <v>-0</v>
      </c>
      <c r="S13" s="34" t="n">
        <v>0</v>
      </c>
      <c r="T13" s="34" t="n">
        <v>0</v>
      </c>
    </row>
    <row r="14" customFormat="false" ht="15" hidden="false" customHeight="false" outlineLevel="0" collapsed="false">
      <c r="B14" s="34" t="n">
        <v>0</v>
      </c>
      <c r="C14" s="12" t="n">
        <f aca="false">$C$7</f>
        <v>0.018</v>
      </c>
      <c r="D14" s="34" t="n">
        <v>0</v>
      </c>
      <c r="E14" s="34" t="n">
        <v>0</v>
      </c>
      <c r="G14" s="34" t="n">
        <v>0</v>
      </c>
      <c r="H14" s="12" t="n">
        <f aca="false">COS(RADIANS($B$8))</f>
        <v>1</v>
      </c>
      <c r="I14" s="12" t="n">
        <f aca="false">-SIN(RADIANS($B$8))</f>
        <v>-0</v>
      </c>
      <c r="J14" s="34" t="n">
        <v>0</v>
      </c>
      <c r="L14" s="34" t="n">
        <v>0</v>
      </c>
      <c r="M14" s="34" t="n">
        <v>1</v>
      </c>
      <c r="N14" s="34" t="n">
        <v>0</v>
      </c>
      <c r="O14" s="34" t="n">
        <v>0</v>
      </c>
      <c r="Q14" s="12" t="n">
        <f aca="false">SIN(RADIANS($D$8))</f>
        <v>0</v>
      </c>
      <c r="R14" s="12" t="n">
        <f aca="false">COS(RADIANS($D$8))</f>
        <v>1</v>
      </c>
      <c r="S14" s="34" t="n">
        <v>0</v>
      </c>
      <c r="T14" s="34" t="n">
        <v>0</v>
      </c>
    </row>
    <row r="15" customFormat="false" ht="15" hidden="false" customHeight="false" outlineLevel="0" collapsed="false">
      <c r="B15" s="34" t="n">
        <v>0</v>
      </c>
      <c r="C15" s="34" t="n">
        <v>0</v>
      </c>
      <c r="D15" s="12" t="n">
        <f aca="false">$D$7</f>
        <v>0.22</v>
      </c>
      <c r="E15" s="34" t="n">
        <v>0</v>
      </c>
      <c r="G15" s="34" t="n">
        <v>0</v>
      </c>
      <c r="H15" s="12" t="n">
        <f aca="false">SIN(RADIANS($B$8))</f>
        <v>0</v>
      </c>
      <c r="I15" s="12" t="n">
        <f aca="false">COS(RADIANS($B$8))</f>
        <v>1</v>
      </c>
      <c r="J15" s="34" t="n">
        <v>0</v>
      </c>
      <c r="L15" s="12" t="n">
        <f aca="false">-SIN(RADIANS($C$8))</f>
        <v>0.707106781186548</v>
      </c>
      <c r="M15" s="34" t="n">
        <v>0</v>
      </c>
      <c r="N15" s="12" t="n">
        <f aca="false">COS(RADIANS($C$8))</f>
        <v>0.707106781186548</v>
      </c>
      <c r="O15" s="34" t="n">
        <v>0</v>
      </c>
      <c r="Q15" s="34" t="n">
        <v>0</v>
      </c>
      <c r="R15" s="34" t="n">
        <v>0</v>
      </c>
      <c r="S15" s="34" t="n">
        <v>1</v>
      </c>
      <c r="T15" s="34" t="n">
        <v>0</v>
      </c>
    </row>
    <row r="16" customFormat="false" ht="15" hidden="false" customHeight="false" outlineLevel="0" collapsed="false">
      <c r="B16" s="34" t="n">
        <v>0</v>
      </c>
      <c r="C16" s="34" t="n">
        <v>0</v>
      </c>
      <c r="D16" s="34" t="n">
        <v>0</v>
      </c>
      <c r="E16" s="34" t="n">
        <v>1</v>
      </c>
      <c r="G16" s="34" t="n">
        <v>0</v>
      </c>
      <c r="H16" s="34" t="n">
        <v>0</v>
      </c>
      <c r="I16" s="34" t="n">
        <v>0</v>
      </c>
      <c r="J16" s="34" t="n">
        <v>1</v>
      </c>
      <c r="L16" s="34" t="n">
        <v>0</v>
      </c>
      <c r="M16" s="34" t="n">
        <v>0</v>
      </c>
      <c r="N16" s="34" t="n">
        <v>0</v>
      </c>
      <c r="O16" s="34" t="n">
        <v>1</v>
      </c>
      <c r="Q16" s="34" t="n">
        <v>0</v>
      </c>
      <c r="R16" s="34" t="n">
        <v>0</v>
      </c>
      <c r="S16" s="34" t="n">
        <v>0</v>
      </c>
      <c r="T16" s="34" t="n">
        <v>1</v>
      </c>
    </row>
    <row r="18" customFormat="false" ht="15" hidden="false" customHeight="false" outlineLevel="0" collapsed="false">
      <c r="B18" s="10" t="s">
        <v>577</v>
      </c>
      <c r="G18" s="10" t="s">
        <v>578</v>
      </c>
      <c r="L18" s="10" t="s">
        <v>579</v>
      </c>
      <c r="Q18" s="10" t="s">
        <v>580</v>
      </c>
    </row>
    <row r="19" customFormat="false" ht="15" hidden="false" customHeight="false" outlineLevel="0" collapsed="false">
      <c r="B19" s="34" t="n">
        <v>1</v>
      </c>
      <c r="C19" s="34" t="n">
        <v>0</v>
      </c>
      <c r="D19" s="34" t="n">
        <v>0</v>
      </c>
      <c r="E19" s="12" t="n">
        <f aca="false">$B$9</f>
        <v>-0.106066</v>
      </c>
      <c r="G19" s="12" t="n">
        <f aca="false">L13*G13+M13*G14+N13*G15+O13*G16</f>
        <v>0.707106781186548</v>
      </c>
      <c r="H19" s="12" t="n">
        <f aca="false">L13*H13+M13*H14+N13*H15+O13*H16</f>
        <v>0</v>
      </c>
      <c r="I19" s="12" t="n">
        <f aca="false">L13*I13+M13*I14+N13*I15+O13*I16</f>
        <v>-0.707106781186548</v>
      </c>
      <c r="J19" s="12" t="n">
        <f aca="false">L13*J13+M13*J14+N13*J15+O13*J16</f>
        <v>0</v>
      </c>
      <c r="L19" s="12" t="n">
        <f aca="false">G19*Q13+H19*Q14+I19*Q15+J19*Q16</f>
        <v>0.707106781186548</v>
      </c>
      <c r="M19" s="12" t="n">
        <f aca="false">G19*R13+H19*R14+I19*R15+J19*R16</f>
        <v>0</v>
      </c>
      <c r="N19" s="12" t="n">
        <f aca="false">G19*S13+H19*S14+I19*S15+J19*S16</f>
        <v>-0.707106781186548</v>
      </c>
      <c r="O19" s="12" t="n">
        <f aca="false">G19*T13+H19*T14+I19*T15+J19*T16</f>
        <v>0</v>
      </c>
      <c r="Q19" s="12" t="n">
        <f aca="false">L19*B13+M19*B14+N19*B15+O19*B16</f>
        <v>0.0176776695296637</v>
      </c>
      <c r="R19" s="12" t="n">
        <f aca="false">L19*C13+M19*C14+N19*C15+O19*C16</f>
        <v>0</v>
      </c>
      <c r="S19" s="12" t="n">
        <f aca="false">L19*D13+M19*D14+N19*D15+O19*D16</f>
        <v>-0.15556349186104</v>
      </c>
      <c r="T19" s="12" t="n">
        <f aca="false">L19*E13+M19*E14+N19*E15+O19*E16</f>
        <v>0</v>
      </c>
    </row>
    <row r="20" customFormat="false" ht="15" hidden="false" customHeight="false" outlineLevel="0" collapsed="false">
      <c r="B20" s="34" t="n">
        <v>0</v>
      </c>
      <c r="C20" s="34" t="n">
        <v>1</v>
      </c>
      <c r="D20" s="34" t="n">
        <v>0</v>
      </c>
      <c r="E20" s="12" t="n">
        <f aca="false">$C$9</f>
        <v>0</v>
      </c>
      <c r="G20" s="12" t="n">
        <f aca="false">L14*G13+M14*G14+N14*G15+O14*G16</f>
        <v>0</v>
      </c>
      <c r="H20" s="12" t="n">
        <f aca="false">L14*H13+M14*H14+N14*H15+O14*H16</f>
        <v>1</v>
      </c>
      <c r="I20" s="12" t="n">
        <f aca="false">L14*I13+M14*I14+N14*I15+O14*I16</f>
        <v>0</v>
      </c>
      <c r="J20" s="12" t="n">
        <f aca="false">L14*J13+M14*J14+N14*J15+O14*J16</f>
        <v>0</v>
      </c>
      <c r="L20" s="12" t="n">
        <f aca="false">G20*Q13+H20*Q14+I20*Q15+J20*Q16</f>
        <v>0</v>
      </c>
      <c r="M20" s="12" t="n">
        <f aca="false">G20*R13+H20*R14+I20*R15+J20*R16</f>
        <v>1</v>
      </c>
      <c r="N20" s="12" t="n">
        <f aca="false">G20*S13+H20*S14+I20*S15+J20*S16</f>
        <v>0</v>
      </c>
      <c r="O20" s="12" t="n">
        <f aca="false">G20*T13+H20*T14+I20*T15+J20*T16</f>
        <v>0</v>
      </c>
      <c r="Q20" s="12" t="n">
        <f aca="false">L20*B13+M20*B14+N20*B15+O20*B16</f>
        <v>0</v>
      </c>
      <c r="R20" s="12" t="n">
        <f aca="false">L20*C13+M20*C14+N20*C15+O20*C16</f>
        <v>0.018</v>
      </c>
      <c r="S20" s="12" t="n">
        <f aca="false">L20*D13+M20*D14+N20*D15+O20*D16</f>
        <v>0</v>
      </c>
      <c r="T20" s="12" t="n">
        <f aca="false">L20*E13+M20*E14+N20*E15+O20*E16</f>
        <v>0</v>
      </c>
    </row>
    <row r="21" customFormat="false" ht="15" hidden="false" customHeight="false" outlineLevel="0" collapsed="false">
      <c r="B21" s="34" t="n">
        <v>0</v>
      </c>
      <c r="C21" s="34" t="n">
        <v>0</v>
      </c>
      <c r="D21" s="34" t="n">
        <v>1</v>
      </c>
      <c r="E21" s="12" t="n">
        <f aca="false">$D$9</f>
        <v>0.106066</v>
      </c>
      <c r="G21" s="12" t="n">
        <f aca="false">L15*G13+M15*G14+N15*G15+O15*G16</f>
        <v>0.707106781186548</v>
      </c>
      <c r="H21" s="12" t="n">
        <f aca="false">L15*H13+M15*H14+N15*H15+O15*H16</f>
        <v>0</v>
      </c>
      <c r="I21" s="12" t="n">
        <f aca="false">L15*I13+M15*I14+N15*I15+O15*I16</f>
        <v>0.707106781186548</v>
      </c>
      <c r="J21" s="12" t="n">
        <f aca="false">L15*J13+M15*J14+N15*J15+O15*J16</f>
        <v>0</v>
      </c>
      <c r="L21" s="12" t="n">
        <f aca="false">G21*Q13+H21*Q14+I21*Q15+J21*Q16</f>
        <v>0.707106781186548</v>
      </c>
      <c r="M21" s="12" t="n">
        <f aca="false">G21*R13+H21*R14+I21*R15+J21*R16</f>
        <v>0</v>
      </c>
      <c r="N21" s="12" t="n">
        <f aca="false">G21*S13+H21*S14+I21*S15+J21*S16</f>
        <v>0.707106781186548</v>
      </c>
      <c r="O21" s="12" t="n">
        <f aca="false">G21*T13+H21*T14+I21*T15+J21*T16</f>
        <v>0</v>
      </c>
      <c r="Q21" s="12" t="n">
        <f aca="false">L21*B13+M21*B14+N21*B15+O21*B16</f>
        <v>0.0176776695296637</v>
      </c>
      <c r="R21" s="12" t="n">
        <f aca="false">L21*C13+M21*C14+N21*C15+O21*C16</f>
        <v>0</v>
      </c>
      <c r="S21" s="12" t="n">
        <f aca="false">L21*D13+M21*D14+N21*D15+O21*D16</f>
        <v>0.15556349186104</v>
      </c>
      <c r="T21" s="12" t="n">
        <f aca="false">L21*E13+M21*E14+N21*E15+O21*E16</f>
        <v>0</v>
      </c>
    </row>
    <row r="22" customFormat="false" ht="15" hidden="false" customHeight="false" outlineLevel="0" collapsed="false">
      <c r="B22" s="34" t="n">
        <v>0</v>
      </c>
      <c r="C22" s="34" t="n">
        <v>0</v>
      </c>
      <c r="D22" s="34" t="n">
        <v>0</v>
      </c>
      <c r="E22" s="34" t="n">
        <v>1</v>
      </c>
      <c r="G22" s="12" t="n">
        <f aca="false">L16*G13+M16*G14+N16*G15+O16*G16</f>
        <v>0</v>
      </c>
      <c r="H22" s="12" t="n">
        <f aca="false">L16*H13+M16*H14+N16*H15+O16*H16</f>
        <v>0</v>
      </c>
      <c r="I22" s="12" t="n">
        <f aca="false">L16*I13+M16*I14+N16*I15+O16*I16</f>
        <v>0</v>
      </c>
      <c r="J22" s="12" t="n">
        <f aca="false">L16*J13+M16*J14+N16*J15+O16*J16</f>
        <v>1</v>
      </c>
      <c r="L22" s="12" t="n">
        <f aca="false">G22*Q13+H22*Q14+I22*Q15+J22*Q16</f>
        <v>0</v>
      </c>
      <c r="M22" s="12" t="n">
        <f aca="false">G22*R13+H22*R14+I22*R15+J22*R16</f>
        <v>0</v>
      </c>
      <c r="N22" s="12" t="n">
        <f aca="false">G22*S13+H22*S14+I22*S15+J22*S16</f>
        <v>0</v>
      </c>
      <c r="O22" s="12" t="n">
        <f aca="false">G22*T13+H22*T14+I22*T15+J22*T16</f>
        <v>1</v>
      </c>
      <c r="Q22" s="12" t="n">
        <f aca="false">L22*B13+M22*B14+N22*B15+O22*B16</f>
        <v>0</v>
      </c>
      <c r="R22" s="12" t="n">
        <f aca="false">L22*C13+M22*C14+N22*C15+O22*C16</f>
        <v>0</v>
      </c>
      <c r="S22" s="12" t="n">
        <f aca="false">L22*D13+M22*D14+N22*D15+O22*D16</f>
        <v>0</v>
      </c>
      <c r="T22" s="12" t="n">
        <f aca="false">L22*E13+M22*E14+N22*E15+O22*E16</f>
        <v>1</v>
      </c>
    </row>
    <row r="24" customFormat="false" ht="15" hidden="false" customHeight="false" outlineLevel="0" collapsed="false">
      <c r="B24" s="10" t="s">
        <v>581</v>
      </c>
      <c r="G24" s="10" t="s">
        <v>582</v>
      </c>
      <c r="L24" s="10" t="s">
        <v>583</v>
      </c>
      <c r="Q24" s="10" t="s">
        <v>584</v>
      </c>
    </row>
    <row r="25" customFormat="false" ht="15" hidden="false" customHeight="false" outlineLevel="0" collapsed="false">
      <c r="B25" s="12" t="n">
        <f aca="false">B19*Q19+C19*Q20+D19*Q21+E19*Q22</f>
        <v>0.0176776695296637</v>
      </c>
      <c r="C25" s="12" t="n">
        <f aca="false">B19*R19+C19*R20+D19*R21+E19*R22</f>
        <v>0</v>
      </c>
      <c r="D25" s="12" t="n">
        <f aca="false">B19*S19+C19*S20+D19*S21+E19*S22</f>
        <v>-0.15556349186104</v>
      </c>
      <c r="E25" s="12" t="n">
        <f aca="false">B19*T19+C19*T20+D19*T21+E19*T22</f>
        <v>-0.106066</v>
      </c>
      <c r="G25" s="35" t="n">
        <v>0.01767767</v>
      </c>
      <c r="H25" s="9" t="n">
        <v>0</v>
      </c>
      <c r="I25" s="35" t="n">
        <v>-0.155563489</v>
      </c>
      <c r="J25" s="35" t="n">
        <v>-0.106066018</v>
      </c>
      <c r="L25" s="12" t="n">
        <f aca="false">ABS(B25-G25)</f>
        <v>4.70336308094899E-010</v>
      </c>
      <c r="M25" s="12" t="n">
        <f aca="false">ABS(C25-H25)</f>
        <v>0</v>
      </c>
      <c r="N25" s="12" t="n">
        <f aca="false">ABS(D25-I25)</f>
        <v>2.86104043234481E-009</v>
      </c>
      <c r="O25" s="12" t="n">
        <f aca="false">ABS(E25-J25)</f>
        <v>1.80000000044034E-008</v>
      </c>
      <c r="Q25" s="9" t="n">
        <v>-1</v>
      </c>
      <c r="R25" s="9" t="n">
        <v>0</v>
      </c>
      <c r="S25" s="35" t="n">
        <v>-8.7E-008</v>
      </c>
      <c r="T25" s="9" t="n">
        <v>0</v>
      </c>
    </row>
    <row r="26" customFormat="false" ht="15" hidden="false" customHeight="false" outlineLevel="0" collapsed="false">
      <c r="B26" s="12" t="n">
        <f aca="false">B20*Q19+C20*Q20+D20*Q21+E20*Q22</f>
        <v>0</v>
      </c>
      <c r="C26" s="12" t="n">
        <f aca="false">B20*R19+C20*R20+D20*R21+E20*R22</f>
        <v>0.018</v>
      </c>
      <c r="D26" s="12" t="n">
        <f aca="false">B20*S19+C20*S20+D20*S21+E20*S22</f>
        <v>0</v>
      </c>
      <c r="E26" s="12" t="n">
        <f aca="false">B20*T19+C20*T20+D20*T21+E20*T22</f>
        <v>0</v>
      </c>
      <c r="G26" s="9" t="n">
        <v>0</v>
      </c>
      <c r="H26" s="35" t="n">
        <v>0.017999999</v>
      </c>
      <c r="I26" s="9" t="n">
        <v>0</v>
      </c>
      <c r="J26" s="9" t="n">
        <v>0</v>
      </c>
      <c r="L26" s="12" t="n">
        <f aca="false">ABS(B26-G26)</f>
        <v>0</v>
      </c>
      <c r="M26" s="12" t="n">
        <f aca="false">ABS(C26-H26)</f>
        <v>9.99999999473644E-010</v>
      </c>
      <c r="N26" s="12" t="n">
        <f aca="false">ABS(D26-I26)</f>
        <v>0</v>
      </c>
      <c r="O26" s="12" t="n">
        <f aca="false">ABS(E26-J26)</f>
        <v>0</v>
      </c>
      <c r="Q26" s="9" t="n">
        <v>0</v>
      </c>
      <c r="R26" s="9" t="n">
        <v>1</v>
      </c>
      <c r="S26" s="9" t="n">
        <v>0</v>
      </c>
      <c r="T26" s="35" t="n">
        <v>7.5</v>
      </c>
    </row>
    <row r="27" customFormat="false" ht="15" hidden="false" customHeight="false" outlineLevel="0" collapsed="false">
      <c r="B27" s="12" t="n">
        <f aca="false">B21*Q19+C21*Q20+D21*Q21+E21*Q22</f>
        <v>0.0176776695296637</v>
      </c>
      <c r="C27" s="12" t="n">
        <f aca="false">B21*R19+C21*R20+D21*R21+E21*R22</f>
        <v>0</v>
      </c>
      <c r="D27" s="12" t="n">
        <f aca="false">B21*S19+C21*S20+D21*S21+E21*S22</f>
        <v>0.15556349186104</v>
      </c>
      <c r="E27" s="12" t="n">
        <f aca="false">B21*T19+C21*T20+D21*T21+E21*T22</f>
        <v>0.106066</v>
      </c>
      <c r="G27" s="35" t="n">
        <v>0.01767767</v>
      </c>
      <c r="H27" s="9" t="n">
        <v>0</v>
      </c>
      <c r="I27" s="35" t="n">
        <v>0.155563489</v>
      </c>
      <c r="J27" s="35" t="n">
        <v>0.106066018</v>
      </c>
      <c r="L27" s="12" t="n">
        <f aca="false">ABS(B27-G27)</f>
        <v>4.70336311564346E-010</v>
      </c>
      <c r="M27" s="12" t="n">
        <f aca="false">ABS(C27-H27)</f>
        <v>0</v>
      </c>
      <c r="N27" s="12" t="n">
        <f aca="false">ABS(D27-I27)</f>
        <v>2.86104046010038E-009</v>
      </c>
      <c r="O27" s="12" t="n">
        <f aca="false">ABS(E27-J27)</f>
        <v>1.80000000044034E-008</v>
      </c>
      <c r="Q27" s="35" t="n">
        <v>8.7E-008</v>
      </c>
      <c r="R27" s="9" t="n">
        <v>0</v>
      </c>
      <c r="S27" s="9" t="n">
        <v>-1</v>
      </c>
      <c r="T27" s="35" t="n">
        <v>12.5</v>
      </c>
    </row>
    <row r="28" customFormat="false" ht="15" hidden="false" customHeight="false" outlineLevel="0" collapsed="false">
      <c r="B28" s="12" t="n">
        <f aca="false">B22*Q19+C22*Q20+D22*Q21+E22*Q22</f>
        <v>0</v>
      </c>
      <c r="C28" s="12" t="n">
        <f aca="false">B22*R19+C22*R20+D22*R21+E22*R22</f>
        <v>0</v>
      </c>
      <c r="D28" s="12" t="n">
        <f aca="false">B22*S19+C22*S20+D22*S21+E22*S22</f>
        <v>0</v>
      </c>
      <c r="E28" s="12" t="n">
        <f aca="false">B22*T19+C22*T20+D22*T21+E22*T22</f>
        <v>1</v>
      </c>
      <c r="G28" s="9" t="n">
        <v>0</v>
      </c>
      <c r="H28" s="9" t="n">
        <v>0</v>
      </c>
      <c r="I28" s="9" t="n">
        <v>0</v>
      </c>
      <c r="J28" s="9" t="n">
        <v>1</v>
      </c>
      <c r="L28" s="12" t="n">
        <f aca="false">ABS(B28-G28)</f>
        <v>0</v>
      </c>
      <c r="M28" s="12" t="n">
        <f aca="false">ABS(C28-H28)</f>
        <v>0</v>
      </c>
      <c r="N28" s="12" t="n">
        <f aca="false">ABS(D28-I28)</f>
        <v>0</v>
      </c>
      <c r="O28" s="12" t="n">
        <f aca="false">ABS(E28-J28)</f>
        <v>0</v>
      </c>
      <c r="Q28" s="9" t="n">
        <v>0</v>
      </c>
      <c r="R28" s="9" t="n">
        <v>0</v>
      </c>
      <c r="S28" s="9" t="n">
        <v>0</v>
      </c>
      <c r="T28" s="9" t="n">
        <v>1</v>
      </c>
    </row>
    <row r="30" customFormat="false" ht="15" hidden="false" customHeight="false" outlineLevel="0" collapsed="false">
      <c r="B30" s="10" t="s">
        <v>585</v>
      </c>
      <c r="G30" s="10" t="s">
        <v>586</v>
      </c>
      <c r="L30" s="10" t="s">
        <v>587</v>
      </c>
      <c r="Q30" s="10" t="s">
        <v>588</v>
      </c>
    </row>
    <row r="31" customFormat="false" ht="15" hidden="false" customHeight="false" outlineLevel="0" collapsed="false">
      <c r="B31" s="12" t="n">
        <f aca="false">Q25*B25+R25*B26+S25*B27+T25*B28</f>
        <v>-0.0176776710676209</v>
      </c>
      <c r="C31" s="12" t="n">
        <f aca="false">Q25*C25+R25*C26+S25*C27+T25*C28</f>
        <v>0</v>
      </c>
      <c r="D31" s="12" t="n">
        <f aca="false">Q25*D25+R25*D26+S25*D27+T25*D28</f>
        <v>0.155563478327017</v>
      </c>
      <c r="E31" s="12" t="n">
        <f aca="false">Q25*E25+R25*E26+S25*E27+T25*E28</f>
        <v>0.106065990772258</v>
      </c>
      <c r="G31" s="35" t="n">
        <v>-0.017677672</v>
      </c>
      <c r="H31" s="9" t="n">
        <v>0</v>
      </c>
      <c r="I31" s="35" t="n">
        <v>0.155563474</v>
      </c>
      <c r="J31" s="35" t="n">
        <v>0.106066011</v>
      </c>
      <c r="L31" s="12" t="n">
        <f aca="false">ABS(B31-G31)</f>
        <v>9.32379059376265E-010</v>
      </c>
      <c r="M31" s="12" t="n">
        <f aca="false">ABS(C31-H31)</f>
        <v>0</v>
      </c>
      <c r="N31" s="12" t="n">
        <f aca="false">ABS(D31-I31)</f>
        <v>4.32701663388713E-009</v>
      </c>
      <c r="O31" s="12" t="n">
        <f aca="false">ABS(E31-J31)</f>
        <v>2.02277420091601E-008</v>
      </c>
      <c r="Q31" s="12" t="n">
        <f aca="false">View_Projection!B28</f>
        <v>0.848048096156426</v>
      </c>
      <c r="R31" s="12" t="n">
        <f aca="false">View_Projection!C28</f>
        <v>0</v>
      </c>
      <c r="S31" s="12" t="n">
        <f aca="false">View_Projection!D28</f>
        <v>-0.529919264233205</v>
      </c>
      <c r="T31" s="12" t="n">
        <f aca="false">View_Projection!E28</f>
        <v>-0</v>
      </c>
    </row>
    <row r="32" customFormat="false" ht="15" hidden="false" customHeight="false" outlineLevel="0" collapsed="false">
      <c r="B32" s="12" t="n">
        <f aca="false">Q26*B25+R26*B26+S26*B27+T26*B28</f>
        <v>0</v>
      </c>
      <c r="C32" s="12" t="n">
        <f aca="false">Q26*C25+R26*C26+S26*C27+T26*C28</f>
        <v>0.018</v>
      </c>
      <c r="D32" s="12" t="n">
        <f aca="false">Q26*D25+R26*D26+S26*D27+T26*D28</f>
        <v>0</v>
      </c>
      <c r="E32" s="12" t="n">
        <f aca="false">Q26*E25+R26*E26+S26*E27+T26*E28</f>
        <v>7.5</v>
      </c>
      <c r="G32" s="9" t="n">
        <v>0</v>
      </c>
      <c r="H32" s="35" t="n">
        <v>0.017999999</v>
      </c>
      <c r="I32" s="9" t="n">
        <v>0</v>
      </c>
      <c r="J32" s="35" t="n">
        <v>7.5</v>
      </c>
      <c r="L32" s="12" t="n">
        <f aca="false">ABS(B32-G32)</f>
        <v>0</v>
      </c>
      <c r="M32" s="12" t="n">
        <f aca="false">ABS(C32-H32)</f>
        <v>9.99999999473644E-010</v>
      </c>
      <c r="N32" s="12" t="n">
        <f aca="false">ABS(D32-I32)</f>
        <v>0</v>
      </c>
      <c r="O32" s="12" t="n">
        <f aca="false">ABS(E32-J32)</f>
        <v>0</v>
      </c>
      <c r="Q32" s="12" t="n">
        <f aca="false">View_Projection!B29</f>
        <v>-0.240578311590846</v>
      </c>
      <c r="R32" s="12" t="n">
        <f aca="false">View_Projection!C29</f>
        <v>0.891006524188368</v>
      </c>
      <c r="S32" s="12" t="n">
        <f aca="false">View_Projection!D29</f>
        <v>-0.385005778977227</v>
      </c>
      <c r="T32" s="12" t="n">
        <f aca="false">View_Projection!E29</f>
        <v>-0.712805219350694</v>
      </c>
    </row>
    <row r="33" customFormat="false" ht="15" hidden="false" customHeight="false" outlineLevel="0" collapsed="false">
      <c r="B33" s="12" t="n">
        <f aca="false">Q27*B25+R27*B26+S27*B27+T27*B28</f>
        <v>-0.0176776679917064</v>
      </c>
      <c r="C33" s="12" t="n">
        <f aca="false">Q27*C25+R27*C26+S27*C27+T27*C28</f>
        <v>0</v>
      </c>
      <c r="D33" s="12" t="n">
        <f aca="false">Q27*D25+R27*D26+S27*D27+T27*D28</f>
        <v>-0.155563505395064</v>
      </c>
      <c r="E33" s="12" t="n">
        <f aca="false">Q27*E25+R27*E26+S27*E27+T27*E28</f>
        <v>12.3939339907723</v>
      </c>
      <c r="G33" s="35" t="n">
        <v>-0.017677669</v>
      </c>
      <c r="H33" s="9" t="n">
        <v>0</v>
      </c>
      <c r="I33" s="35" t="n">
        <v>-0.155563504</v>
      </c>
      <c r="J33" s="35" t="n">
        <v>12.3939342</v>
      </c>
      <c r="L33" s="12" t="n">
        <f aca="false">ABS(B33-G33)</f>
        <v>1.00829355975662E-009</v>
      </c>
      <c r="M33" s="12" t="n">
        <f aca="false">ABS(C33-H33)</f>
        <v>0</v>
      </c>
      <c r="N33" s="12" t="n">
        <f aca="false">ABS(D33-I33)</f>
        <v>1.39506425855807E-009</v>
      </c>
      <c r="O33" s="12" t="n">
        <f aca="false">ABS(E33-J33)</f>
        <v>2.09227742686835E-007</v>
      </c>
      <c r="Q33" s="12" t="n">
        <f aca="false">View_Projection!B30</f>
        <v>0.472161521724885</v>
      </c>
      <c r="R33" s="12" t="n">
        <f aca="false">View_Projection!C30</f>
        <v>0.453990499739547</v>
      </c>
      <c r="S33" s="12" t="n">
        <f aca="false">View_Projection!D30</f>
        <v>0.7556163865009</v>
      </c>
      <c r="T33" s="12" t="n">
        <f aca="false">View_Projection!E30</f>
        <v>-34.3631923997916</v>
      </c>
    </row>
    <row r="34" customFormat="false" ht="15" hidden="false" customHeight="false" outlineLevel="0" collapsed="false">
      <c r="B34" s="12" t="n">
        <f aca="false">Q28*B25+R28*B26+S28*B27+T28*B28</f>
        <v>0</v>
      </c>
      <c r="C34" s="12" t="n">
        <f aca="false">Q28*C25+R28*C26+S28*C27+T28*C28</f>
        <v>0</v>
      </c>
      <c r="D34" s="12" t="n">
        <f aca="false">Q28*D25+R28*D26+S28*D27+T28*D28</f>
        <v>0</v>
      </c>
      <c r="E34" s="12" t="n">
        <f aca="false">Q28*E25+R28*E26+S28*E27+T28*E28</f>
        <v>1</v>
      </c>
      <c r="G34" s="9" t="n">
        <v>0</v>
      </c>
      <c r="H34" s="9" t="n">
        <v>0</v>
      </c>
      <c r="I34" s="9" t="n">
        <v>0</v>
      </c>
      <c r="J34" s="9" t="n">
        <v>1</v>
      </c>
      <c r="L34" s="12" t="n">
        <f aca="false">ABS(B34-G34)</f>
        <v>0</v>
      </c>
      <c r="M34" s="12" t="n">
        <f aca="false">ABS(C34-H34)</f>
        <v>0</v>
      </c>
      <c r="N34" s="12" t="n">
        <f aca="false">ABS(D34-I34)</f>
        <v>0</v>
      </c>
      <c r="O34" s="12" t="n">
        <f aca="false">ABS(E34-J34)</f>
        <v>0</v>
      </c>
      <c r="Q34" s="12" t="n">
        <f aca="false">View_Projection!B31</f>
        <v>0</v>
      </c>
      <c r="R34" s="12" t="n">
        <f aca="false">View_Projection!C31</f>
        <v>0</v>
      </c>
      <c r="S34" s="12" t="n">
        <f aca="false">View_Projection!D31</f>
        <v>0</v>
      </c>
      <c r="T34" s="12" t="n">
        <f aca="false">View_Projection!E31</f>
        <v>1</v>
      </c>
    </row>
    <row r="36" customFormat="false" ht="15" hidden="false" customHeight="false" outlineLevel="0" collapsed="false">
      <c r="B36" s="10" t="s">
        <v>589</v>
      </c>
      <c r="G36" s="10" t="s">
        <v>590</v>
      </c>
      <c r="Q36" s="10" t="s">
        <v>591</v>
      </c>
    </row>
    <row r="37" customFormat="false" ht="15" hidden="false" customHeight="true" outlineLevel="0" collapsed="false">
      <c r="B37" s="12" t="n">
        <f aca="false">View_Projection!B35</f>
        <v>1.20628514278663</v>
      </c>
      <c r="C37" s="12" t="n">
        <f aca="false">View_Projection!C35</f>
        <v>0</v>
      </c>
      <c r="D37" s="12" t="n">
        <f aca="false">View_Projection!D35</f>
        <v>0</v>
      </c>
      <c r="E37" s="12" t="n">
        <f aca="false">View_Projection!E35</f>
        <v>0</v>
      </c>
      <c r="G37" s="3" t="s">
        <v>592</v>
      </c>
      <c r="H37" s="3"/>
      <c r="I37" s="3"/>
      <c r="J37" s="3"/>
      <c r="L37" s="3" t="s">
        <v>564</v>
      </c>
      <c r="M37" s="3" t="s">
        <v>565</v>
      </c>
      <c r="N37" s="3" t="s">
        <v>566</v>
      </c>
      <c r="O37" s="3" t="s">
        <v>567</v>
      </c>
      <c r="Q37" s="3" t="s">
        <v>134</v>
      </c>
      <c r="R37" s="3"/>
      <c r="S37" s="3"/>
      <c r="T37" s="3" t="s">
        <v>593</v>
      </c>
    </row>
    <row r="38" customFormat="false" ht="15" hidden="false" customHeight="false" outlineLevel="0" collapsed="false">
      <c r="B38" s="12" t="n">
        <f aca="false">View_Projection!B36</f>
        <v>0</v>
      </c>
      <c r="C38" s="12" t="n">
        <f aca="false">View_Projection!C36</f>
        <v>2.14450692050956</v>
      </c>
      <c r="D38" s="12" t="n">
        <f aca="false">View_Projection!D36</f>
        <v>0</v>
      </c>
      <c r="E38" s="12" t="n">
        <f aca="false">View_Projection!E36</f>
        <v>0</v>
      </c>
      <c r="G38" s="4" t="s">
        <v>594</v>
      </c>
      <c r="H38" s="4"/>
      <c r="I38" s="4"/>
      <c r="J38" s="4"/>
      <c r="L38" s="17" t="n">
        <f aca="false">B10</f>
        <v>0.5</v>
      </c>
      <c r="M38" s="17" t="n">
        <f aca="false">C10</f>
        <v>0.5</v>
      </c>
      <c r="N38" s="17" t="n">
        <f aca="false">D10</f>
        <v>0.5</v>
      </c>
      <c r="O38" s="17" t="n">
        <f aca="false">E10</f>
        <v>1</v>
      </c>
      <c r="Q38" s="4" t="s">
        <v>595</v>
      </c>
      <c r="R38" s="4"/>
      <c r="S38" s="4"/>
      <c r="T38" s="36" t="n">
        <f aca="false">MAX(L25:O28)</f>
        <v>1.80000000044034E-008</v>
      </c>
    </row>
    <row r="39" customFormat="false" ht="15" hidden="false" customHeight="false" outlineLevel="0" collapsed="false">
      <c r="B39" s="12" t="n">
        <f aca="false">View_Projection!B37</f>
        <v>0</v>
      </c>
      <c r="C39" s="12" t="n">
        <f aca="false">View_Projection!C37</f>
        <v>0</v>
      </c>
      <c r="D39" s="12" t="n">
        <f aca="false">View_Projection!D37</f>
        <v>-1.00016668055671</v>
      </c>
      <c r="E39" s="12" t="n">
        <f aca="false">View_Projection!E37</f>
        <v>-0.100008334027836</v>
      </c>
      <c r="G39" s="4" t="s">
        <v>596</v>
      </c>
      <c r="H39" s="4"/>
      <c r="I39" s="4"/>
      <c r="J39" s="4"/>
      <c r="L39" s="17" t="n">
        <f aca="false">B31*L38+C31*M38+D31*N38+E31*O38</f>
        <v>0.175008894401956</v>
      </c>
      <c r="M39" s="17" t="n">
        <f aca="false">B32*L38+C32*M38+D32*N38+E32*O38</f>
        <v>7.509</v>
      </c>
      <c r="N39" s="17" t="n">
        <f aca="false">B33*L38+C33*M38+D33*N38+E33*O38</f>
        <v>12.3073134040789</v>
      </c>
      <c r="O39" s="17" t="n">
        <f aca="false">B34*L38+C34*M38+D34*N38+E34*O38</f>
        <v>1</v>
      </c>
      <c r="Q39" s="4" t="s">
        <v>597</v>
      </c>
      <c r="R39" s="4"/>
      <c r="S39" s="4"/>
      <c r="T39" s="36" t="n">
        <f aca="false">MAX(L31:O34)</f>
        <v>2.09227742686835E-007</v>
      </c>
    </row>
    <row r="40" customFormat="false" ht="15" hidden="false" customHeight="false" outlineLevel="0" collapsed="false">
      <c r="B40" s="12" t="n">
        <f aca="false">View_Projection!B38</f>
        <v>0</v>
      </c>
      <c r="C40" s="12" t="n">
        <f aca="false">View_Projection!C38</f>
        <v>0</v>
      </c>
      <c r="D40" s="12" t="n">
        <f aca="false">View_Projection!D38</f>
        <v>-1</v>
      </c>
      <c r="E40" s="12" t="n">
        <f aca="false">View_Projection!E38</f>
        <v>0</v>
      </c>
      <c r="G40" s="4" t="s">
        <v>598</v>
      </c>
      <c r="H40" s="4"/>
      <c r="I40" s="4"/>
      <c r="J40" s="4"/>
      <c r="L40" s="17" t="n">
        <f aca="false">Q31*L39+R31*M39+S31*N39+T31*O39</f>
        <v>-6.37346650406892</v>
      </c>
      <c r="M40" s="17" t="n">
        <f aca="false">Q32*L39+R32*M39+S32*N39+T32*O39</f>
        <v>1.1972726421969</v>
      </c>
      <c r="N40" s="17" t="n">
        <f aca="false">Q33*L39+R33*M39+S33*N39+T33*O39</f>
        <v>-21.571937589427</v>
      </c>
      <c r="O40" s="17" t="n">
        <f aca="false">Q34*L39+R34*M39+S34*N39+T34*O39</f>
        <v>1</v>
      </c>
      <c r="Q40" s="4" t="s">
        <v>599</v>
      </c>
      <c r="R40" s="4"/>
      <c r="S40" s="4"/>
      <c r="T40" s="12" t="str">
        <f aca="false">IF(AND(ABS(L41)&lt;=O41,ABS(M41)&lt;=O41,ABS(N41)&lt;=O41),"yes","no")</f>
        <v>yes</v>
      </c>
    </row>
    <row r="41" customFormat="false" ht="15" hidden="false" customHeight="false" outlineLevel="0" collapsed="false">
      <c r="G41" s="4" t="s">
        <v>600</v>
      </c>
      <c r="H41" s="4"/>
      <c r="I41" s="4"/>
      <c r="J41" s="4"/>
      <c r="L41" s="17" t="n">
        <f aca="false">B37*L40+C37*M40+D37*N40+E37*O40</f>
        <v>-7.68821795190656</v>
      </c>
      <c r="M41" s="17" t="n">
        <f aca="false">B38*L40+C38*M40+D38*N40+E38*O40</f>
        <v>2.56755946692802</v>
      </c>
      <c r="N41" s="17" t="n">
        <f aca="false">B39*L40+C39*M40+D39*N40+E39*O40</f>
        <v>21.4755248779659</v>
      </c>
      <c r="O41" s="17" t="n">
        <f aca="false">B40*L40+C40*M40+D40*N40+E40*O40</f>
        <v>21.571937589427</v>
      </c>
      <c r="Q41" s="4" t="s">
        <v>601</v>
      </c>
      <c r="R41" s="4"/>
      <c r="S41" s="4"/>
      <c r="T41" s="12" t="n">
        <f aca="false">-N40</f>
        <v>21.571937589427</v>
      </c>
    </row>
    <row r="42" customFormat="false" ht="15" hidden="false" customHeight="false" outlineLevel="0" collapsed="false">
      <c r="G42" s="4" t="s">
        <v>602</v>
      </c>
      <c r="H42" s="4"/>
      <c r="I42" s="4"/>
      <c r="J42" s="4"/>
      <c r="L42" s="17" t="n">
        <f aca="false">L41/O41</f>
        <v>-0.356399044825476</v>
      </c>
      <c r="M42" s="17" t="n">
        <f aca="false">M41/O41</f>
        <v>0.119023126980789</v>
      </c>
      <c r="N42" s="17" t="n">
        <f aca="false">N41/O41</f>
        <v>0.995530642017604</v>
      </c>
      <c r="O42" s="17" t="n">
        <f aca="false">O41/O41</f>
        <v>1</v>
      </c>
    </row>
    <row r="43" customFormat="false" ht="15" hidden="false" customHeight="false" outlineLevel="0" collapsed="false">
      <c r="G43" s="4" t="s">
        <v>603</v>
      </c>
      <c r="H43" s="4"/>
      <c r="I43" s="4"/>
      <c r="J43" s="4"/>
      <c r="L43" s="17" t="n">
        <f aca="false">(L42*0.5+0.5)*View_Projection!$B$12</f>
        <v>617.856916967543</v>
      </c>
      <c r="M43" s="17" t="n">
        <f aca="false">(1-(M42*0.5+0.5))*View_Projection!$B$13</f>
        <v>475.727511430374</v>
      </c>
      <c r="N43" s="17" t="n">
        <f aca="false">N42*0.5+0.5</f>
        <v>0.997765321008802</v>
      </c>
      <c r="O43" s="14" t="s">
        <v>22</v>
      </c>
    </row>
    <row r="44" customFormat="false" ht="15" hidden="false" customHeight="false" outlineLevel="0" collapsed="false">
      <c r="G44" s="2" t="s">
        <v>604</v>
      </c>
    </row>
  </sheetData>
  <mergeCells count="15">
    <mergeCell ref="B5:I5"/>
    <mergeCell ref="K5:L5"/>
    <mergeCell ref="M5:T5"/>
    <mergeCell ref="G37:J37"/>
    <mergeCell ref="Q37:S37"/>
    <mergeCell ref="G38:J38"/>
    <mergeCell ref="Q38:S38"/>
    <mergeCell ref="G39:J39"/>
    <mergeCell ref="Q39:S39"/>
    <mergeCell ref="G40:J40"/>
    <mergeCell ref="Q40:S40"/>
    <mergeCell ref="G41:J41"/>
    <mergeCell ref="Q41:S41"/>
    <mergeCell ref="G42:J42"/>
    <mergeCell ref="G43:J4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3" min="2" style="0" width="8.5"/>
  </cols>
  <sheetData>
    <row r="1" customFormat="false" ht="16.15" hidden="false" customHeight="false" outlineLevel="0" collapsed="false">
      <c r="A1" s="1" t="s">
        <v>605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606</v>
      </c>
    </row>
    <row r="5" customFormat="false" ht="15" hidden="false" customHeight="false" outlineLevel="0" collapsed="false">
      <c r="A5" s="10" t="s">
        <v>607</v>
      </c>
    </row>
    <row r="6" customFormat="false" ht="15" hidden="false" customHeight="false" outlineLevel="0" collapsed="false">
      <c r="A6" s="3"/>
      <c r="B6" s="3" t="s">
        <v>564</v>
      </c>
      <c r="C6" s="3" t="s">
        <v>565</v>
      </c>
      <c r="D6" s="3" t="s">
        <v>566</v>
      </c>
    </row>
    <row r="7" customFormat="false" ht="15" hidden="false" customHeight="false" outlineLevel="0" collapsed="false">
      <c r="A7" s="4" t="s">
        <v>608</v>
      </c>
      <c r="B7" s="13" t="n">
        <v>0.35</v>
      </c>
      <c r="C7" s="13" t="n">
        <v>3.8571</v>
      </c>
      <c r="D7" s="13" t="n">
        <v>1.245</v>
      </c>
    </row>
    <row r="8" customFormat="false" ht="15" hidden="false" customHeight="false" outlineLevel="0" collapsed="false">
      <c r="A8" s="4" t="s">
        <v>609</v>
      </c>
      <c r="B8" s="8" t="n">
        <v>0</v>
      </c>
      <c r="C8" s="8" t="n">
        <v>0</v>
      </c>
      <c r="D8" s="8" t="n">
        <v>0</v>
      </c>
    </row>
    <row r="9" customFormat="false" ht="15" hidden="false" customHeight="false" outlineLevel="0" collapsed="false">
      <c r="A9" s="4" t="s">
        <v>10</v>
      </c>
      <c r="B9" s="13" t="n">
        <v>-1.675</v>
      </c>
      <c r="C9" s="13" t="n">
        <v>-1.82145</v>
      </c>
      <c r="D9" s="13" t="n">
        <v>4.2625</v>
      </c>
    </row>
    <row r="11" customFormat="false" ht="15" hidden="false" customHeight="false" outlineLevel="0" collapsed="false">
      <c r="B11" s="10" t="s">
        <v>610</v>
      </c>
      <c r="G11" s="10" t="s">
        <v>611</v>
      </c>
      <c r="L11" s="10" t="s">
        <v>612</v>
      </c>
      <c r="Q11" s="10" t="s">
        <v>613</v>
      </c>
    </row>
    <row r="12" customFormat="false" ht="15" hidden="false" customHeight="false" outlineLevel="0" collapsed="false">
      <c r="B12" s="12" t="n">
        <f aca="false">(COS(RADIANS($C$8))*COS(RADIANS($D$8))+SIN(RADIANS($C$8))*SIN(RADIANS($B$8))*SIN(RADIANS($D$8)))*$B$7</f>
        <v>0.35</v>
      </c>
      <c r="C12" s="12" t="n">
        <f aca="false">(-COS(RADIANS($C$8))*SIN(RADIANS($D$8))+SIN(RADIANS($C$8))*SIN(RADIANS($B$8))*COS(RADIANS($D$8)))*$C$7</f>
        <v>0</v>
      </c>
      <c r="D12" s="12" t="n">
        <f aca="false">(SIN(RADIANS($C$8))*COS(RADIANS($B$8)))*$D$7</f>
        <v>0</v>
      </c>
      <c r="E12" s="12" t="n">
        <f aca="false">$B$9</f>
        <v>-1.675</v>
      </c>
      <c r="G12" s="9" t="n">
        <v>1</v>
      </c>
      <c r="H12" s="9" t="n">
        <v>0</v>
      </c>
      <c r="I12" s="9" t="n">
        <v>0</v>
      </c>
      <c r="J12" s="9" t="n">
        <v>0</v>
      </c>
      <c r="L12" s="12" t="n">
        <f aca="false">G12*B12+H12*B13+I12*B14+J12*B15</f>
        <v>0.35</v>
      </c>
      <c r="M12" s="12" t="n">
        <f aca="false">G12*C12+H12*C13+I12*C14+J12*C15</f>
        <v>0</v>
      </c>
      <c r="N12" s="12" t="n">
        <f aca="false">G12*D12+H12*D13+I12*D14+J12*D15</f>
        <v>0</v>
      </c>
      <c r="O12" s="12" t="n">
        <f aca="false">G12*E12+H12*E13+I12*E14+J12*E15</f>
        <v>-1.675</v>
      </c>
      <c r="Q12" s="35" t="n">
        <v>0.35</v>
      </c>
      <c r="R12" s="9" t="n">
        <v>0</v>
      </c>
      <c r="S12" s="9" t="n">
        <v>0</v>
      </c>
      <c r="T12" s="35" t="n">
        <v>-1.6749999</v>
      </c>
    </row>
    <row r="13" customFormat="false" ht="15" hidden="false" customHeight="false" outlineLevel="0" collapsed="false">
      <c r="B13" s="12" t="n">
        <f aca="false">(COS(RADIANS($B$8))*SIN(RADIANS($D$8)))*$B$7</f>
        <v>0</v>
      </c>
      <c r="C13" s="12" t="n">
        <f aca="false">(COS(RADIANS($B$8))*COS(RADIANS($D$8)))*$C$7</f>
        <v>3.8571</v>
      </c>
      <c r="D13" s="12" t="n">
        <f aca="false">(-SIN(RADIANS($B$8)))*$D$7</f>
        <v>-0</v>
      </c>
      <c r="E13" s="12" t="n">
        <f aca="false">$C$9</f>
        <v>-1.82145</v>
      </c>
      <c r="G13" s="9" t="n">
        <v>0</v>
      </c>
      <c r="H13" s="9" t="n">
        <v>1</v>
      </c>
      <c r="I13" s="9" t="n">
        <v>0</v>
      </c>
      <c r="J13" s="9" t="n">
        <v>0</v>
      </c>
      <c r="L13" s="12" t="n">
        <f aca="false">G13*B12+H13*B13+I13*B14+J13*B15</f>
        <v>0</v>
      </c>
      <c r="M13" s="12" t="n">
        <f aca="false">G13*C12+H13*C13+I13*C14+J13*C15</f>
        <v>3.8571</v>
      </c>
      <c r="N13" s="12" t="n">
        <f aca="false">G13*D12+H13*D13+I13*D14+J13*D15</f>
        <v>0</v>
      </c>
      <c r="O13" s="12" t="n">
        <f aca="false">G13*E12+H13*E13+I13*E14+J13*E15</f>
        <v>-1.82145</v>
      </c>
      <c r="Q13" s="9" t="n">
        <v>0</v>
      </c>
      <c r="R13" s="35" t="n">
        <v>3.8571</v>
      </c>
      <c r="S13" s="9" t="n">
        <v>0</v>
      </c>
      <c r="T13" s="35" t="n">
        <v>-1.82145</v>
      </c>
    </row>
    <row r="14" customFormat="false" ht="15" hidden="false" customHeight="false" outlineLevel="0" collapsed="false">
      <c r="B14" s="12" t="n">
        <f aca="false">(-SIN(RADIANS($C$8))*COS(RADIANS($D$8))+COS(RADIANS($C$8))*SIN(RADIANS($B$8))*SIN(RADIANS($D$8)))*$B$7</f>
        <v>0</v>
      </c>
      <c r="C14" s="12" t="n">
        <f aca="false">(SIN(RADIANS($C$8))*SIN(RADIANS($D$8))+COS(RADIANS($C$8))*SIN(RADIANS($B$8))*COS(RADIANS($D$8)))*$C$7</f>
        <v>0</v>
      </c>
      <c r="D14" s="12" t="n">
        <f aca="false">(COS(RADIANS($C$8))*COS(RADIANS($B$8)))*$D$7</f>
        <v>1.245</v>
      </c>
      <c r="E14" s="12" t="n">
        <f aca="false">$D$9</f>
        <v>4.2625</v>
      </c>
      <c r="G14" s="9" t="n">
        <v>0</v>
      </c>
      <c r="H14" s="9" t="n">
        <v>0</v>
      </c>
      <c r="I14" s="9" t="n">
        <v>1</v>
      </c>
      <c r="J14" s="9" t="n">
        <v>0</v>
      </c>
      <c r="L14" s="12" t="n">
        <f aca="false">G14*B12+H14*B13+I14*B14+J14*B15</f>
        <v>0</v>
      </c>
      <c r="M14" s="12" t="n">
        <f aca="false">G14*C12+H14*C13+I14*C14+J14*C15</f>
        <v>0</v>
      </c>
      <c r="N14" s="12" t="n">
        <f aca="false">G14*D12+H14*D13+I14*D14+J14*D15</f>
        <v>1.245</v>
      </c>
      <c r="O14" s="12" t="n">
        <f aca="false">G14*E12+H14*E13+I14*E14+J14*E15</f>
        <v>4.2625</v>
      </c>
      <c r="Q14" s="9" t="n">
        <v>0</v>
      </c>
      <c r="R14" s="9" t="n">
        <v>0</v>
      </c>
      <c r="S14" s="35" t="n">
        <v>1.2449999</v>
      </c>
      <c r="T14" s="35" t="n">
        <v>4.2624998</v>
      </c>
    </row>
    <row r="15" customFormat="false" ht="15" hidden="false" customHeight="false" outlineLevel="0" collapsed="false">
      <c r="B15" s="34" t="n">
        <v>0</v>
      </c>
      <c r="C15" s="34" t="n">
        <v>0</v>
      </c>
      <c r="D15" s="34" t="n">
        <v>0</v>
      </c>
      <c r="E15" s="34" t="n">
        <v>1</v>
      </c>
      <c r="G15" s="9" t="n">
        <v>0</v>
      </c>
      <c r="H15" s="9" t="n">
        <v>0</v>
      </c>
      <c r="I15" s="9" t="n">
        <v>0</v>
      </c>
      <c r="J15" s="9" t="n">
        <v>1</v>
      </c>
      <c r="L15" s="12" t="n">
        <f aca="false">G15*B12+H15*B13+I15*B14+J15*B15</f>
        <v>0</v>
      </c>
      <c r="M15" s="12" t="n">
        <f aca="false">G15*C12+H15*C13+I15*C14+J15*C15</f>
        <v>0</v>
      </c>
      <c r="N15" s="12" t="n">
        <f aca="false">G15*D12+H15*D13+I15*D14+J15*D15</f>
        <v>0</v>
      </c>
      <c r="O15" s="12" t="n">
        <f aca="false">G15*E12+H15*E13+I15*E14+J15*E15</f>
        <v>1</v>
      </c>
      <c r="Q15" s="9" t="n">
        <v>0</v>
      </c>
      <c r="R15" s="9" t="n">
        <v>0</v>
      </c>
      <c r="S15" s="9" t="n">
        <v>0</v>
      </c>
      <c r="T15" s="9" t="n">
        <v>1</v>
      </c>
    </row>
    <row r="16" customFormat="false" ht="15" hidden="false" customHeight="false" outlineLevel="0" collapsed="false">
      <c r="Q16" s="4" t="s">
        <v>614</v>
      </c>
      <c r="R16" s="4"/>
      <c r="S16" s="4"/>
      <c r="T16" s="17" t="n">
        <f aca="false">MAX(ABS(L12-Q12),ABS(M12-R12),ABS(N12-S12),ABS(O12-T12),ABS(L13-Q13),ABS(M13-R13),ABS(N13-S13),ABS(O13-T13),ABS(L14-Q14),ABS(M14-R14),ABS(N14-S14),ABS(O14-T14),ABS(L15-Q15),ABS(M15-R15),ABS(N15-S15),ABS(O15-T15))</f>
        <v>2.00000000560863E-007</v>
      </c>
    </row>
    <row r="17" customFormat="false" ht="15" hidden="false" customHeight="false" outlineLevel="0" collapsed="false">
      <c r="L17" s="10" t="s">
        <v>615</v>
      </c>
    </row>
    <row r="18" customFormat="false" ht="15" hidden="false" customHeight="false" outlineLevel="0" collapsed="false">
      <c r="A18" s="3" t="s">
        <v>616</v>
      </c>
      <c r="B18" s="3" t="s">
        <v>564</v>
      </c>
      <c r="C18" s="3" t="s">
        <v>565</v>
      </c>
      <c r="D18" s="3" t="s">
        <v>566</v>
      </c>
      <c r="E18" s="3" t="s">
        <v>567</v>
      </c>
      <c r="F18" s="3"/>
      <c r="G18" s="3" t="s">
        <v>617</v>
      </c>
      <c r="H18" s="3" t="s">
        <v>618</v>
      </c>
      <c r="I18" s="3" t="s">
        <v>619</v>
      </c>
      <c r="L18" s="3" t="s">
        <v>620</v>
      </c>
      <c r="M18" s="13" t="n">
        <v>0.46</v>
      </c>
      <c r="N18" s="3" t="s">
        <v>621</v>
      </c>
      <c r="O18" s="13" t="n">
        <v>0.44</v>
      </c>
    </row>
    <row r="19" customFormat="false" ht="18" hidden="false" customHeight="true" outlineLevel="0" collapsed="false">
      <c r="A19" s="37" t="s">
        <v>622</v>
      </c>
      <c r="B19" s="38" t="n">
        <v>0.5</v>
      </c>
      <c r="C19" s="38" t="n">
        <v>-0.5</v>
      </c>
      <c r="D19" s="38" t="n">
        <v>0.5</v>
      </c>
      <c r="E19" s="38" t="n">
        <v>1</v>
      </c>
      <c r="G19" s="17" t="n">
        <f aca="false">L12*B19+M12*C19+N12*D19+O12*E19</f>
        <v>-1.5</v>
      </c>
      <c r="H19" s="17" t="n">
        <f aca="false">L13*B19+M13*C19+N13*D19+O13*E19</f>
        <v>-3.75</v>
      </c>
      <c r="I19" s="17" t="n">
        <f aca="false">L14*B19+M14*C19+N14*D19+O14*E19</f>
        <v>4.885</v>
      </c>
      <c r="L19" s="3" t="s">
        <v>623</v>
      </c>
      <c r="M19" s="3" t="s">
        <v>624</v>
      </c>
      <c r="N19" s="3" t="s">
        <v>625</v>
      </c>
      <c r="O19" s="3" t="s">
        <v>626</v>
      </c>
      <c r="P19" s="3" t="s">
        <v>627</v>
      </c>
      <c r="Q19" s="3" t="s">
        <v>628</v>
      </c>
      <c r="R19" s="3" t="s">
        <v>629</v>
      </c>
      <c r="S19" s="3" t="s">
        <v>630</v>
      </c>
    </row>
    <row r="20" customFormat="false" ht="15" hidden="false" customHeight="false" outlineLevel="0" collapsed="false">
      <c r="A20" s="37" t="s">
        <v>631</v>
      </c>
      <c r="B20" s="38" t="n">
        <v>0.5</v>
      </c>
      <c r="C20" s="38" t="n">
        <v>-0.5</v>
      </c>
      <c r="D20" s="38" t="n">
        <v>-0.5</v>
      </c>
      <c r="E20" s="38" t="n">
        <v>1</v>
      </c>
      <c r="G20" s="17" t="n">
        <f aca="false">L12*B20+M12*C20+N12*D20+O12*E20</f>
        <v>-1.5</v>
      </c>
      <c r="H20" s="17" t="n">
        <f aca="false">L13*B20+M13*C20+N13*D20+O13*E20</f>
        <v>-3.75</v>
      </c>
      <c r="I20" s="17" t="n">
        <f aca="false">L14*B20+M14*C20+N14*D20+O14*E20</f>
        <v>3.64</v>
      </c>
      <c r="L20" s="39" t="n">
        <v>0</v>
      </c>
      <c r="M20" s="38" t="n">
        <v>32.771</v>
      </c>
      <c r="N20" s="38" t="n">
        <v>26.1137</v>
      </c>
      <c r="O20" s="17" t="n">
        <f aca="false">$M$18*SIN(RADIANS(M20))+$O$18*SIN(RADIANS(M20-N20))</f>
        <v>0.29999947535178</v>
      </c>
      <c r="P20" s="17" t="n">
        <f aca="false">-$M$18*COS(RADIANS(M20))-$O$18*COS(RADIANS(M20-N20))</f>
        <v>-0.823819934556952</v>
      </c>
      <c r="Q20" s="13" t="n">
        <v>0.3</v>
      </c>
      <c r="R20" s="13" t="n">
        <v>-0.82382</v>
      </c>
      <c r="S20" s="40" t="n">
        <f aca="false">SQRT((O20-Q20)^2+(P20-R20)^2)</f>
        <v>5.28714050873849E-007</v>
      </c>
    </row>
    <row r="21" customFormat="false" ht="15" hidden="false" customHeight="false" outlineLevel="0" collapsed="false">
      <c r="A21" s="37" t="s">
        <v>632</v>
      </c>
      <c r="B21" s="38" t="n">
        <v>0.5</v>
      </c>
      <c r="C21" s="38" t="n">
        <v>0.5</v>
      </c>
      <c r="D21" s="38" t="n">
        <v>-0.5</v>
      </c>
      <c r="E21" s="38" t="n">
        <v>1</v>
      </c>
      <c r="G21" s="17" t="n">
        <f aca="false">L12*B21+M12*C21+N12*D21+O12*E21</f>
        <v>-1.5</v>
      </c>
      <c r="H21" s="17" t="n">
        <f aca="false">L13*B21+M13*C21+N13*D21+O13*E21</f>
        <v>0.1071</v>
      </c>
      <c r="I21" s="17" t="n">
        <f aca="false">L14*B21+M14*C21+N14*D21+O14*E21</f>
        <v>3.64</v>
      </c>
      <c r="L21" s="39" t="n">
        <v>0.125</v>
      </c>
      <c r="M21" s="38" t="n">
        <v>30.0534</v>
      </c>
      <c r="N21" s="38" t="n">
        <v>42.2385</v>
      </c>
      <c r="O21" s="17" t="n">
        <f aca="false">$M$18*SIN(RADIANS(M21))+$O$18*SIN(RADIANS(M21-N21))</f>
        <v>0.137500117112491</v>
      </c>
      <c r="P21" s="17" t="n">
        <f aca="false">-$M$18*COS(RADIANS(M21))-$O$18*COS(RADIANS(M21-N21))</f>
        <v>-0.828244310940064</v>
      </c>
      <c r="Q21" s="13" t="n">
        <v>0.1375</v>
      </c>
      <c r="R21" s="13" t="n">
        <v>-0.828244</v>
      </c>
      <c r="S21" s="40" t="n">
        <f aca="false">SQRT((O21-Q21)^2+(P21-R21)^2)</f>
        <v>3.32263538601799E-007</v>
      </c>
    </row>
    <row r="22" customFormat="false" ht="15" hidden="false" customHeight="false" outlineLevel="0" collapsed="false">
      <c r="A22" s="37" t="s">
        <v>633</v>
      </c>
      <c r="B22" s="38" t="n">
        <v>0.5</v>
      </c>
      <c r="C22" s="38" t="n">
        <v>0.5</v>
      </c>
      <c r="D22" s="38" t="n">
        <v>0.5</v>
      </c>
      <c r="E22" s="38" t="n">
        <v>1</v>
      </c>
      <c r="G22" s="17" t="n">
        <f aca="false">L12*B22+M12*C22+N12*D22+O12*E22</f>
        <v>-1.5</v>
      </c>
      <c r="H22" s="17" t="n">
        <f aca="false">L13*B22+M13*C22+N13*D22+O13*E22</f>
        <v>0.1071</v>
      </c>
      <c r="I22" s="17" t="n">
        <f aca="false">L14*B22+M14*C22+N14*D22+O14*E22</f>
        <v>4.885</v>
      </c>
      <c r="L22" s="39" t="n">
        <v>0.25</v>
      </c>
      <c r="M22" s="38" t="n">
        <v>15.7984</v>
      </c>
      <c r="N22" s="38" t="n">
        <v>35.7634</v>
      </c>
      <c r="O22" s="17" t="n">
        <f aca="false">$M$18*SIN(RADIANS(M22))+$O$18*SIN(RADIANS(M22-N22))</f>
        <v>-0.024999710456192</v>
      </c>
      <c r="P22" s="17" t="n">
        <f aca="false">-$M$18*COS(RADIANS(M22))-$O$18*COS(RADIANS(M22-N22))</f>
        <v>-0.856180378872142</v>
      </c>
      <c r="Q22" s="13" t="n">
        <v>-0.025</v>
      </c>
      <c r="R22" s="13" t="n">
        <v>-0.85618</v>
      </c>
      <c r="S22" s="40" t="n">
        <f aca="false">SQRT((O22-Q22)^2+(P22-R22)^2)</f>
        <v>4.7684349284949E-007</v>
      </c>
    </row>
    <row r="23" customFormat="false" ht="15" hidden="false" customHeight="false" outlineLevel="0" collapsed="false">
      <c r="A23" s="37" t="s">
        <v>634</v>
      </c>
      <c r="B23" s="38" t="n">
        <v>-0.5</v>
      </c>
      <c r="C23" s="38" t="n">
        <v>-0.5</v>
      </c>
      <c r="D23" s="38" t="n">
        <v>-0.5</v>
      </c>
      <c r="E23" s="38" t="n">
        <v>1</v>
      </c>
      <c r="G23" s="17" t="n">
        <f aca="false">L12*B23+M12*C23+N12*D23+O12*E23</f>
        <v>-1.85</v>
      </c>
      <c r="H23" s="17" t="n">
        <f aca="false">L13*B23+M13*C23+N13*D23+O13*E23</f>
        <v>-3.75</v>
      </c>
      <c r="I23" s="17" t="n">
        <f aca="false">L14*B23+M14*C23+N14*D23+O14*E23</f>
        <v>3.64</v>
      </c>
      <c r="L23" s="39" t="n">
        <v>0.375</v>
      </c>
      <c r="M23" s="38" t="n">
        <v>1.5555</v>
      </c>
      <c r="N23" s="38" t="n">
        <v>28.5892</v>
      </c>
      <c r="O23" s="17" t="n">
        <f aca="false">$M$18*SIN(RADIANS(M23))+$O$18*SIN(RADIANS(M23-N23))</f>
        <v>-0.187499555139458</v>
      </c>
      <c r="P23" s="17" t="n">
        <f aca="false">-$M$18*COS(RADIANS(M23))-$O$18*COS(RADIANS(M23-N23))</f>
        <v>-0.851755801029609</v>
      </c>
      <c r="Q23" s="13" t="n">
        <v>-0.1875</v>
      </c>
      <c r="R23" s="13" t="n">
        <v>-0.851756</v>
      </c>
      <c r="S23" s="40" t="n">
        <f aca="false">SQRT((O23-Q23)^2+(P23-R23)^2)</f>
        <v>4.87329579203418E-007</v>
      </c>
    </row>
    <row r="24" customFormat="false" ht="15" hidden="false" customHeight="false" outlineLevel="0" collapsed="false">
      <c r="A24" s="37" t="s">
        <v>635</v>
      </c>
      <c r="B24" s="38" t="n">
        <v>-0.5</v>
      </c>
      <c r="C24" s="38" t="n">
        <v>-0.5</v>
      </c>
      <c r="D24" s="38" t="n">
        <v>0.5</v>
      </c>
      <c r="E24" s="38" t="n">
        <v>1</v>
      </c>
      <c r="G24" s="17" t="n">
        <f aca="false">L12*B24+M12*C24+N12*D24+O12*E24</f>
        <v>-1.85</v>
      </c>
      <c r="H24" s="17" t="n">
        <f aca="false">L13*B24+M13*C24+N13*D24+O13*E24</f>
        <v>-3.75</v>
      </c>
      <c r="I24" s="17" t="n">
        <f aca="false">L14*B24+M14*C24+N14*D24+O14*E24</f>
        <v>4.885</v>
      </c>
      <c r="L24" s="39" t="n">
        <v>0.5</v>
      </c>
      <c r="M24" s="38" t="n">
        <v>-6.5205</v>
      </c>
      <c r="N24" s="38" t="n">
        <v>36.0684</v>
      </c>
      <c r="O24" s="17" t="n">
        <f aca="false">$M$18*SIN(RADIANS(M24))+$O$18*SIN(RADIANS(M24-N24))</f>
        <v>-0.349999676343599</v>
      </c>
      <c r="P24" s="17" t="n">
        <f aca="false">-$M$18*COS(RADIANS(M24))-$O$18*COS(RADIANS(M24-N24))</f>
        <v>-0.780964803292502</v>
      </c>
      <c r="Q24" s="13" t="n">
        <v>-0.35</v>
      </c>
      <c r="R24" s="13" t="n">
        <v>-0.780965</v>
      </c>
      <c r="S24" s="40" t="n">
        <f aca="false">SQRT((O24-Q24)^2+(P24-R24)^2)</f>
        <v>3.78744379874963E-007</v>
      </c>
    </row>
    <row r="25" customFormat="false" ht="15" hidden="false" customHeight="false" outlineLevel="0" collapsed="false">
      <c r="A25" s="37" t="s">
        <v>636</v>
      </c>
      <c r="B25" s="38" t="n">
        <v>-0.5</v>
      </c>
      <c r="C25" s="38" t="n">
        <v>0.5</v>
      </c>
      <c r="D25" s="38" t="n">
        <v>0.5</v>
      </c>
      <c r="E25" s="38" t="n">
        <v>1</v>
      </c>
      <c r="G25" s="17" t="n">
        <f aca="false">L12*B25+M12*C25+N12*D25+O12*E25</f>
        <v>-1.85</v>
      </c>
      <c r="H25" s="17" t="n">
        <f aca="false">L13*B25+M13*C25+N13*D25+O13*E25</f>
        <v>0.1071</v>
      </c>
      <c r="I25" s="17" t="n">
        <f aca="false">L14*B25+M14*C25+N14*D25+O14*E25</f>
        <v>4.885</v>
      </c>
      <c r="L25" s="39" t="n">
        <v>0.625</v>
      </c>
      <c r="M25" s="38" t="n">
        <v>-21.1388</v>
      </c>
      <c r="N25" s="38" t="n">
        <v>24.1828</v>
      </c>
      <c r="O25" s="17" t="n">
        <f aca="false">$M$18*SIN(RADIANS(M25))+$O$18*SIN(RADIANS(M25-N25))</f>
        <v>-0.478757537348272</v>
      </c>
      <c r="P25" s="17" t="n">
        <f aca="false">-$M$18*COS(RADIANS(M25))-$O$18*COS(RADIANS(M25-N25))</f>
        <v>-0.738422128936188</v>
      </c>
      <c r="Q25" s="13" t="n">
        <v>-0.478757</v>
      </c>
      <c r="R25" s="13" t="n">
        <v>-0.738423</v>
      </c>
      <c r="S25" s="40" t="n">
        <f aca="false">SQRT((O25-Q25)^2+(P25-R25)^2)</f>
        <v>1.02347219279572E-006</v>
      </c>
    </row>
    <row r="26" customFormat="false" ht="15" hidden="false" customHeight="false" outlineLevel="0" collapsed="false">
      <c r="A26" s="37" t="s">
        <v>637</v>
      </c>
      <c r="B26" s="38" t="n">
        <v>-0.5</v>
      </c>
      <c r="C26" s="38" t="n">
        <v>0.5</v>
      </c>
      <c r="D26" s="38" t="n">
        <v>-0.5</v>
      </c>
      <c r="E26" s="38" t="n">
        <v>1</v>
      </c>
      <c r="G26" s="17" t="n">
        <f aca="false">L12*B26+M12*C26+N12*D26+O12*E26</f>
        <v>-1.85</v>
      </c>
      <c r="H26" s="17" t="n">
        <f aca="false">L13*B26+M13*C26+N13*D26+O13*E26</f>
        <v>0.1071</v>
      </c>
      <c r="I26" s="17" t="n">
        <f aca="false">L14*B26+M14*C26+N14*D26+O14*E26</f>
        <v>3.64</v>
      </c>
      <c r="L26" s="39" t="n">
        <v>0.75</v>
      </c>
      <c r="M26" s="38" t="n">
        <v>8.2873</v>
      </c>
      <c r="N26" s="38" t="n">
        <v>59.2127</v>
      </c>
      <c r="O26" s="17" t="n">
        <f aca="false">$M$18*SIN(RADIANS(M26))+$O$18*SIN(RADIANS(M26-N26))</f>
        <v>-0.27528044724403</v>
      </c>
      <c r="P26" s="17" t="n">
        <f aca="false">-$M$18*COS(RADIANS(M26))-$O$18*COS(RADIANS(M26-N26))</f>
        <v>-0.732542524605074</v>
      </c>
      <c r="Q26" s="13" t="n">
        <v>-0.275281</v>
      </c>
      <c r="R26" s="13" t="n">
        <v>-0.732542</v>
      </c>
      <c r="S26" s="40" t="n">
        <f aca="false">SQRT((O26-Q26)^2+(P26-R26)^2)</f>
        <v>7.62069318733735E-007</v>
      </c>
    </row>
    <row r="27" customFormat="false" ht="15" hidden="false" customHeight="false" outlineLevel="0" collapsed="false">
      <c r="L27" s="39" t="n">
        <v>0.875</v>
      </c>
      <c r="M27" s="38" t="n">
        <v>41.894</v>
      </c>
      <c r="N27" s="38" t="n">
        <v>59.9294</v>
      </c>
      <c r="O27" s="17" t="n">
        <f aca="false">$M$18*SIN(RADIANS(M27))+$O$18*SIN(RADIANS(M27-N27))</f>
        <v>0.170941120902351</v>
      </c>
      <c r="P27" s="17" t="n">
        <f aca="false">-$M$18*COS(RADIANS(M27))-$O$18*COS(RADIANS(M27-N27))</f>
        <v>-0.760796259875709</v>
      </c>
      <c r="Q27" s="13" t="n">
        <v>0.170941</v>
      </c>
      <c r="R27" s="13" t="n">
        <v>-0.760796</v>
      </c>
      <c r="S27" s="40" t="n">
        <f aca="false">SQRT((O27-Q27)^2+(P27-R27)^2)</f>
        <v>2.86623032393082E-007</v>
      </c>
    </row>
    <row r="28" customFormat="false" ht="15" hidden="false" customHeight="false" outlineLevel="0" collapsed="false">
      <c r="L28" s="39" t="n">
        <v>1</v>
      </c>
      <c r="M28" s="38" t="n">
        <v>32.771</v>
      </c>
      <c r="N28" s="38" t="n">
        <v>26.1137</v>
      </c>
      <c r="O28" s="17" t="n">
        <f aca="false">$M$18*SIN(RADIANS(M28))+$O$18*SIN(RADIANS(M28-N28))</f>
        <v>0.29999947535178</v>
      </c>
      <c r="P28" s="17" t="n">
        <f aca="false">-$M$18*COS(RADIANS(M28))-$O$18*COS(RADIANS(M28-N28))</f>
        <v>-0.823819934556952</v>
      </c>
      <c r="Q28" s="13" t="n">
        <v>0.3</v>
      </c>
      <c r="R28" s="13" t="n">
        <v>-0.82382</v>
      </c>
      <c r="S28" s="40" t="n">
        <f aca="false">SQRT((O28-Q28)^2+(P28-R28)^2)</f>
        <v>5.28714050873849E-007</v>
      </c>
    </row>
    <row r="29" customFormat="false" ht="15" hidden="false" customHeight="false" outlineLevel="0" collapsed="false">
      <c r="A29" s="10" t="s">
        <v>638</v>
      </c>
    </row>
    <row r="30" customFormat="false" ht="15" hidden="false" customHeight="false" outlineLevel="0" collapsed="false">
      <c r="A30" s="4" t="s">
        <v>639</v>
      </c>
      <c r="B30" s="8" t="n">
        <v>0</v>
      </c>
      <c r="C30" s="4" t="s">
        <v>640</v>
      </c>
      <c r="D30" s="8" t="n">
        <v>50</v>
      </c>
    </row>
    <row r="31" customFormat="false" ht="15" hidden="false" customHeight="false" outlineLevel="0" collapsed="false">
      <c r="B31" s="10" t="s">
        <v>641</v>
      </c>
      <c r="G31" s="4" t="s">
        <v>642</v>
      </c>
      <c r="I31" s="4" t="s">
        <v>643</v>
      </c>
      <c r="K31" s="4" t="s">
        <v>644</v>
      </c>
      <c r="L31" s="4"/>
    </row>
    <row r="32" customFormat="false" ht="15" hidden="false" customHeight="false" outlineLevel="0" collapsed="false">
      <c r="B32" s="9" t="n">
        <v>-1</v>
      </c>
      <c r="C32" s="9" t="n">
        <v>0</v>
      </c>
      <c r="D32" s="35" t="n">
        <v>-1E-007</v>
      </c>
      <c r="G32" s="17" t="n">
        <f aca="false">SIN(RADIANS($B$30))*COS(RADIANS($D$30))</f>
        <v>0</v>
      </c>
      <c r="I32" s="17" t="n">
        <f aca="false">B32*G32+C32*G33+D32*G34</f>
        <v>-6.42787609686539E-008</v>
      </c>
      <c r="K32" s="17" t="n">
        <f aca="false">DEGREES(ASIN(-I33))</f>
        <v>50</v>
      </c>
    </row>
    <row r="33" customFormat="false" ht="15" hidden="false" customHeight="false" outlineLevel="0" collapsed="false">
      <c r="B33" s="9" t="n">
        <v>0</v>
      </c>
      <c r="C33" s="9" t="n">
        <v>1</v>
      </c>
      <c r="D33" s="9" t="n">
        <v>0</v>
      </c>
      <c r="G33" s="17" t="n">
        <f aca="false">-SIN(RADIANS($D$30))</f>
        <v>-0.766044443118978</v>
      </c>
      <c r="I33" s="17" t="n">
        <f aca="false">B33*G32+C33*G33+D33*G34</f>
        <v>-0.766044443118978</v>
      </c>
    </row>
    <row r="34" customFormat="false" ht="15" hidden="false" customHeight="false" outlineLevel="0" collapsed="false">
      <c r="B34" s="35" t="n">
        <v>1E-007</v>
      </c>
      <c r="C34" s="9" t="n">
        <v>0</v>
      </c>
      <c r="D34" s="9" t="n">
        <v>-1</v>
      </c>
      <c r="G34" s="17" t="n">
        <f aca="false">COS(RADIANS($B$30))*COS(RADIANS($D$30))</f>
        <v>0.642787609686539</v>
      </c>
      <c r="I34" s="17" t="n">
        <f aca="false">B34*G32+C34*G33+D34*G34</f>
        <v>-0.642787609686539</v>
      </c>
    </row>
    <row r="36" customFormat="false" ht="15" hidden="false" customHeight="false" outlineLevel="0" collapsed="false">
      <c r="A36" s="2" t="s">
        <v>645</v>
      </c>
    </row>
  </sheetData>
  <mergeCells count="2">
    <mergeCell ref="Q16:S16"/>
    <mergeCell ref="K31:L3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7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0"/>
    <col collapsed="false" customWidth="true" hidden="false" outlineLevel="0" max="6" min="6" style="0" width="3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12"/>
  </cols>
  <sheetData>
    <row r="1" customFormat="false" ht="16.15" hidden="false" customHeight="false" outlineLevel="0" collapsed="false">
      <c r="A1" s="1" t="s">
        <v>646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647</v>
      </c>
    </row>
    <row r="4" customFormat="false" ht="15" hidden="false" customHeight="false" outlineLevel="0" collapsed="false">
      <c r="G4" s="10" t="s">
        <v>648</v>
      </c>
    </row>
    <row r="5" customFormat="false" ht="43.5" hidden="false" customHeight="true" outlineLevel="0" collapsed="false">
      <c r="A5" s="3" t="s">
        <v>649</v>
      </c>
      <c r="B5" s="3" t="s">
        <v>564</v>
      </c>
      <c r="C5" s="3" t="s">
        <v>565</v>
      </c>
      <c r="D5" s="3" t="s">
        <v>566</v>
      </c>
      <c r="G5" s="3" t="s">
        <v>650</v>
      </c>
      <c r="H5" s="3" t="s">
        <v>651</v>
      </c>
      <c r="I5" s="3" t="s">
        <v>652</v>
      </c>
      <c r="J5" s="3" t="s">
        <v>653</v>
      </c>
      <c r="K5" s="3" t="s">
        <v>654</v>
      </c>
      <c r="L5" s="3" t="s">
        <v>655</v>
      </c>
      <c r="M5" s="3" t="s">
        <v>656</v>
      </c>
    </row>
    <row r="6" customFormat="false" ht="15" hidden="false" customHeight="false" outlineLevel="0" collapsed="false">
      <c r="A6" s="4" t="s">
        <v>657</v>
      </c>
      <c r="B6" s="13" t="n">
        <v>0</v>
      </c>
      <c r="C6" s="13" t="n">
        <v>0.8</v>
      </c>
      <c r="D6" s="13" t="n">
        <v>0</v>
      </c>
      <c r="G6" s="13" t="n">
        <v>-0.05</v>
      </c>
      <c r="H6" s="17" t="n">
        <f aca="false">((-($B$15+$B$14)/($B$15-$B$14))*G6+(-2*$B$15*$B$14/($B$15-$B$14)))/(-G6)</f>
        <v>-1</v>
      </c>
      <c r="I6" s="17" t="n">
        <f aca="false">0.5*H6+0.5</f>
        <v>0</v>
      </c>
      <c r="J6" s="41" t="n">
        <f aca="false">(1/(2^24-1))*($B$15-$B$14)*G6^2/($B$15*$B$14)</f>
        <v>2.97998406370386E-009</v>
      </c>
      <c r="K6" s="6" t="s">
        <v>658</v>
      </c>
      <c r="L6" s="6" t="s">
        <v>658</v>
      </c>
      <c r="M6" s="6" t="s">
        <v>658</v>
      </c>
    </row>
    <row r="7" customFormat="false" ht="15" hidden="false" customHeight="false" outlineLevel="0" collapsed="false">
      <c r="A7" s="4" t="s">
        <v>659</v>
      </c>
      <c r="B7" s="13" t="n">
        <v>0</v>
      </c>
      <c r="C7" s="13" t="n">
        <v>1</v>
      </c>
      <c r="D7" s="13" t="n">
        <v>0</v>
      </c>
      <c r="G7" s="13" t="n">
        <v>-0.1</v>
      </c>
      <c r="H7" s="17" t="n">
        <f aca="false">((-($B$15+$B$14)/($B$15-$B$14))*G7+(-2*$B$15*$B$14/($B$15-$B$14)))/(-G7)</f>
        <v>8.33402783564918E-005</v>
      </c>
      <c r="I7" s="17" t="n">
        <f aca="false">0.5*H7+0.5</f>
        <v>0.500041670139178</v>
      </c>
      <c r="J7" s="41" t="n">
        <f aca="false">(1/(2^24-1))*($B$15-$B$14)*G7^2/($B$15*$B$14)</f>
        <v>1.19199362548154E-008</v>
      </c>
      <c r="K7" s="6" t="s">
        <v>658</v>
      </c>
      <c r="L7" s="6" t="s">
        <v>658</v>
      </c>
      <c r="M7" s="6" t="s">
        <v>658</v>
      </c>
    </row>
    <row r="8" customFormat="false" ht="15" hidden="false" customHeight="false" outlineLevel="0" collapsed="false">
      <c r="A8" s="4" t="s">
        <v>639</v>
      </c>
      <c r="B8" s="8" t="n">
        <v>32</v>
      </c>
      <c r="G8" s="13" t="n">
        <v>-0.5</v>
      </c>
      <c r="H8" s="17" t="n">
        <f aca="false">((-($B$15+$B$14)/($B$15-$B$14))*G8+(-2*$B$15*$B$14/($B$15-$B$14)))/(-G8)</f>
        <v>0.800150012501042</v>
      </c>
      <c r="I8" s="17" t="n">
        <f aca="false">0.5*H8+0.5</f>
        <v>0.900075006250521</v>
      </c>
      <c r="J8" s="41" t="n">
        <f aca="false">(1/(2^24-1))*($B$15-$B$14)*G8^2/($B$15*$B$14)</f>
        <v>2.97998406370386E-007</v>
      </c>
      <c r="K8" s="17" t="n">
        <f aca="false">((-($B$15+$B$16)/($B$15-$B$16))*G8+(-2*$B$15*$B$16/($B$15-$B$16)))/(-G8)</f>
        <v>-1</v>
      </c>
      <c r="L8" s="17" t="n">
        <f aca="false">0.5*K8+0.5</f>
        <v>0</v>
      </c>
      <c r="M8" s="41" t="n">
        <f aca="false">(1/(2^24-1))*($B$15-$B$16)*G8^2/($B$15*$B$16)</f>
        <v>2.97774888939156E-008</v>
      </c>
    </row>
    <row r="9" customFormat="false" ht="15" hidden="false" customHeight="false" outlineLevel="0" collapsed="false">
      <c r="A9" s="4" t="s">
        <v>640</v>
      </c>
      <c r="B9" s="8" t="n">
        <v>27</v>
      </c>
      <c r="G9" s="13" t="n">
        <v>-1</v>
      </c>
      <c r="H9" s="17" t="n">
        <f aca="false">((-($B$15+$B$14)/($B$15-$B$14))*G9+(-2*$B$15*$B$14/($B$15-$B$14)))/(-G9)</f>
        <v>0.900158346528877</v>
      </c>
      <c r="I9" s="17" t="n">
        <f aca="false">0.5*H9+0.5</f>
        <v>0.950079173264439</v>
      </c>
      <c r="J9" s="41" t="n">
        <f aca="false">(1/(2^24-1))*($B$15-$B$14)*G9^2/($B$15*$B$14)</f>
        <v>1.19199362548154E-006</v>
      </c>
      <c r="K9" s="17" t="n">
        <f aca="false">((-($B$15+$B$16)/($B$15-$B$16))*G9+(-2*$B$15*$B$16/($B$15-$B$16)))/(-G9)</f>
        <v>0.000834028356964112</v>
      </c>
      <c r="L9" s="17" t="n">
        <f aca="false">0.5*K9+0.5</f>
        <v>0.500417014178482</v>
      </c>
      <c r="M9" s="41" t="n">
        <f aca="false">(1/(2^24-1))*($B$15-$B$16)*G9^2/($B$15*$B$16)</f>
        <v>1.19109955575662E-007</v>
      </c>
    </row>
    <row r="10" customFormat="false" ht="15" hidden="false" customHeight="false" outlineLevel="0" collapsed="false">
      <c r="A10" s="4" t="s">
        <v>660</v>
      </c>
      <c r="B10" s="8" t="n">
        <v>34</v>
      </c>
      <c r="G10" s="13" t="n">
        <v>-2</v>
      </c>
      <c r="H10" s="17" t="n">
        <f aca="false">((-($B$15+$B$14)/($B$15-$B$14))*G10+(-2*$B$15*$B$14/($B$15-$B$14)))/(-G10)</f>
        <v>0.950162513542795</v>
      </c>
      <c r="I10" s="17" t="n">
        <f aca="false">0.5*H10+0.5</f>
        <v>0.975081256771398</v>
      </c>
      <c r="J10" s="41" t="n">
        <f aca="false">(1/(2^24-1))*($B$15-$B$14)*G10^2/($B$15*$B$14)</f>
        <v>4.76797450192617E-006</v>
      </c>
      <c r="K10" s="17" t="n">
        <f aca="false">((-($B$15+$B$16)/($B$15-$B$16))*G10+(-2*$B$15*$B$16/($B$15-$B$16)))/(-G10)</f>
        <v>0.501251042535446</v>
      </c>
      <c r="L10" s="17" t="n">
        <f aca="false">0.5*K10+0.5</f>
        <v>0.750625521267723</v>
      </c>
      <c r="M10" s="41" t="n">
        <f aca="false">(1/(2^24-1))*($B$15-$B$16)*G10^2/($B$15*$B$16)</f>
        <v>4.76439822302649E-007</v>
      </c>
    </row>
    <row r="11" customFormat="false" ht="15" hidden="false" customHeight="false" outlineLevel="0" collapsed="false">
      <c r="A11" s="4" t="s">
        <v>661</v>
      </c>
      <c r="B11" s="8" t="n">
        <v>50</v>
      </c>
      <c r="G11" s="13" t="n">
        <v>-5</v>
      </c>
      <c r="H11" s="17" t="n">
        <f aca="false">((-($B$15+$B$14)/($B$15-$B$14))*G11+(-2*$B$15*$B$14/($B$15-$B$14)))/(-G11)</f>
        <v>0.980165013751146</v>
      </c>
      <c r="I11" s="17" t="n">
        <f aca="false">0.5*H11+0.5</f>
        <v>0.990082506875573</v>
      </c>
      <c r="J11" s="41" t="n">
        <f aca="false">(1/(2^24-1))*($B$15-$B$14)*G11^2/($B$15*$B$14)</f>
        <v>2.97998406370386E-005</v>
      </c>
      <c r="K11" s="17" t="n">
        <f aca="false">((-($B$15+$B$16)/($B$15-$B$16))*G11+(-2*$B$15*$B$16/($B$15-$B$16)))/(-G11)</f>
        <v>0.801501251042535</v>
      </c>
      <c r="L11" s="17" t="n">
        <f aca="false">0.5*K11+0.5</f>
        <v>0.900750625521268</v>
      </c>
      <c r="M11" s="41" t="n">
        <f aca="false">(1/(2^24-1))*($B$15-$B$16)*G11^2/($B$15*$B$16)</f>
        <v>2.97774888939156E-006</v>
      </c>
    </row>
    <row r="12" customFormat="false" ht="15" hidden="false" customHeight="false" outlineLevel="0" collapsed="false">
      <c r="A12" s="4" t="s">
        <v>662</v>
      </c>
      <c r="B12" s="8" t="n">
        <v>1920</v>
      </c>
      <c r="G12" s="13" t="n">
        <v>-10</v>
      </c>
      <c r="H12" s="17" t="n">
        <f aca="false">((-($B$15+$B$14)/($B$15-$B$14))*G12+(-2*$B$15*$B$14/($B$15-$B$14)))/(-G12)</f>
        <v>0.990165847153929</v>
      </c>
      <c r="I12" s="17" t="n">
        <f aca="false">0.5*H12+0.5</f>
        <v>0.995082923576965</v>
      </c>
      <c r="J12" s="41" t="n">
        <f aca="false">(1/(2^24-1))*($B$15-$B$14)*G12^2/($B$15*$B$14)</f>
        <v>0.000119199362548154</v>
      </c>
      <c r="K12" s="17" t="n">
        <f aca="false">((-($B$15+$B$16)/($B$15-$B$16))*G12+(-2*$B$15*$B$16/($B$15-$B$16)))/(-G12)</f>
        <v>0.901584653878232</v>
      </c>
      <c r="L12" s="17" t="n">
        <f aca="false">0.5*K12+0.5</f>
        <v>0.950792326939116</v>
      </c>
      <c r="M12" s="41" t="n">
        <f aca="false">(1/(2^24-1))*($B$15-$B$16)*G12^2/($B$15*$B$16)</f>
        <v>1.19109955575662E-005</v>
      </c>
    </row>
    <row r="13" customFormat="false" ht="15" hidden="false" customHeight="false" outlineLevel="0" collapsed="false">
      <c r="A13" s="4" t="s">
        <v>663</v>
      </c>
      <c r="B13" s="8" t="n">
        <v>1080</v>
      </c>
      <c r="G13" s="13" t="n">
        <v>-34</v>
      </c>
      <c r="H13" s="17" t="n">
        <f aca="false">((-($B$15+$B$14)/($B$15-$B$14))*G13+(-2*$B$15*$B$14/($B$15-$B$14)))/(-G13)</f>
        <v>0.997225258967659</v>
      </c>
      <c r="I13" s="17" t="n">
        <f aca="false">0.5*H13+0.5</f>
        <v>0.99861262948383</v>
      </c>
      <c r="J13" s="41" t="n">
        <f aca="false">(1/(2^24-1))*($B$15-$B$14)*G13^2/($B$15*$B$14)</f>
        <v>0.00137794463105666</v>
      </c>
      <c r="K13" s="17" t="n">
        <f aca="false">((-($B$15+$B$16)/($B$15-$B$16))*G13+(-2*$B$15*$B$16/($B$15-$B$16)))/(-G13)</f>
        <v>0.972231761762253</v>
      </c>
      <c r="L13" s="17" t="n">
        <f aca="false">0.5*K13+0.5</f>
        <v>0.986115880881126</v>
      </c>
      <c r="M13" s="41" t="n">
        <f aca="false">(1/(2^24-1))*($B$15-$B$16)*G13^2/($B$15*$B$16)</f>
        <v>0.000137691108645466</v>
      </c>
    </row>
    <row r="14" customFormat="false" ht="15" hidden="false" customHeight="false" outlineLevel="0" collapsed="false">
      <c r="A14" s="4" t="s">
        <v>664</v>
      </c>
      <c r="B14" s="13" t="n">
        <v>0.05</v>
      </c>
      <c r="G14" s="13" t="n">
        <v>-50</v>
      </c>
      <c r="H14" s="17" t="n">
        <f aca="false">((-($B$15+$B$14)/($B$15-$B$14))*G14+(-2*$B$15*$B$14/($B$15-$B$14)))/(-G14)</f>
        <v>0.998166513876156</v>
      </c>
      <c r="I14" s="17" t="n">
        <f aca="false">0.5*H14+0.5</f>
        <v>0.999083256938078</v>
      </c>
      <c r="J14" s="41" t="n">
        <f aca="false">(1/(2^24-1))*($B$15-$B$14)*G14^2/($B$15*$B$14)</f>
        <v>0.00297998406370386</v>
      </c>
      <c r="K14" s="17" t="n">
        <f aca="false">((-($B$15+$B$16)/($B$15-$B$16))*G14+(-2*$B$15*$B$16/($B$15-$B$16)))/(-G14)</f>
        <v>0.981651376146789</v>
      </c>
      <c r="L14" s="17" t="n">
        <f aca="false">0.5*K14+0.5</f>
        <v>0.990825688073395</v>
      </c>
      <c r="M14" s="41" t="n">
        <f aca="false">(1/(2^24-1))*($B$15-$B$16)*G14^2/($B$15*$B$16)</f>
        <v>0.000297774888939155</v>
      </c>
    </row>
    <row r="15" customFormat="false" ht="15" hidden="false" customHeight="false" outlineLevel="0" collapsed="false">
      <c r="A15" s="4" t="s">
        <v>665</v>
      </c>
      <c r="B15" s="8" t="n">
        <v>600</v>
      </c>
      <c r="G15" s="13" t="n">
        <v>-100</v>
      </c>
      <c r="H15" s="17" t="n">
        <f aca="false">((-($B$15+$B$14)/($B$15-$B$14))*G15+(-2*$B$15*$B$14/($B$15-$B$14)))/(-G15)</f>
        <v>0.999166597216435</v>
      </c>
      <c r="I15" s="17" t="n">
        <f aca="false">0.5*H15+0.5</f>
        <v>0.999583298608217</v>
      </c>
      <c r="J15" s="41" t="n">
        <f aca="false">(1/(2^24-1))*($B$15-$B$14)*G15^2/($B$15*$B$14)</f>
        <v>0.0119199362548154</v>
      </c>
      <c r="K15" s="17" t="n">
        <f aca="false">((-($B$15+$B$16)/($B$15-$B$16))*G15+(-2*$B$15*$B$16/($B$15-$B$16)))/(-G15)</f>
        <v>0.991659716430359</v>
      </c>
      <c r="L15" s="17" t="n">
        <f aca="false">0.5*K15+0.5</f>
        <v>0.995829858215179</v>
      </c>
      <c r="M15" s="41" t="n">
        <f aca="false">(1/(2^24-1))*($B$15-$B$16)*G15^2/($B$15*$B$16)</f>
        <v>0.00119109955575662</v>
      </c>
    </row>
    <row r="16" customFormat="false" ht="15" hidden="false" customHeight="false" outlineLevel="0" collapsed="false">
      <c r="A16" s="4" t="s">
        <v>666</v>
      </c>
      <c r="B16" s="13" t="n">
        <v>0.5</v>
      </c>
      <c r="G16" s="13" t="n">
        <v>-200</v>
      </c>
      <c r="H16" s="17" t="n">
        <f aca="false">((-($B$15+$B$14)/($B$15-$B$14))*G16+(-2*$B$15*$B$14/($B$15-$B$14)))/(-G16)</f>
        <v>0.999666638886574</v>
      </c>
      <c r="I16" s="17" t="n">
        <f aca="false">0.5*H16+0.5</f>
        <v>0.999833319443287</v>
      </c>
      <c r="J16" s="41" t="n">
        <f aca="false">(1/(2^24-1))*($B$15-$B$14)*G16^2/($B$15*$B$14)</f>
        <v>0.0476797450192617</v>
      </c>
      <c r="K16" s="17" t="n">
        <f aca="false">((-($B$15+$B$16)/($B$15-$B$16))*G16+(-2*$B$15*$B$16/($B$15-$B$16)))/(-G16)</f>
        <v>0.996663886572143</v>
      </c>
      <c r="L16" s="17" t="n">
        <f aca="false">0.5*K16+0.5</f>
        <v>0.998331943286072</v>
      </c>
      <c r="M16" s="41" t="n">
        <f aca="false">(1/(2^24-1))*($B$15-$B$16)*G16^2/($B$15*$B$16)</f>
        <v>0.00476439822302649</v>
      </c>
    </row>
    <row r="17" customFormat="false" ht="15" hidden="false" customHeight="false" outlineLevel="0" collapsed="false">
      <c r="A17" s="4" t="s">
        <v>667</v>
      </c>
      <c r="B17" s="17" t="n">
        <f aca="false">B12/B13</f>
        <v>1.77777777777778</v>
      </c>
      <c r="G17" s="13" t="n">
        <v>-400</v>
      </c>
      <c r="H17" s="17" t="n">
        <f aca="false">((-($B$15+$B$14)/($B$15-$B$14))*G17+(-2*$B$15*$B$14/($B$15-$B$14)))/(-G17)</f>
        <v>0.999916659721643</v>
      </c>
      <c r="I17" s="17" t="n">
        <f aca="false">0.5*H17+0.5</f>
        <v>0.999958329860822</v>
      </c>
      <c r="J17" s="41" t="n">
        <f aca="false">(1/(2^24-1))*($B$15-$B$14)*G17^2/($B$15*$B$14)</f>
        <v>0.190718980077047</v>
      </c>
      <c r="K17" s="17" t="n">
        <f aca="false">((-($B$15+$B$16)/($B$15-$B$16))*G17+(-2*$B$15*$B$16/($B$15-$B$16)))/(-G17)</f>
        <v>0.999165971643036</v>
      </c>
      <c r="L17" s="17" t="n">
        <f aca="false">0.5*K17+0.5</f>
        <v>0.999582985821518</v>
      </c>
      <c r="M17" s="41" t="n">
        <f aca="false">(1/(2^24-1))*($B$15-$B$16)*G17^2/($B$15*$B$16)</f>
        <v>0.019057592892106</v>
      </c>
    </row>
    <row r="18" customFormat="false" ht="15" hidden="false" customHeight="false" outlineLevel="0" collapsed="false">
      <c r="A18" s="4" t="s">
        <v>668</v>
      </c>
      <c r="B18" s="17" t="n">
        <f aca="false">B6+$B$10*COS(RADIANS($B$9))*SIN(RADIANS($B$8))</f>
        <v>16.0534917386461</v>
      </c>
      <c r="C18" s="17" t="n">
        <f aca="false">C6+$B$10*SIN(RADIANS($B$9))</f>
        <v>16.2356769911446</v>
      </c>
      <c r="D18" s="17" t="n">
        <f aca="false">D6+$B$10*COS(RADIANS($B$9))*COS(RADIANS($B$8))</f>
        <v>25.6909571410306</v>
      </c>
      <c r="G18" s="13" t="n">
        <v>-600</v>
      </c>
      <c r="H18" s="17" t="n">
        <f aca="false">((-($B$15+$B$14)/($B$15-$B$14))*G18+(-2*$B$15*$B$14/($B$15-$B$14)))/(-G18)</f>
        <v>1</v>
      </c>
      <c r="I18" s="17" t="n">
        <f aca="false">0.5*H18+0.5</f>
        <v>1</v>
      </c>
      <c r="J18" s="41" t="n">
        <f aca="false">(1/(2^24-1))*($B$15-$B$14)*G18^2/($B$15*$B$14)</f>
        <v>0.429117705173356</v>
      </c>
      <c r="K18" s="17" t="n">
        <f aca="false">((-($B$15+$B$16)/($B$15-$B$16))*G18+(-2*$B$15*$B$16/($B$15-$B$16)))/(-G18)</f>
        <v>1</v>
      </c>
      <c r="L18" s="17" t="n">
        <f aca="false">0.5*K18+0.5</f>
        <v>1</v>
      </c>
      <c r="M18" s="41" t="n">
        <f aca="false">(1/(2^24-1))*($B$15-$B$16)*G18^2/($B$15*$B$16)</f>
        <v>0.0428795840072384</v>
      </c>
    </row>
    <row r="19" customFormat="false" ht="15" hidden="false" customHeight="false" outlineLevel="0" collapsed="false">
      <c r="A19" s="4" t="s">
        <v>669</v>
      </c>
      <c r="B19" s="17" t="n">
        <f aca="false">B18-B6</f>
        <v>16.0534917386461</v>
      </c>
      <c r="C19" s="17" t="n">
        <f aca="false">C18-C6</f>
        <v>15.4356769911446</v>
      </c>
      <c r="D19" s="17" t="n">
        <f aca="false">D18-D6</f>
        <v>25.6909571410306</v>
      </c>
    </row>
    <row r="20" customFormat="false" ht="15" hidden="false" customHeight="false" outlineLevel="0" collapsed="false">
      <c r="A20" s="4" t="s">
        <v>670</v>
      </c>
      <c r="B20" s="17" t="n">
        <f aca="false">B19/SQRT(B19^2+C19^2+D19^2)</f>
        <v>0.472161521724885</v>
      </c>
      <c r="C20" s="17" t="n">
        <f aca="false">C19/SQRT(B19^2+C19^2+D19^2)</f>
        <v>0.453990499739547</v>
      </c>
      <c r="D20" s="17" t="n">
        <f aca="false">D19/SQRT(B19^2+C19^2+D19^2)</f>
        <v>0.7556163865009</v>
      </c>
      <c r="G20" s="10" t="s">
        <v>671</v>
      </c>
    </row>
    <row r="21" customFormat="false" ht="15" hidden="false" customHeight="false" outlineLevel="0" collapsed="false">
      <c r="A21" s="4" t="s">
        <v>672</v>
      </c>
      <c r="B21" s="17" t="n">
        <f aca="false">C7*D20-D7*C20</f>
        <v>0.7556163865009</v>
      </c>
      <c r="C21" s="17" t="n">
        <f aca="false">D7*B20-B7*D20</f>
        <v>0</v>
      </c>
      <c r="D21" s="17" t="n">
        <f aca="false">B7*C20-C7*B20</f>
        <v>-0.472161521724885</v>
      </c>
      <c r="G21" s="4" t="s">
        <v>673</v>
      </c>
      <c r="H21" s="4"/>
      <c r="I21" s="4"/>
      <c r="J21" s="41" t="n">
        <f aca="false">J15</f>
        <v>0.0119199362548154</v>
      </c>
      <c r="M21" s="41" t="n">
        <f aca="false">M15</f>
        <v>0.00119109955575662</v>
      </c>
    </row>
    <row r="22" customFormat="false" ht="15" hidden="false" customHeight="false" outlineLevel="0" collapsed="false">
      <c r="A22" s="4" t="s">
        <v>674</v>
      </c>
      <c r="B22" s="17" t="n">
        <f aca="false">B21/SQRT(B21^2+C21^2+D21^2)</f>
        <v>0.848048096156426</v>
      </c>
      <c r="C22" s="17" t="n">
        <f aca="false">C21/SQRT(B21^2+C21^2+D21^2)</f>
        <v>0</v>
      </c>
      <c r="D22" s="17" t="n">
        <f aca="false">D21/SQRT(B21^2+C21^2+D21^2)</f>
        <v>-0.529919264233205</v>
      </c>
      <c r="G22" s="4" t="s">
        <v>675</v>
      </c>
      <c r="H22" s="4"/>
      <c r="I22" s="4"/>
      <c r="J22" s="17" t="n">
        <f aca="false">J15/M15</f>
        <v>10.0075062552127</v>
      </c>
    </row>
    <row r="23" customFormat="false" ht="15" hidden="false" customHeight="false" outlineLevel="0" collapsed="false">
      <c r="A23" s="4" t="s">
        <v>676</v>
      </c>
      <c r="B23" s="17" t="n">
        <f aca="false">C20*D22-D20*C22</f>
        <v>-0.240578311590846</v>
      </c>
      <c r="C23" s="17" t="n">
        <f aca="false">D20*B22-B20*D22</f>
        <v>0.891006524188368</v>
      </c>
      <c r="D23" s="17" t="n">
        <f aca="false">B20*C22-C20*B22</f>
        <v>-0.385005778977227</v>
      </c>
      <c r="G23" s="4" t="s">
        <v>677</v>
      </c>
      <c r="H23" s="4"/>
      <c r="I23" s="4"/>
      <c r="J23" s="17" t="n">
        <f aca="false">I9</f>
        <v>0.950079173264439</v>
      </c>
      <c r="M23" s="17" t="n">
        <f aca="false">L9</f>
        <v>0.500417014178482</v>
      </c>
    </row>
    <row r="24" customFormat="false" ht="15" hidden="false" customHeight="false" outlineLevel="0" collapsed="false">
      <c r="A24" s="4" t="s">
        <v>678</v>
      </c>
      <c r="B24" s="17" t="n">
        <f aca="false">ABS(-(C20*D7-D20*C7)-B22*SQRT(B21^2+C21^2+D21^2))+ABS(-(D20*B7-B20*D7)-C22*SQRT(B21^2+C21^2+D21^2))+ABS(-(B20*C7-C20*B7)-D22*SQRT(B21^2+C21^2+D21^2))</f>
        <v>0</v>
      </c>
      <c r="G24" s="4" t="s">
        <v>679</v>
      </c>
      <c r="H24" s="4"/>
      <c r="I24" s="4"/>
      <c r="J24" s="17" t="n">
        <f aca="false">1-I12</f>
        <v>0.00491707642303529</v>
      </c>
      <c r="M24" s="17" t="n">
        <f aca="false">1-L12</f>
        <v>0.0492076730608841</v>
      </c>
    </row>
    <row r="25" customFormat="false" ht="15" hidden="false" customHeight="false" outlineLevel="0" collapsed="false">
      <c r="A25" s="4" t="s">
        <v>680</v>
      </c>
      <c r="B25" s="17" t="n">
        <f aca="false">B22*B23+C22*C23+D22*D23</f>
        <v>0</v>
      </c>
      <c r="C25" s="17" t="n">
        <f aca="false">B22*B20+C22*C20+D22*D20</f>
        <v>0</v>
      </c>
      <c r="D25" s="17" t="n">
        <f aca="false">B23*B20+C23*C20+D23*D20</f>
        <v>0</v>
      </c>
    </row>
    <row r="26" customFormat="false" ht="15" hidden="false" customHeight="false" outlineLevel="0" collapsed="false">
      <c r="G26" s="2" t="s">
        <v>681</v>
      </c>
    </row>
    <row r="27" customFormat="false" ht="15" hidden="false" customHeight="false" outlineLevel="0" collapsed="false">
      <c r="B27" s="10" t="s">
        <v>682</v>
      </c>
      <c r="G27" s="2" t="s">
        <v>683</v>
      </c>
    </row>
    <row r="28" customFormat="false" ht="15" hidden="false" customHeight="false" outlineLevel="0" collapsed="false">
      <c r="A28" s="4" t="s">
        <v>684</v>
      </c>
      <c r="B28" s="12" t="n">
        <f aca="false">B22</f>
        <v>0.848048096156426</v>
      </c>
      <c r="C28" s="12" t="n">
        <f aca="false">C22</f>
        <v>0</v>
      </c>
      <c r="D28" s="12" t="n">
        <f aca="false">D22</f>
        <v>-0.529919264233205</v>
      </c>
      <c r="E28" s="12" t="n">
        <f aca="false">-(B22*B18+C22*C18+D22*D18)</f>
        <v>-0</v>
      </c>
      <c r="G28" s="2" t="s">
        <v>685</v>
      </c>
    </row>
    <row r="29" customFormat="false" ht="15" hidden="false" customHeight="false" outlineLevel="0" collapsed="false">
      <c r="A29" s="4" t="s">
        <v>686</v>
      </c>
      <c r="B29" s="12" t="n">
        <f aca="false">B23</f>
        <v>-0.240578311590846</v>
      </c>
      <c r="C29" s="12" t="n">
        <f aca="false">C23</f>
        <v>0.891006524188368</v>
      </c>
      <c r="D29" s="12" t="n">
        <f aca="false">D23</f>
        <v>-0.385005778977227</v>
      </c>
      <c r="E29" s="12" t="n">
        <f aca="false">-(B23*B18+C23*C18+D23*D18)</f>
        <v>-0.712805219350694</v>
      </c>
      <c r="G29" s="2" t="s">
        <v>687</v>
      </c>
    </row>
    <row r="30" customFormat="false" ht="15" hidden="false" customHeight="false" outlineLevel="0" collapsed="false">
      <c r="A30" s="4" t="s">
        <v>688</v>
      </c>
      <c r="B30" s="12" t="n">
        <f aca="false">B20</f>
        <v>0.472161521724885</v>
      </c>
      <c r="C30" s="12" t="n">
        <f aca="false">C20</f>
        <v>0.453990499739547</v>
      </c>
      <c r="D30" s="12" t="n">
        <f aca="false">D20</f>
        <v>0.7556163865009</v>
      </c>
      <c r="E30" s="12" t="n">
        <f aca="false">-(B20*B18+C20*C18+D20*D18)</f>
        <v>-34.3631923997916</v>
      </c>
    </row>
    <row r="31" customFormat="false" ht="15" hidden="false" customHeight="false" outlineLevel="0" collapsed="false">
      <c r="A31" s="4" t="s">
        <v>689</v>
      </c>
      <c r="B31" s="34" t="n">
        <v>0</v>
      </c>
      <c r="C31" s="34" t="n">
        <v>0</v>
      </c>
      <c r="D31" s="34" t="n">
        <v>0</v>
      </c>
      <c r="E31" s="34" t="n">
        <v>1</v>
      </c>
    </row>
    <row r="33" customFormat="false" ht="15" hidden="false" customHeight="false" outlineLevel="0" collapsed="false">
      <c r="A33" s="4" t="s">
        <v>690</v>
      </c>
      <c r="B33" s="17" t="n">
        <f aca="false">1/TAN(RADIANS($B$11)/2)</f>
        <v>2.14450692050956</v>
      </c>
    </row>
    <row r="34" customFormat="false" ht="15" hidden="false" customHeight="false" outlineLevel="0" collapsed="false">
      <c r="B34" s="10" t="s">
        <v>691</v>
      </c>
    </row>
    <row r="35" customFormat="false" ht="15" hidden="false" customHeight="false" outlineLevel="0" collapsed="false">
      <c r="A35" s="4" t="s">
        <v>692</v>
      </c>
      <c r="B35" s="12" t="n">
        <f aca="false">$B$33/$B$17</f>
        <v>1.20628514278663</v>
      </c>
      <c r="C35" s="34" t="n">
        <v>0</v>
      </c>
      <c r="D35" s="34" t="n">
        <v>0</v>
      </c>
      <c r="E35" s="34" t="n">
        <v>0</v>
      </c>
    </row>
    <row r="36" customFormat="false" ht="15" hidden="false" customHeight="false" outlineLevel="0" collapsed="false">
      <c r="A36" s="4" t="s">
        <v>693</v>
      </c>
      <c r="B36" s="34" t="n">
        <v>0</v>
      </c>
      <c r="C36" s="12" t="n">
        <f aca="false">$B$33</f>
        <v>2.14450692050956</v>
      </c>
      <c r="D36" s="34" t="n">
        <v>0</v>
      </c>
      <c r="E36" s="34" t="n">
        <v>0</v>
      </c>
    </row>
    <row r="37" customFormat="false" ht="15" hidden="false" customHeight="false" outlineLevel="0" collapsed="false">
      <c r="A37" s="4" t="s">
        <v>694</v>
      </c>
      <c r="B37" s="34" t="n">
        <v>0</v>
      </c>
      <c r="C37" s="34" t="n">
        <v>0</v>
      </c>
      <c r="D37" s="12" t="n">
        <f aca="false">-($B$15+$B$14)/($B$15-$B$14)</f>
        <v>-1.00016668055671</v>
      </c>
      <c r="E37" s="12" t="n">
        <f aca="false">-2*$B$15*$B$14/($B$15-$B$14)</f>
        <v>-0.100008334027836</v>
      </c>
    </row>
    <row r="38" customFormat="false" ht="15" hidden="false" customHeight="false" outlineLevel="0" collapsed="false">
      <c r="A38" s="4" t="s">
        <v>689</v>
      </c>
      <c r="B38" s="34" t="n">
        <v>0</v>
      </c>
      <c r="C38" s="34" t="n">
        <v>0</v>
      </c>
      <c r="D38" s="34" t="n">
        <v>-1</v>
      </c>
      <c r="E38" s="34" t="n">
        <v>0</v>
      </c>
    </row>
    <row r="40" customFormat="false" ht="15" hidden="false" customHeight="false" outlineLevel="0" collapsed="false">
      <c r="A40" s="2" t="s">
        <v>695</v>
      </c>
    </row>
  </sheetData>
  <mergeCells count="4">
    <mergeCell ref="G21:I21"/>
    <mergeCell ref="G22:I22"/>
    <mergeCell ref="G23:I23"/>
    <mergeCell ref="G24:I24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17" min="2" style="0" width="8"/>
    <col collapsed="false" customWidth="true" hidden="false" outlineLevel="0" max="20" min="18" style="0" width="9"/>
    <col collapsed="false" customWidth="true" hidden="false" outlineLevel="0" max="21" min="21" style="0" width="10"/>
  </cols>
  <sheetData>
    <row r="1" customFormat="false" ht="16.15" hidden="false" customHeight="false" outlineLevel="0" collapsed="false">
      <c r="A1" s="1" t="s">
        <v>696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697</v>
      </c>
    </row>
    <row r="5" customFormat="false" ht="15" hidden="false" customHeight="false" outlineLevel="0" collapsed="false">
      <c r="A5" s="4" t="s">
        <v>698</v>
      </c>
      <c r="B5" s="37" t="s">
        <v>699</v>
      </c>
      <c r="C5" s="8" t="n">
        <v>0</v>
      </c>
      <c r="D5" s="37" t="s">
        <v>700</v>
      </c>
      <c r="E5" s="8" t="n">
        <v>10</v>
      </c>
      <c r="F5" s="37" t="s">
        <v>701</v>
      </c>
      <c r="G5" s="8" t="n">
        <v>0</v>
      </c>
      <c r="H5" s="37" t="s">
        <v>702</v>
      </c>
      <c r="I5" s="8" t="n">
        <v>8</v>
      </c>
      <c r="K5" s="2" t="s">
        <v>703</v>
      </c>
    </row>
    <row r="7" customFormat="false" ht="15" hidden="false" customHeight="false" outlineLevel="0" collapsed="false">
      <c r="A7" s="10" t="s">
        <v>704</v>
      </c>
    </row>
    <row r="8" customFormat="false" ht="30" hidden="false" customHeight="true" outlineLevel="0" collapsed="false">
      <c r="A8" s="3" t="s">
        <v>705</v>
      </c>
      <c r="B8" s="3" t="s">
        <v>706</v>
      </c>
      <c r="C8" s="3" t="s">
        <v>707</v>
      </c>
      <c r="D8" s="3" t="s">
        <v>708</v>
      </c>
      <c r="E8" s="3" t="s">
        <v>709</v>
      </c>
      <c r="F8" s="3" t="s">
        <v>710</v>
      </c>
      <c r="G8" s="3" t="s">
        <v>711</v>
      </c>
      <c r="H8" s="3" t="s">
        <v>712</v>
      </c>
      <c r="I8" s="3" t="s">
        <v>713</v>
      </c>
      <c r="J8" s="3" t="s">
        <v>714</v>
      </c>
      <c r="K8" s="3" t="s">
        <v>715</v>
      </c>
      <c r="L8" s="3" t="s">
        <v>716</v>
      </c>
      <c r="M8" s="3" t="s">
        <v>717</v>
      </c>
      <c r="N8" s="3" t="s">
        <v>718</v>
      </c>
      <c r="O8" s="3" t="s">
        <v>719</v>
      </c>
      <c r="P8" s="3" t="s">
        <v>720</v>
      </c>
      <c r="Q8" s="3" t="s">
        <v>721</v>
      </c>
      <c r="R8" s="3" t="s">
        <v>722</v>
      </c>
      <c r="S8" s="3" t="s">
        <v>723</v>
      </c>
    </row>
    <row r="9" customFormat="false" ht="15" hidden="false" customHeight="false" outlineLevel="0" collapsed="false">
      <c r="A9" s="37" t="s">
        <v>718</v>
      </c>
      <c r="B9" s="8" t="n">
        <v>2</v>
      </c>
      <c r="C9" s="8" t="n">
        <v>2</v>
      </c>
      <c r="D9" s="8" t="n">
        <v>8</v>
      </c>
      <c r="E9" s="8" t="n">
        <v>6</v>
      </c>
      <c r="F9" s="34" t="n">
        <f aca="false">IF(C9&gt;$I$5,1,0)</f>
        <v>0</v>
      </c>
      <c r="G9" s="34" t="n">
        <f aca="false">IF(C9&lt;$G$5,1,0)</f>
        <v>0</v>
      </c>
      <c r="H9" s="34" t="n">
        <f aca="false">IF(B9&gt;$E$5,1,0)</f>
        <v>0</v>
      </c>
      <c r="I9" s="34" t="n">
        <f aca="false">IF(B9&lt;$C$5,1,0)</f>
        <v>0</v>
      </c>
      <c r="J9" s="34" t="n">
        <f aca="false">8*F9+4*G9+2*H9+I9</f>
        <v>0</v>
      </c>
      <c r="K9" s="34" t="n">
        <f aca="false">IF(E9&gt;$I$5,1,0)</f>
        <v>0</v>
      </c>
      <c r="L9" s="34" t="n">
        <f aca="false">IF(E9&lt;$G$5,1,0)</f>
        <v>0</v>
      </c>
      <c r="M9" s="34" t="n">
        <f aca="false">IF(D9&gt;$E$5,1,0)</f>
        <v>0</v>
      </c>
      <c r="N9" s="34" t="n">
        <f aca="false">IF(D9&lt;$C$5,1,0)</f>
        <v>0</v>
      </c>
      <c r="O9" s="34" t="n">
        <f aca="false">8*K9+4*L9+2*M9+N9</f>
        <v>0</v>
      </c>
      <c r="P9" s="12" t="str">
        <f aca="false">F9&amp;G9&amp;H9&amp;I9</f>
        <v>0000</v>
      </c>
      <c r="Q9" s="12" t="str">
        <f aca="false">K9&amp;L9&amp;M9&amp;N9</f>
        <v>0000</v>
      </c>
      <c r="R9" s="34" t="n">
        <f aca="false">F9*K9+G9*L9+H9*M9+I9*N9</f>
        <v>0</v>
      </c>
      <c r="S9" s="17" t="str">
        <f aca="false">IF(J9+O9=0,"accept (both inside)",IF(R9&gt;0,"reject (same side)","clip (subdivide)"))</f>
        <v>accept (both inside)</v>
      </c>
      <c r="T9" s="17"/>
      <c r="U9" s="17"/>
    </row>
    <row r="10" customFormat="false" ht="15" hidden="false" customHeight="false" outlineLevel="0" collapsed="false">
      <c r="A10" s="37" t="s">
        <v>724</v>
      </c>
      <c r="B10" s="8" t="n">
        <v>-2</v>
      </c>
      <c r="C10" s="8" t="n">
        <v>-1</v>
      </c>
      <c r="D10" s="8" t="n">
        <v>-1</v>
      </c>
      <c r="E10" s="8" t="n">
        <v>9</v>
      </c>
      <c r="F10" s="34" t="n">
        <f aca="false">IF(C10&gt;$I$5,1,0)</f>
        <v>0</v>
      </c>
      <c r="G10" s="34" t="n">
        <f aca="false">IF(C10&lt;$G$5,1,0)</f>
        <v>1</v>
      </c>
      <c r="H10" s="34" t="n">
        <f aca="false">IF(B10&gt;$E$5,1,0)</f>
        <v>0</v>
      </c>
      <c r="I10" s="34" t="n">
        <f aca="false">IF(B10&lt;$C$5,1,0)</f>
        <v>1</v>
      </c>
      <c r="J10" s="34" t="n">
        <f aca="false">8*F10+4*G10+2*H10+I10</f>
        <v>5</v>
      </c>
      <c r="K10" s="34" t="n">
        <f aca="false">IF(E10&gt;$I$5,1,0)</f>
        <v>1</v>
      </c>
      <c r="L10" s="34" t="n">
        <f aca="false">IF(E10&lt;$G$5,1,0)</f>
        <v>0</v>
      </c>
      <c r="M10" s="34" t="n">
        <f aca="false">IF(D10&gt;$E$5,1,0)</f>
        <v>0</v>
      </c>
      <c r="N10" s="34" t="n">
        <f aca="false">IF(D10&lt;$C$5,1,0)</f>
        <v>1</v>
      </c>
      <c r="O10" s="34" t="n">
        <f aca="false">8*K10+4*L10+2*M10+N10</f>
        <v>9</v>
      </c>
      <c r="P10" s="12" t="str">
        <f aca="false">F10&amp;G10&amp;H10&amp;I10</f>
        <v>0101</v>
      </c>
      <c r="Q10" s="12" t="str">
        <f aca="false">K10&amp;L10&amp;M10&amp;N10</f>
        <v>1001</v>
      </c>
      <c r="R10" s="34" t="n">
        <f aca="false">F10*K10+G10*L10+H10*M10+I10*N10</f>
        <v>1</v>
      </c>
      <c r="S10" s="17" t="str">
        <f aca="false">IF(J10+O10=0,"accept (both inside)",IF(R10&gt;0,"reject (same side)","clip (subdivide)"))</f>
        <v>reject (same side)</v>
      </c>
      <c r="T10" s="17"/>
      <c r="U10" s="17"/>
    </row>
    <row r="11" customFormat="false" ht="15" hidden="false" customHeight="false" outlineLevel="0" collapsed="false">
      <c r="A11" s="37" t="s">
        <v>725</v>
      </c>
      <c r="B11" s="8" t="n">
        <v>-3</v>
      </c>
      <c r="C11" s="8" t="n">
        <v>4</v>
      </c>
      <c r="D11" s="8" t="n">
        <v>6</v>
      </c>
      <c r="E11" s="8" t="n">
        <v>12</v>
      </c>
      <c r="F11" s="34" t="n">
        <f aca="false">IF(C11&gt;$I$5,1,0)</f>
        <v>0</v>
      </c>
      <c r="G11" s="34" t="n">
        <f aca="false">IF(C11&lt;$G$5,1,0)</f>
        <v>0</v>
      </c>
      <c r="H11" s="34" t="n">
        <f aca="false">IF(B11&gt;$E$5,1,0)</f>
        <v>0</v>
      </c>
      <c r="I11" s="34" t="n">
        <f aca="false">IF(B11&lt;$C$5,1,0)</f>
        <v>1</v>
      </c>
      <c r="J11" s="34" t="n">
        <f aca="false">8*F11+4*G11+2*H11+I11</f>
        <v>1</v>
      </c>
      <c r="K11" s="34" t="n">
        <f aca="false">IF(E11&gt;$I$5,1,0)</f>
        <v>1</v>
      </c>
      <c r="L11" s="34" t="n">
        <f aca="false">IF(E11&lt;$G$5,1,0)</f>
        <v>0</v>
      </c>
      <c r="M11" s="34" t="n">
        <f aca="false">IF(D11&gt;$E$5,1,0)</f>
        <v>0</v>
      </c>
      <c r="N11" s="34" t="n">
        <f aca="false">IF(D11&lt;$C$5,1,0)</f>
        <v>0</v>
      </c>
      <c r="O11" s="34" t="n">
        <f aca="false">8*K11+4*L11+2*M11+N11</f>
        <v>8</v>
      </c>
      <c r="P11" s="12" t="str">
        <f aca="false">F11&amp;G11&amp;H11&amp;I11</f>
        <v>0001</v>
      </c>
      <c r="Q11" s="12" t="str">
        <f aca="false">K11&amp;L11&amp;M11&amp;N11</f>
        <v>1000</v>
      </c>
      <c r="R11" s="34" t="n">
        <f aca="false">F11*K11+G11*L11+H11*M11+I11*N11</f>
        <v>0</v>
      </c>
      <c r="S11" s="17" t="str">
        <f aca="false">IF(J11+O11=0,"accept (both inside)",IF(R11&gt;0,"reject (same side)","clip (subdivide)"))</f>
        <v>clip (subdivide)</v>
      </c>
      <c r="T11" s="17"/>
      <c r="U11" s="17"/>
    </row>
    <row r="12" customFormat="false" ht="15" hidden="false" customHeight="false" outlineLevel="0" collapsed="false">
      <c r="A12" s="37" t="s">
        <v>726</v>
      </c>
      <c r="B12" s="8" t="n">
        <v>-2</v>
      </c>
      <c r="C12" s="8" t="n">
        <v>3</v>
      </c>
      <c r="D12" s="8" t="n">
        <v>12</v>
      </c>
      <c r="E12" s="8" t="n">
        <v>5</v>
      </c>
      <c r="F12" s="34" t="n">
        <f aca="false">IF(C12&gt;$I$5,1,0)</f>
        <v>0</v>
      </c>
      <c r="G12" s="34" t="n">
        <f aca="false">IF(C12&lt;$G$5,1,0)</f>
        <v>0</v>
      </c>
      <c r="H12" s="34" t="n">
        <f aca="false">IF(B12&gt;$E$5,1,0)</f>
        <v>0</v>
      </c>
      <c r="I12" s="34" t="n">
        <f aca="false">IF(B12&lt;$C$5,1,0)</f>
        <v>1</v>
      </c>
      <c r="J12" s="34" t="n">
        <f aca="false">8*F12+4*G12+2*H12+I12</f>
        <v>1</v>
      </c>
      <c r="K12" s="34" t="n">
        <f aca="false">IF(E12&gt;$I$5,1,0)</f>
        <v>0</v>
      </c>
      <c r="L12" s="34" t="n">
        <f aca="false">IF(E12&lt;$G$5,1,0)</f>
        <v>0</v>
      </c>
      <c r="M12" s="34" t="n">
        <f aca="false">IF(D12&gt;$E$5,1,0)</f>
        <v>1</v>
      </c>
      <c r="N12" s="34" t="n">
        <f aca="false">IF(D12&lt;$C$5,1,0)</f>
        <v>0</v>
      </c>
      <c r="O12" s="34" t="n">
        <f aca="false">8*K12+4*L12+2*M12+N12</f>
        <v>2</v>
      </c>
      <c r="P12" s="12" t="str">
        <f aca="false">F12&amp;G12&amp;H12&amp;I12</f>
        <v>0001</v>
      </c>
      <c r="Q12" s="12" t="str">
        <f aca="false">K12&amp;L12&amp;M12&amp;N12</f>
        <v>0010</v>
      </c>
      <c r="R12" s="34" t="n">
        <f aca="false">F12*K12+G12*L12+H12*M12+I12*N12</f>
        <v>0</v>
      </c>
      <c r="S12" s="17" t="str">
        <f aca="false">IF(J12+O12=0,"accept (both inside)",IF(R12&gt;0,"reject (same side)","clip (subdivide)"))</f>
        <v>clip (subdivide)</v>
      </c>
      <c r="T12" s="17"/>
      <c r="U12" s="17"/>
    </row>
    <row r="14" customFormat="false" ht="15" hidden="false" customHeight="false" outlineLevel="0" collapsed="false">
      <c r="A14" s="10" t="s">
        <v>727</v>
      </c>
    </row>
    <row r="15" customFormat="false" ht="43.5" hidden="false" customHeight="true" outlineLevel="0" collapsed="false">
      <c r="A15" s="3" t="s">
        <v>705</v>
      </c>
      <c r="B15" s="3" t="s">
        <v>728</v>
      </c>
      <c r="C15" s="3" t="s">
        <v>729</v>
      </c>
      <c r="D15" s="3" t="s">
        <v>730</v>
      </c>
      <c r="E15" s="3" t="s">
        <v>731</v>
      </c>
      <c r="F15" s="3" t="s">
        <v>732</v>
      </c>
      <c r="G15" s="3" t="s">
        <v>733</v>
      </c>
      <c r="H15" s="3" t="s">
        <v>734</v>
      </c>
      <c r="I15" s="3" t="s">
        <v>735</v>
      </c>
      <c r="J15" s="3" t="s">
        <v>736</v>
      </c>
      <c r="K15" s="3" t="s">
        <v>737</v>
      </c>
      <c r="L15" s="3" t="s">
        <v>738</v>
      </c>
      <c r="M15" s="3" t="s">
        <v>739</v>
      </c>
      <c r="N15" s="3" t="s">
        <v>740</v>
      </c>
      <c r="O15" s="3" t="s">
        <v>741</v>
      </c>
      <c r="P15" s="3" t="s">
        <v>742</v>
      </c>
      <c r="Q15" s="3" t="s">
        <v>743</v>
      </c>
      <c r="R15" s="3" t="s">
        <v>744</v>
      </c>
      <c r="S15" s="3" t="s">
        <v>745</v>
      </c>
    </row>
    <row r="16" customFormat="false" ht="15" hidden="false" customHeight="false" outlineLevel="0" collapsed="false">
      <c r="A16" s="42" t="str">
        <f aca="false">A9</f>
        <v>L1</v>
      </c>
      <c r="B16" s="7" t="n">
        <f aca="false">D9-B9</f>
        <v>6</v>
      </c>
      <c r="C16" s="7" t="n">
        <f aca="false">E9-C9</f>
        <v>4</v>
      </c>
      <c r="D16" s="7" t="n">
        <f aca="false">-B16</f>
        <v>-6</v>
      </c>
      <c r="E16" s="7" t="n">
        <f aca="false">B16</f>
        <v>6</v>
      </c>
      <c r="F16" s="7" t="n">
        <f aca="false">-C16</f>
        <v>-4</v>
      </c>
      <c r="G16" s="7" t="n">
        <f aca="false">C16</f>
        <v>4</v>
      </c>
      <c r="H16" s="7" t="n">
        <f aca="false">B9-$C$5</f>
        <v>2</v>
      </c>
      <c r="I16" s="7" t="n">
        <f aca="false">$E$5-B9</f>
        <v>8</v>
      </c>
      <c r="J16" s="7" t="n">
        <f aca="false">C9-$G$5</f>
        <v>2</v>
      </c>
      <c r="K16" s="7" t="n">
        <f aca="false">$I$5-C9</f>
        <v>6</v>
      </c>
      <c r="L16" s="17" t="n">
        <f aca="false">MAX(0,IF(D16&lt;0,H16/D16,0),IF(E16&lt;0,I16/E16,0),IF(F16&lt;0,J16/F16,0),IF(G16&lt;0,K16/G16,0))</f>
        <v>0</v>
      </c>
      <c r="M16" s="17" t="n">
        <f aca="false">MIN(1,IF(D16&gt;0,H16/D16,1),IF(E16&gt;0,I16/E16,1),IF(F16&gt;0,J16/F16,1),IF(G16&gt;0,K16/G16,1))</f>
        <v>1</v>
      </c>
      <c r="N16" s="12" t="str">
        <f aca="false">IF(OR(AND(D16=0,H16&lt;0),AND(E16=0,I16&lt;0),AND(F16=0,J16&lt;0),AND(G16=0,K16&lt;0)),"yes","no")</f>
        <v>no</v>
      </c>
      <c r="O16" s="12" t="str">
        <f aca="false">IF(AND(N16="no",L16&lt;=M16),"yes","no")</f>
        <v>yes</v>
      </c>
      <c r="P16" s="17" t="n">
        <f aca="false">IF(O16="yes",B9+L16*B16,"-")</f>
        <v>2</v>
      </c>
      <c r="Q16" s="17" t="n">
        <f aca="false">IF(O16="yes",C9+L16*C16,"-")</f>
        <v>2</v>
      </c>
      <c r="R16" s="17" t="n">
        <f aca="false">IF(O16="yes",B9+M16*B16,"-")</f>
        <v>8</v>
      </c>
      <c r="S16" s="17" t="n">
        <f aca="false">IF(O16="yes",C9+M16*C16,"-")</f>
        <v>6</v>
      </c>
    </row>
    <row r="17" customFormat="false" ht="15" hidden="false" customHeight="false" outlineLevel="0" collapsed="false">
      <c r="A17" s="42" t="str">
        <f aca="false">A10</f>
        <v>L2</v>
      </c>
      <c r="B17" s="7" t="n">
        <f aca="false">D10-B10</f>
        <v>1</v>
      </c>
      <c r="C17" s="7" t="n">
        <f aca="false">E10-C10</f>
        <v>10</v>
      </c>
      <c r="D17" s="7" t="n">
        <f aca="false">-B17</f>
        <v>-1</v>
      </c>
      <c r="E17" s="7" t="n">
        <f aca="false">B17</f>
        <v>1</v>
      </c>
      <c r="F17" s="7" t="n">
        <f aca="false">-C17</f>
        <v>-10</v>
      </c>
      <c r="G17" s="7" t="n">
        <f aca="false">C17</f>
        <v>10</v>
      </c>
      <c r="H17" s="7" t="n">
        <f aca="false">B10-$C$5</f>
        <v>-2</v>
      </c>
      <c r="I17" s="7" t="n">
        <f aca="false">$E$5-B10</f>
        <v>12</v>
      </c>
      <c r="J17" s="7" t="n">
        <f aca="false">C10-$G$5</f>
        <v>-1</v>
      </c>
      <c r="K17" s="7" t="n">
        <f aca="false">$I$5-C10</f>
        <v>9</v>
      </c>
      <c r="L17" s="17" t="n">
        <f aca="false">MAX(0,IF(D17&lt;0,H17/D17,0),IF(E17&lt;0,I17/E17,0),IF(F17&lt;0,J17/F17,0),IF(G17&lt;0,K17/G17,0))</f>
        <v>2</v>
      </c>
      <c r="M17" s="17" t="n">
        <f aca="false">MIN(1,IF(D17&gt;0,H17/D17,1),IF(E17&gt;0,I17/E17,1),IF(F17&gt;0,J17/F17,1),IF(G17&gt;0,K17/G17,1))</f>
        <v>0.9</v>
      </c>
      <c r="N17" s="12" t="str">
        <f aca="false">IF(OR(AND(D17=0,H17&lt;0),AND(E17=0,I17&lt;0),AND(F17=0,J17&lt;0),AND(G17=0,K17&lt;0)),"yes","no")</f>
        <v>no</v>
      </c>
      <c r="O17" s="12" t="str">
        <f aca="false">IF(AND(N17="no",L17&lt;=M17),"yes","no")</f>
        <v>no</v>
      </c>
      <c r="P17" s="17" t="str">
        <f aca="false">IF(O17="yes",B10+L17*B17,"-")</f>
        <v>-</v>
      </c>
      <c r="Q17" s="17" t="str">
        <f aca="false">IF(O17="yes",C10+L17*C17,"-")</f>
        <v>-</v>
      </c>
      <c r="R17" s="17" t="str">
        <f aca="false">IF(O17="yes",B10+M17*B17,"-")</f>
        <v>-</v>
      </c>
      <c r="S17" s="17" t="str">
        <f aca="false">IF(O17="yes",C10+M17*C17,"-")</f>
        <v>-</v>
      </c>
    </row>
    <row r="18" customFormat="false" ht="15" hidden="false" customHeight="false" outlineLevel="0" collapsed="false">
      <c r="A18" s="42" t="str">
        <f aca="false">A11</f>
        <v>L3</v>
      </c>
      <c r="B18" s="7" t="n">
        <f aca="false">D11-B11</f>
        <v>9</v>
      </c>
      <c r="C18" s="7" t="n">
        <f aca="false">E11-C11</f>
        <v>8</v>
      </c>
      <c r="D18" s="7" t="n">
        <f aca="false">-B18</f>
        <v>-9</v>
      </c>
      <c r="E18" s="7" t="n">
        <f aca="false">B18</f>
        <v>9</v>
      </c>
      <c r="F18" s="7" t="n">
        <f aca="false">-C18</f>
        <v>-8</v>
      </c>
      <c r="G18" s="7" t="n">
        <f aca="false">C18</f>
        <v>8</v>
      </c>
      <c r="H18" s="7" t="n">
        <f aca="false">B11-$C$5</f>
        <v>-3</v>
      </c>
      <c r="I18" s="7" t="n">
        <f aca="false">$E$5-B11</f>
        <v>13</v>
      </c>
      <c r="J18" s="7" t="n">
        <f aca="false">C11-$G$5</f>
        <v>4</v>
      </c>
      <c r="K18" s="7" t="n">
        <f aca="false">$I$5-C11</f>
        <v>4</v>
      </c>
      <c r="L18" s="17" t="n">
        <f aca="false">MAX(0,IF(D18&lt;0,H18/D18,0),IF(E18&lt;0,I18/E18,0),IF(F18&lt;0,J18/F18,0),IF(G18&lt;0,K18/G18,0))</f>
        <v>0.333333333333333</v>
      </c>
      <c r="M18" s="17" t="n">
        <f aca="false">MIN(1,IF(D18&gt;0,H18/D18,1),IF(E18&gt;0,I18/E18,1),IF(F18&gt;0,J18/F18,1),IF(G18&gt;0,K18/G18,1))</f>
        <v>0.5</v>
      </c>
      <c r="N18" s="12" t="str">
        <f aca="false">IF(OR(AND(D18=0,H18&lt;0),AND(E18=0,I18&lt;0),AND(F18=0,J18&lt;0),AND(G18=0,K18&lt;0)),"yes","no")</f>
        <v>no</v>
      </c>
      <c r="O18" s="12" t="str">
        <f aca="false">IF(AND(N18="no",L18&lt;=M18),"yes","no")</f>
        <v>yes</v>
      </c>
      <c r="P18" s="17" t="n">
        <f aca="false">IF(O18="yes",B11+L18*B18,"-")</f>
        <v>0</v>
      </c>
      <c r="Q18" s="17" t="n">
        <f aca="false">IF(O18="yes",C11+L18*C18,"-")</f>
        <v>6.66666666666667</v>
      </c>
      <c r="R18" s="17" t="n">
        <f aca="false">IF(O18="yes",B11+M18*B18,"-")</f>
        <v>1.5</v>
      </c>
      <c r="S18" s="17" t="n">
        <f aca="false">IF(O18="yes",C11+M18*C18,"-")</f>
        <v>8</v>
      </c>
    </row>
    <row r="19" customFormat="false" ht="15" hidden="false" customHeight="false" outlineLevel="0" collapsed="false">
      <c r="A19" s="42" t="str">
        <f aca="false">A12</f>
        <v>L4</v>
      </c>
      <c r="B19" s="7" t="n">
        <f aca="false">D12-B12</f>
        <v>14</v>
      </c>
      <c r="C19" s="7" t="n">
        <f aca="false">E12-C12</f>
        <v>2</v>
      </c>
      <c r="D19" s="7" t="n">
        <f aca="false">-B19</f>
        <v>-14</v>
      </c>
      <c r="E19" s="7" t="n">
        <f aca="false">B19</f>
        <v>14</v>
      </c>
      <c r="F19" s="7" t="n">
        <f aca="false">-C19</f>
        <v>-2</v>
      </c>
      <c r="G19" s="7" t="n">
        <f aca="false">C19</f>
        <v>2</v>
      </c>
      <c r="H19" s="7" t="n">
        <f aca="false">B12-$C$5</f>
        <v>-2</v>
      </c>
      <c r="I19" s="7" t="n">
        <f aca="false">$E$5-B12</f>
        <v>12</v>
      </c>
      <c r="J19" s="7" t="n">
        <f aca="false">C12-$G$5</f>
        <v>3</v>
      </c>
      <c r="K19" s="7" t="n">
        <f aca="false">$I$5-C12</f>
        <v>5</v>
      </c>
      <c r="L19" s="17" t="n">
        <f aca="false">MAX(0,IF(D19&lt;0,H19/D19,0),IF(E19&lt;0,I19/E19,0),IF(F19&lt;0,J19/F19,0),IF(G19&lt;0,K19/G19,0))</f>
        <v>0.142857142857143</v>
      </c>
      <c r="M19" s="17" t="n">
        <f aca="false">MIN(1,IF(D19&gt;0,H19/D19,1),IF(E19&gt;0,I19/E19,1),IF(F19&gt;0,J19/F19,1),IF(G19&gt;0,K19/G19,1))</f>
        <v>0.857142857142857</v>
      </c>
      <c r="N19" s="12" t="str">
        <f aca="false">IF(OR(AND(D19=0,H19&lt;0),AND(E19=0,I19&lt;0),AND(F19=0,J19&lt;0),AND(G19=0,K19&lt;0)),"yes","no")</f>
        <v>no</v>
      </c>
      <c r="O19" s="12" t="str">
        <f aca="false">IF(AND(N19="no",L19&lt;=M19),"yes","no")</f>
        <v>yes</v>
      </c>
      <c r="P19" s="17" t="n">
        <f aca="false">IF(O19="yes",B12+L19*B19,"-")</f>
        <v>0</v>
      </c>
      <c r="Q19" s="17" t="n">
        <f aca="false">IF(O19="yes",C12+L19*C19,"-")</f>
        <v>3.28571428571429</v>
      </c>
      <c r="R19" s="17" t="n">
        <f aca="false">IF(O19="yes",B12+M19*B19,"-")</f>
        <v>10</v>
      </c>
      <c r="S19" s="17" t="n">
        <f aca="false">IF(O19="yes",C12+M19*C19,"-")</f>
        <v>4.71428571428571</v>
      </c>
    </row>
    <row r="21" customFormat="false" ht="15" hidden="false" customHeight="false" outlineLevel="0" collapsed="false">
      <c r="A21" s="10" t="s">
        <v>746</v>
      </c>
    </row>
    <row r="22" customFormat="false" ht="15" hidden="false" customHeight="false" outlineLevel="0" collapsed="false">
      <c r="A22" s="4" t="s">
        <v>747</v>
      </c>
      <c r="B22" s="37" t="s">
        <v>748</v>
      </c>
      <c r="C22" s="8" t="n">
        <v>-2</v>
      </c>
      <c r="D22" s="8" t="n">
        <v>3</v>
      </c>
      <c r="E22" s="37" t="s">
        <v>192</v>
      </c>
      <c r="F22" s="8" t="n">
        <v>7</v>
      </c>
      <c r="G22" s="8" t="n">
        <v>-2</v>
      </c>
      <c r="H22" s="37" t="s">
        <v>749</v>
      </c>
      <c r="I22" s="8" t="n">
        <v>12</v>
      </c>
      <c r="J22" s="8" t="n">
        <v>10</v>
      </c>
    </row>
    <row r="23" customFormat="false" ht="15" hidden="false" customHeight="false" outlineLevel="0" collapsed="false">
      <c r="A23" s="10" t="s">
        <v>750</v>
      </c>
      <c r="L23" s="10" t="s">
        <v>751</v>
      </c>
    </row>
    <row r="24" customFormat="false" ht="18" hidden="false" customHeight="true" outlineLevel="0" collapsed="false">
      <c r="A24" s="3" t="s">
        <v>752</v>
      </c>
      <c r="B24" s="3" t="s">
        <v>181</v>
      </c>
      <c r="C24" s="3" t="s">
        <v>182</v>
      </c>
      <c r="D24" s="3" t="s">
        <v>753</v>
      </c>
      <c r="E24" s="3" t="s">
        <v>754</v>
      </c>
      <c r="F24" s="3" t="s">
        <v>755</v>
      </c>
      <c r="G24" s="3" t="s">
        <v>756</v>
      </c>
      <c r="H24" s="3" t="s">
        <v>757</v>
      </c>
      <c r="I24" s="3" t="s">
        <v>758</v>
      </c>
      <c r="J24" s="3" t="s">
        <v>759</v>
      </c>
      <c r="L24" s="3" t="s">
        <v>752</v>
      </c>
      <c r="M24" s="3" t="s">
        <v>181</v>
      </c>
      <c r="N24" s="3" t="s">
        <v>182</v>
      </c>
      <c r="O24" s="3" t="s">
        <v>753</v>
      </c>
      <c r="P24" s="3" t="s">
        <v>754</v>
      </c>
      <c r="Q24" s="3" t="s">
        <v>755</v>
      </c>
      <c r="R24" s="3" t="s">
        <v>756</v>
      </c>
      <c r="S24" s="3" t="s">
        <v>757</v>
      </c>
      <c r="T24" s="3" t="s">
        <v>758</v>
      </c>
      <c r="U24" s="3" t="s">
        <v>759</v>
      </c>
    </row>
    <row r="25" customFormat="false" ht="15" hidden="false" customHeight="false" outlineLevel="0" collapsed="false">
      <c r="A25" s="6" t="s">
        <v>760</v>
      </c>
      <c r="B25" s="17" t="n">
        <f aca="false">C22</f>
        <v>-2</v>
      </c>
      <c r="C25" s="17" t="n">
        <f aca="false">D22</f>
        <v>3</v>
      </c>
      <c r="D25" s="17" t="n">
        <f aca="false">F22</f>
        <v>7</v>
      </c>
      <c r="E25" s="17" t="n">
        <f aca="false">G22</f>
        <v>-2</v>
      </c>
      <c r="F25" s="34" t="n">
        <f aca="false">IF(B25&gt;=$C$5,1,0)</f>
        <v>0</v>
      </c>
      <c r="G25" s="34" t="n">
        <f aca="false">IF(D25&gt;=$C$5,1,0)</f>
        <v>1</v>
      </c>
      <c r="H25" s="17" t="n">
        <f aca="false">IF(F25&lt;&gt;G25,$C$5,"-")</f>
        <v>0</v>
      </c>
      <c r="I25" s="17" t="n">
        <f aca="false">IF(F25&lt;&gt;G25,C25+($C$5-B25)*(E25-C25)/(D25-B25),"-")</f>
        <v>1.88888888888889</v>
      </c>
      <c r="J25" s="12" t="str">
        <f aca="false">IF(F25+G25=2,"P",IF(G25=1,"I, P",IF(F25=1,"I","none")))</f>
        <v>I, P</v>
      </c>
      <c r="L25" s="6" t="s">
        <v>760</v>
      </c>
      <c r="M25" s="17" t="n">
        <f aca="false">H25</f>
        <v>0</v>
      </c>
      <c r="N25" s="17" t="n">
        <f aca="false">I25</f>
        <v>1.88888888888889</v>
      </c>
      <c r="O25" s="17" t="n">
        <f aca="false">D25</f>
        <v>7</v>
      </c>
      <c r="P25" s="17" t="n">
        <f aca="false">E25</f>
        <v>-2</v>
      </c>
      <c r="Q25" s="34" t="n">
        <f aca="false">IF(M25&lt;=$E$5,1,0)</f>
        <v>1</v>
      </c>
      <c r="R25" s="34" t="n">
        <f aca="false">IF(O25&lt;=$E$5,1,0)</f>
        <v>1</v>
      </c>
      <c r="S25" s="17" t="str">
        <f aca="false">IF(Q25&lt;&gt;R25,$E$5,"-")</f>
        <v>-</v>
      </c>
      <c r="T25" s="17" t="str">
        <f aca="false">IF(Q25&lt;&gt;R25,N25+($E$5-M25)*(P25-N25)/(O25-M25),"-")</f>
        <v>-</v>
      </c>
      <c r="U25" s="12" t="str">
        <f aca="false">IF(Q25+R25=2,"P",IF(R25=1,"I, P",IF(Q25=1,"I","none")))</f>
        <v>P</v>
      </c>
    </row>
    <row r="26" customFormat="false" ht="15" hidden="false" customHeight="false" outlineLevel="0" collapsed="false">
      <c r="A26" s="6" t="s">
        <v>761</v>
      </c>
      <c r="B26" s="17" t="n">
        <f aca="false">F22</f>
        <v>7</v>
      </c>
      <c r="C26" s="17" t="n">
        <f aca="false">G22</f>
        <v>-2</v>
      </c>
      <c r="D26" s="17" t="n">
        <f aca="false">I22</f>
        <v>12</v>
      </c>
      <c r="E26" s="17" t="n">
        <f aca="false">J22</f>
        <v>10</v>
      </c>
      <c r="F26" s="34" t="n">
        <f aca="false">IF(B26&gt;=$C$5,1,0)</f>
        <v>1</v>
      </c>
      <c r="G26" s="34" t="n">
        <f aca="false">IF(D26&gt;=$C$5,1,0)</f>
        <v>1</v>
      </c>
      <c r="H26" s="17" t="str">
        <f aca="false">IF(F26&lt;&gt;G26,$C$5,"-")</f>
        <v>-</v>
      </c>
      <c r="I26" s="17" t="str">
        <f aca="false">IF(F26&lt;&gt;G26,C26+($C$5-B26)*(E26-C26)/(D26-B26),"-")</f>
        <v>-</v>
      </c>
      <c r="J26" s="12" t="str">
        <f aca="false">IF(F26+G26=2,"P",IF(G26=1,"I, P",IF(F26=1,"I","none")))</f>
        <v>P</v>
      </c>
      <c r="L26" s="6" t="s">
        <v>761</v>
      </c>
      <c r="M26" s="17" t="n">
        <f aca="false">D25</f>
        <v>7</v>
      </c>
      <c r="N26" s="17" t="n">
        <f aca="false">E25</f>
        <v>-2</v>
      </c>
      <c r="O26" s="17" t="n">
        <f aca="false">D26</f>
        <v>12</v>
      </c>
      <c r="P26" s="17" t="n">
        <f aca="false">E26</f>
        <v>10</v>
      </c>
      <c r="Q26" s="34" t="n">
        <f aca="false">IF(M26&lt;=$E$5,1,0)</f>
        <v>1</v>
      </c>
      <c r="R26" s="34" t="n">
        <f aca="false">IF(O26&lt;=$E$5,1,0)</f>
        <v>0</v>
      </c>
      <c r="S26" s="17" t="n">
        <f aca="false">IF(Q26&lt;&gt;R26,$E$5,"-")</f>
        <v>10</v>
      </c>
      <c r="T26" s="17" t="n">
        <f aca="false">IF(Q26&lt;&gt;R26,N26+($E$5-M26)*(P26-N26)/(O26-M26),"-")</f>
        <v>5.2</v>
      </c>
      <c r="U26" s="12" t="str">
        <f aca="false">IF(Q26+R26=2,"P",IF(R26=1,"I, P",IF(Q26=1,"I","none")))</f>
        <v>I</v>
      </c>
    </row>
    <row r="27" customFormat="false" ht="15" hidden="false" customHeight="false" outlineLevel="0" collapsed="false">
      <c r="A27" s="6" t="s">
        <v>762</v>
      </c>
      <c r="B27" s="17" t="n">
        <f aca="false">I22</f>
        <v>12</v>
      </c>
      <c r="C27" s="17" t="n">
        <f aca="false">J22</f>
        <v>10</v>
      </c>
      <c r="D27" s="17" t="n">
        <f aca="false">C22</f>
        <v>-2</v>
      </c>
      <c r="E27" s="17" t="n">
        <f aca="false">D22</f>
        <v>3</v>
      </c>
      <c r="F27" s="34" t="n">
        <f aca="false">IF(B27&gt;=$C$5,1,0)</f>
        <v>1</v>
      </c>
      <c r="G27" s="34" t="n">
        <f aca="false">IF(D27&gt;=$C$5,1,0)</f>
        <v>0</v>
      </c>
      <c r="H27" s="17" t="n">
        <f aca="false">IF(F27&lt;&gt;G27,$C$5,"-")</f>
        <v>0</v>
      </c>
      <c r="I27" s="17" t="n">
        <f aca="false">IF(F27&lt;&gt;G27,C27+($C$5-B27)*(E27-C27)/(D27-B27),"-")</f>
        <v>4</v>
      </c>
      <c r="J27" s="12" t="str">
        <f aca="false">IF(F27+G27=2,"P",IF(G27=1,"I, P",IF(F27=1,"I","none")))</f>
        <v>I</v>
      </c>
      <c r="L27" s="6" t="s">
        <v>763</v>
      </c>
      <c r="M27" s="17" t="n">
        <f aca="false">D26</f>
        <v>12</v>
      </c>
      <c r="N27" s="17" t="n">
        <f aca="false">E26</f>
        <v>10</v>
      </c>
      <c r="O27" s="17" t="n">
        <f aca="false">H27</f>
        <v>0</v>
      </c>
      <c r="P27" s="17" t="n">
        <f aca="false">I27</f>
        <v>4</v>
      </c>
      <c r="Q27" s="34" t="n">
        <f aca="false">IF(M27&lt;=$E$5,1,0)</f>
        <v>0</v>
      </c>
      <c r="R27" s="34" t="n">
        <f aca="false">IF(O27&lt;=$E$5,1,0)</f>
        <v>1</v>
      </c>
      <c r="S27" s="17" t="n">
        <f aca="false">IF(Q27&lt;&gt;R27,$E$5,"-")</f>
        <v>10</v>
      </c>
      <c r="T27" s="17" t="n">
        <f aca="false">IF(Q27&lt;&gt;R27,N27+($E$5-M27)*(P27-N27)/(O27-M27),"-")</f>
        <v>9</v>
      </c>
      <c r="U27" s="12" t="str">
        <f aca="false">IF(Q27+R27=2,"P",IF(R27=1,"I, P",IF(Q27=1,"I","none")))</f>
        <v>I, P</v>
      </c>
    </row>
    <row r="28" customFormat="false" ht="15" hidden="false" customHeight="false" outlineLevel="0" collapsed="false">
      <c r="A28" s="37" t="s">
        <v>764</v>
      </c>
      <c r="B28" s="17" t="str">
        <f aca="false">"("&amp;ROUND(H25,2)&amp;", "&amp;ROUND(I25,2)&amp;")"&amp;" "&amp;"("&amp;ROUND(D25,2)&amp;", "&amp;ROUND(E25,2)&amp;")"&amp;" "&amp;"("&amp;ROUND(D26,2)&amp;", "&amp;ROUND(E26,2)&amp;")"&amp;" "&amp;"("&amp;ROUND(H27,2)&amp;", "&amp;ROUND(I27,2)&amp;")"</f>
        <v>(0, 1.89) (7, -2) (12, 10) (0, 4)</v>
      </c>
      <c r="C28" s="17"/>
      <c r="D28" s="17"/>
      <c r="E28" s="17"/>
      <c r="F28" s="17"/>
      <c r="G28" s="17"/>
      <c r="H28" s="17"/>
      <c r="I28" s="17"/>
      <c r="J28" s="17"/>
      <c r="L28" s="6" t="s">
        <v>765</v>
      </c>
      <c r="M28" s="17" t="n">
        <f aca="false">H27</f>
        <v>0</v>
      </c>
      <c r="N28" s="17" t="n">
        <f aca="false">I27</f>
        <v>4</v>
      </c>
      <c r="O28" s="17" t="n">
        <f aca="false">H25</f>
        <v>0</v>
      </c>
      <c r="P28" s="17" t="n">
        <f aca="false">I25</f>
        <v>1.88888888888889</v>
      </c>
      <c r="Q28" s="34" t="n">
        <f aca="false">IF(M28&lt;=$E$5,1,0)</f>
        <v>1</v>
      </c>
      <c r="R28" s="34" t="n">
        <f aca="false">IF(O28&lt;=$E$5,1,0)</f>
        <v>1</v>
      </c>
      <c r="S28" s="17" t="str">
        <f aca="false">IF(Q28&lt;&gt;R28,$E$5,"-")</f>
        <v>-</v>
      </c>
      <c r="T28" s="17" t="str">
        <f aca="false">IF(Q28&lt;&gt;R28,N28+($E$5-M28)*(P28-N28)/(O28-M28),"-")</f>
        <v>-</v>
      </c>
      <c r="U28" s="12" t="str">
        <f aca="false">IF(Q28+R28=2,"P",IF(R28=1,"I, P",IF(Q28=1,"I","none")))</f>
        <v>P</v>
      </c>
    </row>
    <row r="29" customFormat="false" ht="15" hidden="false" customHeight="false" outlineLevel="0" collapsed="false">
      <c r="A29" s="2" t="s">
        <v>766</v>
      </c>
      <c r="L29" s="37" t="s">
        <v>764</v>
      </c>
      <c r="M29" s="17" t="str">
        <f aca="false">"("&amp;ROUND(O25,2)&amp;", "&amp;ROUND(P25,2)&amp;")"&amp;" "&amp;"("&amp;ROUND(S26,2)&amp;", "&amp;ROUND(T26,2)&amp;")"&amp;" "&amp;"("&amp;ROUND(S27,2)&amp;", "&amp;ROUND(T27,2)&amp;")"&amp;" "&amp;"("&amp;ROUND(O27,2)&amp;", "&amp;ROUND(P27,2)&amp;")"&amp;" "&amp;"("&amp;ROUND(O28,2)&amp;", "&amp;ROUND(P28,2)&amp;")"</f>
        <v>(7, -2) (10, 5.2) (10, 9) (0, 4) (0, 1.89)</v>
      </c>
      <c r="N29" s="17"/>
      <c r="O29" s="17"/>
      <c r="P29" s="17"/>
      <c r="Q29" s="17"/>
      <c r="R29" s="17"/>
      <c r="S29" s="17"/>
      <c r="T29" s="17"/>
      <c r="U29" s="17"/>
    </row>
    <row r="30" customFormat="false" ht="15" hidden="false" customHeight="false" outlineLevel="0" collapsed="false">
      <c r="L30" s="2" t="s">
        <v>767</v>
      </c>
    </row>
    <row r="32" customFormat="false" ht="15" hidden="false" customHeight="false" outlineLevel="0" collapsed="false">
      <c r="A32" s="10" t="s">
        <v>768</v>
      </c>
      <c r="L32" s="10" t="s">
        <v>769</v>
      </c>
    </row>
    <row r="33" customFormat="false" ht="18" hidden="false" customHeight="true" outlineLevel="0" collapsed="false">
      <c r="A33" s="3" t="s">
        <v>752</v>
      </c>
      <c r="B33" s="3" t="s">
        <v>181</v>
      </c>
      <c r="C33" s="3" t="s">
        <v>182</v>
      </c>
      <c r="D33" s="3" t="s">
        <v>753</v>
      </c>
      <c r="E33" s="3" t="s">
        <v>754</v>
      </c>
      <c r="F33" s="3" t="s">
        <v>755</v>
      </c>
      <c r="G33" s="3" t="s">
        <v>756</v>
      </c>
      <c r="H33" s="3" t="s">
        <v>757</v>
      </c>
      <c r="I33" s="3" t="s">
        <v>758</v>
      </c>
      <c r="J33" s="3" t="s">
        <v>759</v>
      </c>
      <c r="L33" s="3" t="s">
        <v>752</v>
      </c>
      <c r="M33" s="3" t="s">
        <v>181</v>
      </c>
      <c r="N33" s="3" t="s">
        <v>182</v>
      </c>
      <c r="O33" s="3" t="s">
        <v>753</v>
      </c>
      <c r="P33" s="3" t="s">
        <v>754</v>
      </c>
      <c r="Q33" s="3" t="s">
        <v>755</v>
      </c>
      <c r="R33" s="3" t="s">
        <v>756</v>
      </c>
      <c r="S33" s="3" t="s">
        <v>757</v>
      </c>
      <c r="T33" s="3" t="s">
        <v>758</v>
      </c>
      <c r="U33" s="3" t="s">
        <v>759</v>
      </c>
    </row>
    <row r="34" customFormat="false" ht="15" hidden="false" customHeight="false" outlineLevel="0" collapsed="false">
      <c r="A34" s="6" t="s">
        <v>760</v>
      </c>
      <c r="B34" s="17" t="n">
        <f aca="false">O25</f>
        <v>7</v>
      </c>
      <c r="C34" s="17" t="n">
        <f aca="false">P25</f>
        <v>-2</v>
      </c>
      <c r="D34" s="17" t="n">
        <f aca="false">S26</f>
        <v>10</v>
      </c>
      <c r="E34" s="17" t="n">
        <f aca="false">T26</f>
        <v>5.2</v>
      </c>
      <c r="F34" s="34" t="n">
        <f aca="false">IF(C34&gt;=$G$5,1,0)</f>
        <v>0</v>
      </c>
      <c r="G34" s="34" t="n">
        <f aca="false">IF(E34&gt;=$G$5,1,0)</f>
        <v>1</v>
      </c>
      <c r="H34" s="17" t="n">
        <f aca="false">IF(F34&lt;&gt;G34,B34+($G$5-C34)*(D34-B34)/(E34-C34),"-")</f>
        <v>7.83333333333333</v>
      </c>
      <c r="I34" s="17" t="n">
        <f aca="false">IF(F34&lt;&gt;G34,$G$5,"-")</f>
        <v>0</v>
      </c>
      <c r="J34" s="12" t="str">
        <f aca="false">IF(F34+G34=2,"P",IF(G34=1,"I, P",IF(F34=1,"I","none")))</f>
        <v>I, P</v>
      </c>
      <c r="L34" s="6" t="s">
        <v>760</v>
      </c>
      <c r="M34" s="17" t="n">
        <f aca="false">H34</f>
        <v>7.83333333333333</v>
      </c>
      <c r="N34" s="17" t="n">
        <f aca="false">I34</f>
        <v>0</v>
      </c>
      <c r="O34" s="17" t="n">
        <f aca="false">D34</f>
        <v>10</v>
      </c>
      <c r="P34" s="17" t="n">
        <f aca="false">E34</f>
        <v>5.2</v>
      </c>
      <c r="Q34" s="34" t="n">
        <f aca="false">IF(N34&lt;=$I$5,1,0)</f>
        <v>1</v>
      </c>
      <c r="R34" s="34" t="n">
        <f aca="false">IF(P34&lt;=$I$5,1,0)</f>
        <v>1</v>
      </c>
      <c r="S34" s="17" t="str">
        <f aca="false">IF(Q34&lt;&gt;R34,M34+($I$5-N34)*(O34-M34)/(P34-N34),"-")</f>
        <v>-</v>
      </c>
      <c r="T34" s="17" t="str">
        <f aca="false">IF(Q34&lt;&gt;R34,$I$5,"-")</f>
        <v>-</v>
      </c>
      <c r="U34" s="12" t="str">
        <f aca="false">IF(Q34+R34=2,"P",IF(R34=1,"I, P",IF(Q34=1,"I","none")))</f>
        <v>P</v>
      </c>
    </row>
    <row r="35" customFormat="false" ht="15" hidden="false" customHeight="false" outlineLevel="0" collapsed="false">
      <c r="A35" s="6" t="s">
        <v>761</v>
      </c>
      <c r="B35" s="17" t="n">
        <f aca="false">S26</f>
        <v>10</v>
      </c>
      <c r="C35" s="17" t="n">
        <f aca="false">T26</f>
        <v>5.2</v>
      </c>
      <c r="D35" s="17" t="n">
        <f aca="false">S27</f>
        <v>10</v>
      </c>
      <c r="E35" s="17" t="n">
        <f aca="false">T27</f>
        <v>9</v>
      </c>
      <c r="F35" s="34" t="n">
        <f aca="false">IF(C35&gt;=$G$5,1,0)</f>
        <v>1</v>
      </c>
      <c r="G35" s="34" t="n">
        <f aca="false">IF(E35&gt;=$G$5,1,0)</f>
        <v>1</v>
      </c>
      <c r="H35" s="17" t="str">
        <f aca="false">IF(F35&lt;&gt;G35,B35+($G$5-C35)*(D35-B35)/(E35-C35),"-")</f>
        <v>-</v>
      </c>
      <c r="I35" s="17" t="str">
        <f aca="false">IF(F35&lt;&gt;G35,$G$5,"-")</f>
        <v>-</v>
      </c>
      <c r="J35" s="12" t="str">
        <f aca="false">IF(F35+G35=2,"P",IF(G35=1,"I, P",IF(F35=1,"I","none")))</f>
        <v>P</v>
      </c>
      <c r="L35" s="6" t="s">
        <v>761</v>
      </c>
      <c r="M35" s="17" t="n">
        <f aca="false">D34</f>
        <v>10</v>
      </c>
      <c r="N35" s="17" t="n">
        <f aca="false">E34</f>
        <v>5.2</v>
      </c>
      <c r="O35" s="17" t="n">
        <f aca="false">D35</f>
        <v>10</v>
      </c>
      <c r="P35" s="17" t="n">
        <f aca="false">E35</f>
        <v>9</v>
      </c>
      <c r="Q35" s="34" t="n">
        <f aca="false">IF(N35&lt;=$I$5,1,0)</f>
        <v>1</v>
      </c>
      <c r="R35" s="34" t="n">
        <f aca="false">IF(P35&lt;=$I$5,1,0)</f>
        <v>0</v>
      </c>
      <c r="S35" s="17" t="n">
        <f aca="false">IF(Q35&lt;&gt;R35,M35+($I$5-N35)*(O35-M35)/(P35-N35),"-")</f>
        <v>10</v>
      </c>
      <c r="T35" s="17" t="n">
        <f aca="false">IF(Q35&lt;&gt;R35,$I$5,"-")</f>
        <v>8</v>
      </c>
      <c r="U35" s="12" t="str">
        <f aca="false">IF(Q35+R35=2,"P",IF(R35=1,"I, P",IF(Q35=1,"I","none")))</f>
        <v>I</v>
      </c>
    </row>
    <row r="36" customFormat="false" ht="15" hidden="false" customHeight="false" outlineLevel="0" collapsed="false">
      <c r="A36" s="6" t="s">
        <v>763</v>
      </c>
      <c r="B36" s="17" t="n">
        <f aca="false">S27</f>
        <v>10</v>
      </c>
      <c r="C36" s="17" t="n">
        <f aca="false">T27</f>
        <v>9</v>
      </c>
      <c r="D36" s="17" t="n">
        <f aca="false">O27</f>
        <v>0</v>
      </c>
      <c r="E36" s="17" t="n">
        <f aca="false">P27</f>
        <v>4</v>
      </c>
      <c r="F36" s="34" t="n">
        <f aca="false">IF(C36&gt;=$G$5,1,0)</f>
        <v>1</v>
      </c>
      <c r="G36" s="34" t="n">
        <f aca="false">IF(E36&gt;=$G$5,1,0)</f>
        <v>1</v>
      </c>
      <c r="H36" s="17" t="str">
        <f aca="false">IF(F36&lt;&gt;G36,B36+($G$5-C36)*(D36-B36)/(E36-C36),"-")</f>
        <v>-</v>
      </c>
      <c r="I36" s="17" t="str">
        <f aca="false">IF(F36&lt;&gt;G36,$G$5,"-")</f>
        <v>-</v>
      </c>
      <c r="J36" s="12" t="str">
        <f aca="false">IF(F36+G36=2,"P",IF(G36=1,"I, P",IF(F36=1,"I","none")))</f>
        <v>P</v>
      </c>
      <c r="L36" s="6" t="s">
        <v>763</v>
      </c>
      <c r="M36" s="17" t="n">
        <f aca="false">D35</f>
        <v>10</v>
      </c>
      <c r="N36" s="17" t="n">
        <f aca="false">E35</f>
        <v>9</v>
      </c>
      <c r="O36" s="17" t="n">
        <f aca="false">D36</f>
        <v>0</v>
      </c>
      <c r="P36" s="17" t="n">
        <f aca="false">E36</f>
        <v>4</v>
      </c>
      <c r="Q36" s="34" t="n">
        <f aca="false">IF(N36&lt;=$I$5,1,0)</f>
        <v>0</v>
      </c>
      <c r="R36" s="34" t="n">
        <f aca="false">IF(P36&lt;=$I$5,1,0)</f>
        <v>1</v>
      </c>
      <c r="S36" s="17" t="n">
        <f aca="false">IF(Q36&lt;&gt;R36,M36+($I$5-N36)*(O36-M36)/(P36-N36),"-")</f>
        <v>8</v>
      </c>
      <c r="T36" s="17" t="n">
        <f aca="false">IF(Q36&lt;&gt;R36,$I$5,"-")</f>
        <v>8</v>
      </c>
      <c r="U36" s="12" t="str">
        <f aca="false">IF(Q36+R36=2,"P",IF(R36=1,"I, P",IF(Q36=1,"I","none")))</f>
        <v>I, P</v>
      </c>
    </row>
    <row r="37" customFormat="false" ht="15" hidden="false" customHeight="false" outlineLevel="0" collapsed="false">
      <c r="A37" s="6" t="s">
        <v>770</v>
      </c>
      <c r="B37" s="17" t="n">
        <f aca="false">O27</f>
        <v>0</v>
      </c>
      <c r="C37" s="17" t="n">
        <f aca="false">P27</f>
        <v>4</v>
      </c>
      <c r="D37" s="17" t="n">
        <f aca="false">O28</f>
        <v>0</v>
      </c>
      <c r="E37" s="17" t="n">
        <f aca="false">P28</f>
        <v>1.88888888888889</v>
      </c>
      <c r="F37" s="34" t="n">
        <f aca="false">IF(C37&gt;=$G$5,1,0)</f>
        <v>1</v>
      </c>
      <c r="G37" s="34" t="n">
        <f aca="false">IF(E37&gt;=$G$5,1,0)</f>
        <v>1</v>
      </c>
      <c r="H37" s="17" t="str">
        <f aca="false">IF(F37&lt;&gt;G37,B37+($G$5-C37)*(D37-B37)/(E37-C37),"-")</f>
        <v>-</v>
      </c>
      <c r="I37" s="17" t="str">
        <f aca="false">IF(F37&lt;&gt;G37,$G$5,"-")</f>
        <v>-</v>
      </c>
      <c r="J37" s="12" t="str">
        <f aca="false">IF(F37+G37=2,"P",IF(G37=1,"I, P",IF(F37=1,"I","none")))</f>
        <v>P</v>
      </c>
      <c r="L37" s="6" t="s">
        <v>770</v>
      </c>
      <c r="M37" s="17" t="n">
        <f aca="false">D36</f>
        <v>0</v>
      </c>
      <c r="N37" s="17" t="n">
        <f aca="false">E36</f>
        <v>4</v>
      </c>
      <c r="O37" s="17" t="n">
        <f aca="false">D37</f>
        <v>0</v>
      </c>
      <c r="P37" s="17" t="n">
        <f aca="false">E37</f>
        <v>1.88888888888889</v>
      </c>
      <c r="Q37" s="34" t="n">
        <f aca="false">IF(N37&lt;=$I$5,1,0)</f>
        <v>1</v>
      </c>
      <c r="R37" s="34" t="n">
        <f aca="false">IF(P37&lt;=$I$5,1,0)</f>
        <v>1</v>
      </c>
      <c r="S37" s="17" t="str">
        <f aca="false">IF(Q37&lt;&gt;R37,M37+($I$5-N37)*(O37-M37)/(P37-N37),"-")</f>
        <v>-</v>
      </c>
      <c r="T37" s="17" t="str">
        <f aca="false">IF(Q37&lt;&gt;R37,$I$5,"-")</f>
        <v>-</v>
      </c>
      <c r="U37" s="12" t="str">
        <f aca="false">IF(Q37+R37=2,"P",IF(R37=1,"I, P",IF(Q37=1,"I","none")))</f>
        <v>P</v>
      </c>
    </row>
    <row r="38" customFormat="false" ht="15" hidden="false" customHeight="false" outlineLevel="0" collapsed="false">
      <c r="A38" s="6" t="s">
        <v>771</v>
      </c>
      <c r="B38" s="17" t="n">
        <f aca="false">O28</f>
        <v>0</v>
      </c>
      <c r="C38" s="17" t="n">
        <f aca="false">P28</f>
        <v>1.88888888888889</v>
      </c>
      <c r="D38" s="17" t="n">
        <f aca="false">O25</f>
        <v>7</v>
      </c>
      <c r="E38" s="17" t="n">
        <f aca="false">P25</f>
        <v>-2</v>
      </c>
      <c r="F38" s="34" t="n">
        <f aca="false">IF(C38&gt;=$G$5,1,0)</f>
        <v>1</v>
      </c>
      <c r="G38" s="34" t="n">
        <f aca="false">IF(E38&gt;=$G$5,1,0)</f>
        <v>0</v>
      </c>
      <c r="H38" s="17" t="n">
        <f aca="false">IF(F38&lt;&gt;G38,B38+($G$5-C38)*(D38-B38)/(E38-C38),"-")</f>
        <v>3.4</v>
      </c>
      <c r="I38" s="17" t="n">
        <f aca="false">IF(F38&lt;&gt;G38,$G$5,"-")</f>
        <v>0</v>
      </c>
      <c r="J38" s="12" t="str">
        <f aca="false">IF(F38+G38=2,"P",IF(G38=1,"I, P",IF(F38=1,"I","none")))</f>
        <v>I</v>
      </c>
      <c r="L38" s="6" t="s">
        <v>772</v>
      </c>
      <c r="M38" s="17" t="n">
        <f aca="false">D37</f>
        <v>0</v>
      </c>
      <c r="N38" s="17" t="n">
        <f aca="false">E37</f>
        <v>1.88888888888889</v>
      </c>
      <c r="O38" s="17" t="n">
        <f aca="false">H38</f>
        <v>3.4</v>
      </c>
      <c r="P38" s="17" t="n">
        <f aca="false">I38</f>
        <v>0</v>
      </c>
      <c r="Q38" s="34" t="n">
        <f aca="false">IF(N38&lt;=$I$5,1,0)</f>
        <v>1</v>
      </c>
      <c r="R38" s="34" t="n">
        <f aca="false">IF(P38&lt;=$I$5,1,0)</f>
        <v>1</v>
      </c>
      <c r="S38" s="17" t="str">
        <f aca="false">IF(Q38&lt;&gt;R38,M38+($I$5-N38)*(O38-M38)/(P38-N38),"-")</f>
        <v>-</v>
      </c>
      <c r="T38" s="17" t="str">
        <f aca="false">IF(Q38&lt;&gt;R38,$I$5,"-")</f>
        <v>-</v>
      </c>
      <c r="U38" s="12" t="str">
        <f aca="false">IF(Q38+R38=2,"P",IF(R38=1,"I, P",IF(Q38=1,"I","none")))</f>
        <v>P</v>
      </c>
    </row>
    <row r="39" customFormat="false" ht="15" hidden="false" customHeight="false" outlineLevel="0" collapsed="false">
      <c r="A39" s="37" t="s">
        <v>764</v>
      </c>
      <c r="B39" s="17" t="str">
        <f aca="false">"("&amp;ROUND(H34,2)&amp;", "&amp;ROUND(I34,2)&amp;")"&amp;" "&amp;"("&amp;ROUND(D34,2)&amp;", "&amp;ROUND(E34,2)&amp;")"&amp;" "&amp;"("&amp;ROUND(D35,2)&amp;", "&amp;ROUND(E35,2)&amp;")"&amp;" "&amp;"("&amp;ROUND(D36,2)&amp;", "&amp;ROUND(E36,2)&amp;")"&amp;" "&amp;"("&amp;ROUND(D37,2)&amp;", "&amp;ROUND(E37,2)&amp;")"&amp;" "&amp;"("&amp;ROUND(H38,2)&amp;", "&amp;ROUND(I38,2)&amp;")"</f>
        <v>(7.83, 0) (10, 5.2) (10, 9) (0, 4) (0, 1.89) (3.4, 0)</v>
      </c>
      <c r="C39" s="17"/>
      <c r="D39" s="17"/>
      <c r="E39" s="17"/>
      <c r="F39" s="17"/>
      <c r="G39" s="17"/>
      <c r="H39" s="17"/>
      <c r="I39" s="17"/>
      <c r="J39" s="17"/>
      <c r="L39" s="6" t="s">
        <v>773</v>
      </c>
      <c r="M39" s="17" t="n">
        <f aca="false">H38</f>
        <v>3.4</v>
      </c>
      <c r="N39" s="17" t="n">
        <f aca="false">I38</f>
        <v>0</v>
      </c>
      <c r="O39" s="17" t="n">
        <f aca="false">H34</f>
        <v>7.83333333333333</v>
      </c>
      <c r="P39" s="17" t="n">
        <f aca="false">I34</f>
        <v>0</v>
      </c>
      <c r="Q39" s="34" t="n">
        <f aca="false">IF(N39&lt;=$I$5,1,0)</f>
        <v>1</v>
      </c>
      <c r="R39" s="34" t="n">
        <f aca="false">IF(P39&lt;=$I$5,1,0)</f>
        <v>1</v>
      </c>
      <c r="S39" s="17" t="str">
        <f aca="false">IF(Q39&lt;&gt;R39,M39+($I$5-N39)*(O39-M39)/(P39-N39),"-")</f>
        <v>-</v>
      </c>
      <c r="T39" s="17" t="str">
        <f aca="false">IF(Q39&lt;&gt;R39,$I$5,"-")</f>
        <v>-</v>
      </c>
      <c r="U39" s="12" t="str">
        <f aca="false">IF(Q39+R39=2,"P",IF(R39=1,"I, P",IF(Q39=1,"I","none")))</f>
        <v>P</v>
      </c>
    </row>
    <row r="40" customFormat="false" ht="15" hidden="false" customHeight="false" outlineLevel="0" collapsed="false">
      <c r="A40" s="2" t="s">
        <v>774</v>
      </c>
      <c r="L40" s="37" t="s">
        <v>764</v>
      </c>
      <c r="M40" s="17" t="str">
        <f aca="false">"("&amp;ROUND(O34,2)&amp;", "&amp;ROUND(P34,2)&amp;")"&amp;" "&amp;"("&amp;ROUND(S35,2)&amp;", "&amp;ROUND(T35,2)&amp;")"&amp;" "&amp;"("&amp;ROUND(S36,2)&amp;", "&amp;ROUND(T36,2)&amp;")"&amp;" "&amp;"("&amp;ROUND(O36,2)&amp;", "&amp;ROUND(P36,2)&amp;")"&amp;" "&amp;"("&amp;ROUND(O37,2)&amp;", "&amp;ROUND(P37,2)&amp;")"&amp;" "&amp;"("&amp;ROUND(O38,2)&amp;", "&amp;ROUND(P38,2)&amp;")"&amp;" "&amp;"("&amp;ROUND(O39,2)&amp;", "&amp;ROUND(P39,2)&amp;")"</f>
        <v>(10, 5.2) (10, 8) (8, 8) (0, 4) (0, 1.89) (3.4, 0) (7.83, 0)</v>
      </c>
      <c r="N40" s="17"/>
      <c r="O40" s="17"/>
      <c r="P40" s="17"/>
      <c r="Q40" s="17"/>
      <c r="R40" s="17"/>
      <c r="S40" s="17"/>
      <c r="T40" s="17"/>
      <c r="U40" s="17"/>
    </row>
    <row r="41" customFormat="false" ht="15" hidden="false" customHeight="false" outlineLevel="0" collapsed="false">
      <c r="L41" s="2" t="s">
        <v>775</v>
      </c>
    </row>
    <row r="42" customFormat="false" ht="15" hidden="false" customHeight="false" outlineLevel="0" collapsed="false">
      <c r="A42" s="2" t="s">
        <v>776</v>
      </c>
    </row>
  </sheetData>
  <mergeCells count="8">
    <mergeCell ref="S9:U9"/>
    <mergeCell ref="S10:U10"/>
    <mergeCell ref="S11:U11"/>
    <mergeCell ref="S12:U12"/>
    <mergeCell ref="B28:J28"/>
    <mergeCell ref="M29:U29"/>
    <mergeCell ref="B39:J39"/>
    <mergeCell ref="M40:U40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1"/>
    <col collapsed="false" customWidth="true" hidden="false" outlineLevel="0" max="7" min="7" style="0" width="3"/>
    <col collapsed="false" customWidth="true" hidden="false" outlineLevel="0" max="8" min="8" style="0" width="33"/>
    <col collapsed="false" customWidth="true" hidden="false" outlineLevel="0" max="11" min="9" style="0" width="9"/>
  </cols>
  <sheetData>
    <row r="1" customFormat="false" ht="16.15" hidden="false" customHeight="false" outlineLevel="0" collapsed="false">
      <c r="A1" s="1" t="s">
        <v>777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778</v>
      </c>
    </row>
    <row r="5" customFormat="false" ht="30" hidden="false" customHeight="true" outlineLevel="0" collapsed="false">
      <c r="A5" s="3" t="s">
        <v>779</v>
      </c>
      <c r="B5" s="3" t="s">
        <v>780</v>
      </c>
      <c r="C5" s="3" t="s">
        <v>781</v>
      </c>
      <c r="D5" s="3" t="s">
        <v>782</v>
      </c>
      <c r="E5" s="3" t="s">
        <v>783</v>
      </c>
      <c r="F5" s="3" t="s">
        <v>784</v>
      </c>
      <c r="H5" s="3" t="s">
        <v>785</v>
      </c>
      <c r="I5" s="3" t="s">
        <v>786</v>
      </c>
      <c r="J5" s="3" t="s">
        <v>787</v>
      </c>
      <c r="K5" s="3" t="s">
        <v>788</v>
      </c>
    </row>
    <row r="6" customFormat="false" ht="15" hidden="false" customHeight="false" outlineLevel="0" collapsed="false">
      <c r="A6" s="4" t="s">
        <v>789</v>
      </c>
      <c r="B6" s="43" t="n">
        <v>12</v>
      </c>
      <c r="C6" s="43" t="n">
        <v>17.5</v>
      </c>
      <c r="D6" s="43" t="n">
        <v>23</v>
      </c>
      <c r="E6" s="43" t="n">
        <v>23</v>
      </c>
      <c r="F6" s="43" t="n">
        <v>23</v>
      </c>
      <c r="H6" s="4" t="s">
        <v>790</v>
      </c>
      <c r="I6" s="13" t="n">
        <v>22.8</v>
      </c>
      <c r="J6" s="13" t="n">
        <v>-4.6</v>
      </c>
    </row>
    <row r="7" customFormat="false" ht="15" hidden="false" customHeight="false" outlineLevel="0" collapsed="false">
      <c r="A7" s="4" t="s">
        <v>791</v>
      </c>
      <c r="B7" s="17" t="n">
        <f aca="false">15*(B6-12)</f>
        <v>0</v>
      </c>
      <c r="C7" s="17" t="n">
        <f aca="false">15*(C6-12)</f>
        <v>82.5</v>
      </c>
      <c r="D7" s="17" t="n">
        <f aca="false">15*(D6-12)</f>
        <v>165</v>
      </c>
      <c r="E7" s="17" t="n">
        <f aca="false">15*(E6-12)</f>
        <v>165</v>
      </c>
      <c r="F7" s="17" t="n">
        <f aca="false">15*(F6-12)</f>
        <v>165</v>
      </c>
      <c r="H7" s="4" t="s">
        <v>792</v>
      </c>
      <c r="I7" s="13" t="n">
        <v>3.2</v>
      </c>
      <c r="J7" s="13" t="n">
        <v>-1</v>
      </c>
    </row>
    <row r="8" customFormat="false" ht="15" hidden="false" customHeight="false" outlineLevel="0" collapsed="false">
      <c r="A8" s="4" t="s">
        <v>793</v>
      </c>
      <c r="B8" s="17" t="n">
        <f aca="false">SIN(RADIANS($I$6))*SIN(RADIANS($J$6))+COS(RADIANS($I$6))*COS(RADIANS($J$6))*COS(RADIANS(B7))</f>
        <v>0.887815385136401</v>
      </c>
      <c r="C8" s="17" t="n">
        <f aca="false">SIN(RADIANS($I$6))*SIN(RADIANS($J$6))+COS(RADIANS($I$6))*COS(RADIANS($J$6))*COS(RADIANS(C7))</f>
        <v>0.0888613649144828</v>
      </c>
      <c r="D8" s="17" t="n">
        <f aca="false">SIN(RADIANS($I$6))*SIN(RADIANS($J$6))+COS(RADIANS($I$6))*COS(RADIANS($J$6))*COS(RADIANS(D7))</f>
        <v>-0.918661507344374</v>
      </c>
      <c r="E8" s="17" t="n">
        <f aca="false">SIN(RADIANS($I$6))*SIN(RADIANS($J$6))+COS(RADIANS($I$6))*COS(RADIANS($J$6))*COS(RADIANS(E7))</f>
        <v>-0.918661507344374</v>
      </c>
      <c r="F8" s="17" t="n">
        <f aca="false">SIN(RADIANS($I$6))*SIN(RADIANS($J$6))+COS(RADIANS($I$6))*COS(RADIANS($J$6))*COS(RADIANS(F7))</f>
        <v>-0.918661507344374</v>
      </c>
      <c r="H8" s="4" t="s">
        <v>794</v>
      </c>
      <c r="I8" s="13" t="n">
        <v>0.06</v>
      </c>
      <c r="J8" s="13" t="n">
        <v>0.11</v>
      </c>
      <c r="K8" s="13" t="n">
        <v>0.21</v>
      </c>
    </row>
    <row r="9" customFormat="false" ht="15" hidden="false" customHeight="false" outlineLevel="0" collapsed="false">
      <c r="A9" s="4" t="s">
        <v>795</v>
      </c>
      <c r="B9" s="17" t="n">
        <f aca="false">DEGREES(ASIN(B8))</f>
        <v>62.6</v>
      </c>
      <c r="C9" s="17" t="n">
        <f aca="false">DEGREES(ASIN(C8))</f>
        <v>5.0981056412829</v>
      </c>
      <c r="D9" s="17" t="n">
        <f aca="false">DEGREES(ASIN(D8))</f>
        <v>-66.7311812551863</v>
      </c>
      <c r="E9" s="17" t="n">
        <f aca="false">DEGREES(ASIN(E8))</f>
        <v>-66.7311812551863</v>
      </c>
      <c r="F9" s="17" t="n">
        <f aca="false">DEGREES(ASIN(F8))</f>
        <v>-66.7311812551863</v>
      </c>
      <c r="H9" s="4" t="s">
        <v>796</v>
      </c>
      <c r="I9" s="13" t="n">
        <v>-0.5598</v>
      </c>
      <c r="J9" s="13" t="n">
        <v>-0.3868</v>
      </c>
      <c r="K9" s="13" t="n">
        <v>0.7328</v>
      </c>
    </row>
    <row r="10" customFormat="false" ht="15" hidden="false" customHeight="false" outlineLevel="0" collapsed="false">
      <c r="A10" s="4" t="s">
        <v>797</v>
      </c>
      <c r="B10" s="17" t="n">
        <f aca="false">(MIN(MAX((B9-(-8))/((6)-(-8)),0),1)^2*(3-2*MIN(MAX((B9-(-8))/((6)-(-8)),0),1)))</f>
        <v>1</v>
      </c>
      <c r="C10" s="17" t="n">
        <f aca="false">(MIN(MAX((C9-(-8))/((6)-(-8)),0),1)^2*(3-2*MIN(MAX((C9-(-8))/((6)-(-8)),0),1)))</f>
        <v>0.988084497716973</v>
      </c>
      <c r="D10" s="17" t="n">
        <f aca="false">(MIN(MAX((D9-(-8))/((6)-(-8)),0),1)^2*(3-2*MIN(MAX((D9-(-8))/((6)-(-8)),0),1)))</f>
        <v>0</v>
      </c>
      <c r="E10" s="17" t="n">
        <f aca="false">(MIN(MAX((E9-(-8))/((6)-(-8)),0),1)^2*(3-2*MIN(MAX((E9-(-8))/((6)-(-8)),0),1)))</f>
        <v>0</v>
      </c>
      <c r="F10" s="17" t="n">
        <f aca="false">(MIN(MAX((F9-(-8))/((6)-(-8)),0),1)^2*(3-2*MIN(MAX((F9-(-8))/((6)-(-8)),0),1)))</f>
        <v>0</v>
      </c>
      <c r="H10" s="4" t="s">
        <v>798</v>
      </c>
      <c r="I10" s="13" t="n">
        <v>0.55</v>
      </c>
      <c r="J10" s="13" t="n">
        <v>0.62</v>
      </c>
      <c r="K10" s="13" t="n">
        <v>0.8</v>
      </c>
    </row>
    <row r="11" customFormat="false" ht="15" hidden="false" customHeight="false" outlineLevel="0" collapsed="false">
      <c r="A11" s="4" t="s">
        <v>799</v>
      </c>
      <c r="B11" s="17" t="n">
        <f aca="false">$I$21</f>
        <v>0</v>
      </c>
      <c r="C11" s="17" t="n">
        <f aca="false">$I$21</f>
        <v>0</v>
      </c>
      <c r="D11" s="17" t="n">
        <f aca="false">$I$21</f>
        <v>0</v>
      </c>
      <c r="E11" s="17" t="n">
        <f aca="false">$I$12+(($J$21-$J$12)/$J$13)*$I$13</f>
        <v>-0</v>
      </c>
      <c r="F11" s="17" t="n">
        <f aca="false">$I$21</f>
        <v>0</v>
      </c>
      <c r="H11" s="4" t="s">
        <v>800</v>
      </c>
      <c r="I11" s="13" t="n">
        <v>0.95</v>
      </c>
    </row>
    <row r="12" customFormat="false" ht="15" hidden="false" customHeight="false" outlineLevel="0" collapsed="false">
      <c r="A12" s="4" t="s">
        <v>801</v>
      </c>
      <c r="B12" s="17" t="n">
        <f aca="false">$J$21</f>
        <v>-0.45</v>
      </c>
      <c r="C12" s="17" t="n">
        <f aca="false">$J$21</f>
        <v>-0.45</v>
      </c>
      <c r="D12" s="17" t="n">
        <f aca="false">$J$21</f>
        <v>-0.45</v>
      </c>
      <c r="E12" s="17" t="n">
        <f aca="false">$J$21</f>
        <v>-0.45</v>
      </c>
      <c r="F12" s="17" t="n">
        <f aca="false">$J$21</f>
        <v>-0.45</v>
      </c>
      <c r="H12" s="4" t="s">
        <v>802</v>
      </c>
      <c r="I12" s="13" t="n">
        <v>0</v>
      </c>
      <c r="J12" s="13" t="n">
        <v>7.356</v>
      </c>
      <c r="K12" s="13" t="n">
        <v>12.37</v>
      </c>
    </row>
    <row r="13" customFormat="false" ht="15" hidden="false" customHeight="false" outlineLevel="0" collapsed="false">
      <c r="A13" s="4" t="s">
        <v>803</v>
      </c>
      <c r="B13" s="17" t="n">
        <f aca="false">$K$21</f>
        <v>-1.3</v>
      </c>
      <c r="C13" s="17" t="n">
        <f aca="false">$K$21</f>
        <v>-1.3</v>
      </c>
      <c r="D13" s="17" t="n">
        <f aca="false">$K$21</f>
        <v>-1.3</v>
      </c>
      <c r="E13" s="17" t="n">
        <f aca="false">$K$12+(($J$21-$J$12)/$J$13)*$K$13</f>
        <v>5.8194819843342</v>
      </c>
      <c r="F13" s="17" t="n">
        <f aca="false">$K$21</f>
        <v>-1.3</v>
      </c>
      <c r="H13" s="4" t="s">
        <v>804</v>
      </c>
      <c r="I13" s="13" t="n">
        <v>0</v>
      </c>
      <c r="J13" s="13" t="n">
        <v>-0.766</v>
      </c>
      <c r="K13" s="13" t="n">
        <v>-0.6428</v>
      </c>
    </row>
    <row r="14" customFormat="false" ht="15" hidden="false" customHeight="false" outlineLevel="0" collapsed="false">
      <c r="A14" s="4" t="s">
        <v>805</v>
      </c>
      <c r="B14" s="17" t="n">
        <f aca="false">-COS(RADIANS($J$6))*SIN(RADIANS(B7))</f>
        <v>-0</v>
      </c>
      <c r="C14" s="17" t="n">
        <f aca="false">-COS(RADIANS($J$6))*SIN(RADIANS(C7))</f>
        <v>-0.988251296971396</v>
      </c>
      <c r="D14" s="17" t="n">
        <f aca="false">-$I$9</f>
        <v>0.5598</v>
      </c>
      <c r="E14" s="17" t="n">
        <f aca="false">$I$12-E11</f>
        <v>0</v>
      </c>
      <c r="F14" s="17" t="n">
        <f aca="false">$I$12-F11</f>
        <v>-0</v>
      </c>
      <c r="H14" s="4" t="s">
        <v>806</v>
      </c>
      <c r="I14" s="8" t="n">
        <v>1</v>
      </c>
      <c r="J14" s="13" t="n">
        <v>0.95</v>
      </c>
      <c r="K14" s="13" t="n">
        <v>0.82</v>
      </c>
    </row>
    <row r="15" customFormat="false" ht="15" hidden="false" customHeight="false" outlineLevel="0" collapsed="false">
      <c r="A15" s="4" t="s">
        <v>807</v>
      </c>
      <c r="B15" s="17" t="n">
        <f aca="false">B8</f>
        <v>0.887815385136401</v>
      </c>
      <c r="C15" s="17" t="n">
        <f aca="false">C8</f>
        <v>0.0888613649144828</v>
      </c>
      <c r="D15" s="17" t="n">
        <f aca="false">-$J$9</f>
        <v>0.3868</v>
      </c>
      <c r="E15" s="17" t="n">
        <f aca="false">$J$12-E12</f>
        <v>7.806</v>
      </c>
      <c r="F15" s="17" t="n">
        <f aca="false">$J$12-F12</f>
        <v>7.806</v>
      </c>
      <c r="H15" s="4" t="s">
        <v>808</v>
      </c>
      <c r="I15" s="8" t="n">
        <v>5</v>
      </c>
      <c r="J15" s="8" t="n">
        <v>9</v>
      </c>
      <c r="K15" s="8" t="n">
        <v>14</v>
      </c>
    </row>
    <row r="16" customFormat="false" ht="15" hidden="false" customHeight="false" outlineLevel="0" collapsed="false">
      <c r="A16" s="4" t="s">
        <v>809</v>
      </c>
      <c r="B16" s="17" t="n">
        <f aca="false">COS(RADIANS($I$6))*SIN(RADIANS($J$6))-SIN(RADIANS($I$6))*COS(RADIANS($J$6))*COS(RADIANS(B7))</f>
        <v>-0.460199784783852</v>
      </c>
      <c r="C16" s="17" t="n">
        <f aca="false">COS(RADIANS($I$6))*SIN(RADIANS($J$6))-SIN(RADIANS($I$6))*COS(RADIANS($J$6))*COS(RADIANS(C7))</f>
        <v>-0.124350439725352</v>
      </c>
      <c r="D16" s="17" t="n">
        <f aca="false">-$K$9</f>
        <v>-0.7328</v>
      </c>
      <c r="E16" s="17" t="n">
        <f aca="false">$K$12-E13</f>
        <v>6.5505180156658</v>
      </c>
      <c r="F16" s="17" t="n">
        <f aca="false">$K$12-F13</f>
        <v>13.67</v>
      </c>
      <c r="H16" s="4" t="s">
        <v>810</v>
      </c>
      <c r="I16" s="13" t="n">
        <v>0.05</v>
      </c>
      <c r="J16" s="13" t="n">
        <v>0.03</v>
      </c>
    </row>
    <row r="17" customFormat="false" ht="15" hidden="false" customHeight="false" outlineLevel="0" collapsed="false">
      <c r="A17" s="4" t="s">
        <v>811</v>
      </c>
      <c r="B17" s="17" t="n">
        <f aca="false">SQRT(B14^2+B15^2+B16^2)</f>
        <v>1</v>
      </c>
      <c r="C17" s="17" t="n">
        <f aca="false">SQRT(C14^2+C15^2+C16^2)</f>
        <v>1</v>
      </c>
      <c r="D17" s="17" t="n">
        <f aca="false">SQRT(D14^2+D15^2+D16^2)</f>
        <v>0.999993059975918</v>
      </c>
      <c r="E17" s="17" t="n">
        <f aca="false">SQRT(E14^2+E15^2+E16^2)</f>
        <v>10.1903347478659</v>
      </c>
      <c r="F17" s="17" t="n">
        <f aca="false">SQRT(F14^2+F15^2+F16^2)</f>
        <v>15.741745011275</v>
      </c>
      <c r="H17" s="4" t="s">
        <v>812</v>
      </c>
      <c r="I17" s="13" t="n">
        <v>0.06</v>
      </c>
      <c r="J17" s="13" t="n">
        <v>0.065</v>
      </c>
      <c r="K17" s="13" t="n">
        <v>0.085</v>
      </c>
    </row>
    <row r="18" customFormat="false" ht="15" hidden="false" customHeight="false" outlineLevel="0" collapsed="false">
      <c r="A18" s="4" t="s">
        <v>813</v>
      </c>
      <c r="B18" s="17" t="n">
        <f aca="false">B14/B17</f>
        <v>-0</v>
      </c>
      <c r="C18" s="17" t="n">
        <f aca="false">C14/C17</f>
        <v>-0.988251296971396</v>
      </c>
      <c r="D18" s="17" t="n">
        <f aca="false">D14/D17</f>
        <v>0.559803885052443</v>
      </c>
      <c r="E18" s="17" t="n">
        <f aca="false">E14/E17</f>
        <v>0</v>
      </c>
      <c r="F18" s="17" t="n">
        <f aca="false">F14/F17</f>
        <v>-0</v>
      </c>
      <c r="H18" s="4" t="s">
        <v>814</v>
      </c>
      <c r="I18" s="13" t="n">
        <v>0.34</v>
      </c>
      <c r="J18" s="13" t="n">
        <v>0.36</v>
      </c>
      <c r="K18" s="13" t="n">
        <v>0.4</v>
      </c>
    </row>
    <row r="19" customFormat="false" ht="15" hidden="false" customHeight="false" outlineLevel="0" collapsed="false">
      <c r="A19" s="4" t="s">
        <v>815</v>
      </c>
      <c r="B19" s="17" t="n">
        <f aca="false">B15/B17</f>
        <v>0.887815385136401</v>
      </c>
      <c r="C19" s="17" t="n">
        <f aca="false">C15/C17</f>
        <v>0.0888613649144828</v>
      </c>
      <c r="D19" s="17" t="n">
        <f aca="false">D15/D17</f>
        <v>0.386802684419945</v>
      </c>
      <c r="E19" s="17" t="n">
        <f aca="false">E15/E17</f>
        <v>0.766019978061545</v>
      </c>
      <c r="F19" s="17" t="n">
        <f aca="false">F15/F17</f>
        <v>0.495878950803039</v>
      </c>
      <c r="H19" s="4" t="s">
        <v>816</v>
      </c>
      <c r="I19" s="13" t="n">
        <v>0.3</v>
      </c>
      <c r="J19" s="13" t="n">
        <v>0.3</v>
      </c>
      <c r="K19" s="13" t="n">
        <v>0.28</v>
      </c>
    </row>
    <row r="20" customFormat="false" ht="15" hidden="false" customHeight="false" outlineLevel="0" collapsed="false">
      <c r="A20" s="4" t="s">
        <v>817</v>
      </c>
      <c r="B20" s="17" t="n">
        <f aca="false">B16/B17</f>
        <v>-0.460199784783852</v>
      </c>
      <c r="C20" s="17" t="n">
        <f aca="false">C16/C17</f>
        <v>-0.124350439725352</v>
      </c>
      <c r="D20" s="17" t="n">
        <f aca="false">D16/D17</f>
        <v>-0.732805085684942</v>
      </c>
      <c r="E20" s="17" t="n">
        <f aca="false">E16/E17</f>
        <v>0.642816764879845</v>
      </c>
      <c r="F20" s="17" t="n">
        <f aca="false">F16/F17</f>
        <v>0.868391654813931</v>
      </c>
      <c r="H20" s="4" t="s">
        <v>818</v>
      </c>
      <c r="I20" s="13" t="n">
        <v>0.076</v>
      </c>
      <c r="J20" s="8" t="n">
        <v>2</v>
      </c>
    </row>
    <row r="21" customFormat="false" ht="15" hidden="false" customHeight="false" outlineLevel="0" collapsed="false">
      <c r="A21" s="4" t="s">
        <v>819</v>
      </c>
      <c r="B21" s="6" t="s">
        <v>22</v>
      </c>
      <c r="C21" s="6" t="s">
        <v>22</v>
      </c>
      <c r="D21" s="6" t="s">
        <v>22</v>
      </c>
      <c r="E21" s="17" t="n">
        <f aca="false">DEGREES(ACOS(-(E18*$I$13+E19*$J$13+E20*$K$13)))</f>
        <v>0.413804490597159</v>
      </c>
      <c r="F21" s="17" t="n">
        <f aca="false">DEGREES(ACOS(-(F18*$I$13+F19*$J$13+F20*$K$13)))</f>
        <v>20.274138963176</v>
      </c>
      <c r="H21" s="4" t="s">
        <v>820</v>
      </c>
      <c r="I21" s="8" t="n">
        <v>0</v>
      </c>
      <c r="J21" s="13" t="n">
        <v>-0.45</v>
      </c>
      <c r="K21" s="13" t="n">
        <v>-1.3</v>
      </c>
    </row>
    <row r="22" customFormat="false" ht="15" hidden="false" customHeight="false" outlineLevel="0" collapsed="false">
      <c r="A22" s="4" t="s">
        <v>821</v>
      </c>
      <c r="B22" s="6" t="s">
        <v>22</v>
      </c>
      <c r="C22" s="6" t="s">
        <v>22</v>
      </c>
      <c r="D22" s="6" t="s">
        <v>22</v>
      </c>
      <c r="E22" s="17" t="n">
        <f aca="false">MIN(MAX((COS(RADIANS(E21))-COS(RADIANS($K$15)))/(COS(RADIANS($J$15))-COS(RADIANS($K$15))),0),1)^2</f>
        <v>1</v>
      </c>
      <c r="F22" s="17" t="n">
        <f aca="false">MIN(MAX((COS(RADIANS(F21))-COS(RADIANS($K$15)))/(COS(RADIANS($J$15))-COS(RADIANS($K$15))),0),1)^2</f>
        <v>0</v>
      </c>
      <c r="H22" s="4" t="s">
        <v>822</v>
      </c>
      <c r="I22" s="8" t="n">
        <v>0</v>
      </c>
      <c r="J22" s="8" t="n">
        <v>1</v>
      </c>
      <c r="K22" s="8" t="n">
        <v>0</v>
      </c>
    </row>
    <row r="23" customFormat="false" ht="15" hidden="false" customHeight="false" outlineLevel="0" collapsed="false">
      <c r="A23" s="4" t="s">
        <v>823</v>
      </c>
      <c r="B23" s="6" t="s">
        <v>22</v>
      </c>
      <c r="C23" s="6" t="s">
        <v>22</v>
      </c>
      <c r="D23" s="6" t="s">
        <v>22</v>
      </c>
      <c r="E23" s="17" t="n">
        <f aca="false">1/(1+$I$16*E17+$J$16*E17^2)</f>
        <v>0.216225360533973</v>
      </c>
      <c r="F23" s="17" t="n">
        <f aca="false">1/(1+$I$16*F17+$J$16*F17^2)</f>
        <v>0.108446186685088</v>
      </c>
      <c r="H23" s="4" t="s">
        <v>824</v>
      </c>
      <c r="I23" s="17" t="n">
        <f aca="false">View_Projection!$B$18</f>
        <v>16.0534917386461</v>
      </c>
      <c r="J23" s="17" t="n">
        <f aca="false">View_Projection!$C$18</f>
        <v>16.2356769911446</v>
      </c>
      <c r="K23" s="17" t="n">
        <f aca="false">View_Projection!$D$18</f>
        <v>25.6909571410306</v>
      </c>
    </row>
    <row r="24" customFormat="false" ht="15" hidden="false" customHeight="false" outlineLevel="0" collapsed="false">
      <c r="A24" s="4" t="s">
        <v>825</v>
      </c>
      <c r="B24" s="17" t="n">
        <f aca="false">1/(SIN(RADIANS(MAX(B9,-1)))+0.50572*(MAX(B9,-1)+6.07995)^(-1.6364))</f>
        <v>1.12572754594895</v>
      </c>
      <c r="C24" s="17" t="n">
        <f aca="false">1/(SIN(RADIANS(MAX(C9,-1)))+0.50572*(MAX(C9,-1)+6.07995)^(-1.6364))</f>
        <v>10.1422980729116</v>
      </c>
      <c r="D24" s="6" t="s">
        <v>22</v>
      </c>
      <c r="E24" s="6" t="s">
        <v>22</v>
      </c>
      <c r="F24" s="6" t="s">
        <v>22</v>
      </c>
    </row>
    <row r="25" customFormat="false" ht="15" hidden="false" customHeight="false" outlineLevel="0" collapsed="false">
      <c r="A25" s="4" t="s">
        <v>826</v>
      </c>
      <c r="B25" s="17" t="n">
        <f aca="false">$I$7*(MIN(MAX((B9-($J$7))/((10)-($J$7)),0),1)^2*(3-2*MIN(MAX((B9-($J$7))/((10)-($J$7)),0),1)))</f>
        <v>3.2</v>
      </c>
      <c r="C25" s="17" t="n">
        <f aca="false">$I$7*(MIN(MAX((C9-($J$7))/((10)-($J$7)),0),1)^2*(3-2*MIN(MAX((C9-($J$7))/((10)-($J$7)),0),1)))</f>
        <v>1.85996274152325</v>
      </c>
      <c r="D25" s="17" t="n">
        <f aca="false">$I$11</f>
        <v>0.95</v>
      </c>
      <c r="E25" s="17" t="n">
        <f aca="false">$I$15*E22*E23</f>
        <v>1.08112680266986</v>
      </c>
      <c r="F25" s="17" t="n">
        <f aca="false">$I$15*F22*F23</f>
        <v>0</v>
      </c>
      <c r="H25" s="2" t="s">
        <v>827</v>
      </c>
    </row>
    <row r="26" customFormat="false" ht="15" hidden="false" customHeight="false" outlineLevel="0" collapsed="false">
      <c r="A26" s="4" t="s">
        <v>828</v>
      </c>
      <c r="B26" s="17" t="n">
        <f aca="false">MAX(0,$I$22*B18+$J$22*B19+$K$22*B20)</f>
        <v>0.887815385136401</v>
      </c>
      <c r="C26" s="17" t="n">
        <f aca="false">MAX(0,$I$22*C18+$J$22*C19+$K$22*C20)</f>
        <v>0.0888613649144828</v>
      </c>
      <c r="D26" s="17" t="n">
        <f aca="false">MAX(0,$I$22*D18+$J$22*D19+$K$22*D20)</f>
        <v>0.386802684419945</v>
      </c>
      <c r="E26" s="17" t="n">
        <f aca="false">MAX(0,$I$22*E18+$J$22*E19+$K$22*E20)</f>
        <v>0.766019978061545</v>
      </c>
      <c r="F26" s="17" t="n">
        <f aca="false">MAX(0,$I$22*F18+$J$22*F19+$K$22*F20)</f>
        <v>0.495878950803039</v>
      </c>
      <c r="H26" s="2" t="s">
        <v>829</v>
      </c>
    </row>
    <row r="27" customFormat="false" ht="15" hidden="false" customHeight="false" outlineLevel="0" collapsed="false">
      <c r="A27" s="4" t="s">
        <v>830</v>
      </c>
      <c r="B27" s="17" t="n">
        <f aca="false">B18+($I$23-B11)/SQRT(($I$23-B11)^2+($J$23-B12)^2+($K$23-B13)^2)</f>
        <v>0.451425787251919</v>
      </c>
      <c r="C27" s="17" t="n">
        <f aca="false">C18+($I$23-C11)/SQRT(($I$23-C11)^2+($J$23-C12)^2+($K$23-C13)^2)</f>
        <v>-0.536825509719478</v>
      </c>
      <c r="D27" s="17" t="n">
        <f aca="false">D18+($I$23-D11)/SQRT(($I$23-D11)^2+($J$23-D12)^2+($K$23-D13)^2)</f>
        <v>1.01122967230436</v>
      </c>
      <c r="E27" s="17" t="n">
        <f aca="false">E18+($I$23-E11)/SQRT(($I$23-E11)^2+($J$23-E12)^2+($K$23-E13)^2)</f>
        <v>0.526131393437175</v>
      </c>
      <c r="F27" s="17" t="n">
        <f aca="false">F18+($I$23-F11)/SQRT(($I$23-F11)^2+($J$23-F12)^2+($K$23-F13)^2)</f>
        <v>0.451425787251919</v>
      </c>
      <c r="H27" s="2" t="s">
        <v>831</v>
      </c>
    </row>
    <row r="28" customFormat="false" ht="15" hidden="false" customHeight="false" outlineLevel="0" collapsed="false">
      <c r="A28" s="4" t="s">
        <v>832</v>
      </c>
      <c r="B28" s="17" t="n">
        <f aca="false">B19+($J$23-B12)/SQRT(($I$23-B11)^2+($J$23-B12)^2+($K$23-B13)^2)</f>
        <v>1.35701828467917</v>
      </c>
      <c r="C28" s="17" t="n">
        <f aca="false">C19+($J$23-C12)/SQRT(($I$23-C11)^2+($J$23-C12)^2+($K$23-C13)^2)</f>
        <v>0.558064264457254</v>
      </c>
      <c r="D28" s="17" t="n">
        <f aca="false">D19+($J$23-D12)/SQRT(($I$23-D11)^2+($J$23-D12)^2+($K$23-D13)^2)</f>
        <v>0.856005583962716</v>
      </c>
      <c r="E28" s="17" t="n">
        <f aca="false">E19+($J$23-E12)/SQRT(($I$23-E11)^2+($J$23-E12)^2+($K$23-E13)^2)</f>
        <v>1.31287038473412</v>
      </c>
      <c r="F28" s="17" t="n">
        <f aca="false">F19+($J$23-F12)/SQRT(($I$23-F11)^2+($J$23-F12)^2+($K$23-F13)^2)</f>
        <v>0.96508185034581</v>
      </c>
      <c r="H28" s="2" t="s">
        <v>833</v>
      </c>
    </row>
    <row r="29" customFormat="false" ht="15" hidden="false" customHeight="false" outlineLevel="0" collapsed="false">
      <c r="A29" s="4" t="s">
        <v>834</v>
      </c>
      <c r="B29" s="17" t="n">
        <f aca="false">B20+($K$23-B13)/SQRT(($I$23-B11)^2+($J$23-B12)^2+($K$23-B13)^2)</f>
        <v>0.298788619386226</v>
      </c>
      <c r="C29" s="17" t="n">
        <f aca="false">C20+($K$23-C13)/SQRT(($I$23-C11)^2+($J$23-C12)^2+($K$23-C13)^2)</f>
        <v>0.634637964444726</v>
      </c>
      <c r="D29" s="17" t="n">
        <f aca="false">D20+($K$23-D13)/SQRT(($I$23-D11)^2+($J$23-D12)^2+($K$23-D13)^2)</f>
        <v>0.026183318485136</v>
      </c>
      <c r="E29" s="17" t="n">
        <f aca="false">E20+($K$23-E13)/SQRT(($I$23-E11)^2+($J$23-E12)^2+($K$23-E13)^2)</f>
        <v>1.29407738057981</v>
      </c>
      <c r="F29" s="17" t="n">
        <f aca="false">F20+($K$23-F13)/SQRT(($I$23-F11)^2+($J$23-F12)^2+($K$23-F13)^2)</f>
        <v>1.62738005898401</v>
      </c>
      <c r="H29" s="2" t="s">
        <v>835</v>
      </c>
    </row>
    <row r="30" customFormat="false" ht="15" hidden="false" customHeight="false" outlineLevel="0" collapsed="false">
      <c r="A30" s="4" t="s">
        <v>836</v>
      </c>
      <c r="B30" s="17" t="n">
        <f aca="false">MAX(0,($I$22*B27+$J$22*B28+$K$22*B29)/SQRT(B27^2+B28^2+B29^2))</f>
        <v>0.928820234654174</v>
      </c>
      <c r="C30" s="17" t="n">
        <f aca="false">MAX(0,($I$22*C27+$J$22*C28+$K$22*C29)/SQRT(C27^2+C28^2+C29^2))</f>
        <v>0.557400601161171</v>
      </c>
      <c r="D30" s="17" t="n">
        <f aca="false">MAX(0,($I$22*D27+$J$22*D28+$K$22*D29)/SQRT(D27^2+D28^2+D29^2))</f>
        <v>0.645969915337728</v>
      </c>
      <c r="E30" s="17" t="n">
        <f aca="false">MAX(0,($I$22*E27+$J$22*E28+$K$22*E29)/SQRT(E27^2+E28^2+E29^2))</f>
        <v>0.684839029108467</v>
      </c>
      <c r="F30" s="17" t="n">
        <f aca="false">MAX(0,($I$22*F27+$J$22*F28+$K$22*F29)/SQRT(F27^2+F28^2+F29^2))</f>
        <v>0.496152659195824</v>
      </c>
      <c r="H30" s="2" t="s">
        <v>837</v>
      </c>
    </row>
    <row r="31" customFormat="false" ht="15" hidden="false" customHeight="false" outlineLevel="0" collapsed="false">
      <c r="A31" s="4" t="s">
        <v>838</v>
      </c>
      <c r="B31" s="17" t="n">
        <f aca="false">IF(B26&gt;0,B30^$J$20,0)</f>
        <v>0.862707028303034</v>
      </c>
      <c r="C31" s="17" t="n">
        <f aca="false">IF(C26&gt;0,C30^$J$20,0)</f>
        <v>0.310695430174835</v>
      </c>
      <c r="D31" s="17" t="n">
        <f aca="false">IF(D26&gt;0,D30^$J$20,0)</f>
        <v>0.417277131521431</v>
      </c>
      <c r="E31" s="17" t="n">
        <f aca="false">IF(E26&gt;0,E30^$J$20,0)</f>
        <v>0.469004495790227</v>
      </c>
      <c r="F31" s="17" t="n">
        <f aca="false">IF(F26&gt;0,F30^$J$20,0)</f>
        <v>0.246167461227087</v>
      </c>
      <c r="H31" s="2" t="s">
        <v>839</v>
      </c>
    </row>
    <row r="32" customFormat="false" ht="15" hidden="false" customHeight="false" outlineLevel="0" collapsed="false">
      <c r="H32" s="2" t="s">
        <v>840</v>
      </c>
    </row>
    <row r="33" customFormat="false" ht="15" hidden="false" customHeight="false" outlineLevel="0" collapsed="false">
      <c r="A33" s="10" t="s">
        <v>841</v>
      </c>
      <c r="H33" s="2" t="s">
        <v>842</v>
      </c>
    </row>
    <row r="34" customFormat="false" ht="30" hidden="false" customHeight="true" outlineLevel="0" collapsed="false">
      <c r="A34" s="3" t="s">
        <v>843</v>
      </c>
      <c r="B34" s="3" t="s">
        <v>780</v>
      </c>
      <c r="C34" s="3" t="s">
        <v>781</v>
      </c>
      <c r="D34" s="3" t="s">
        <v>782</v>
      </c>
      <c r="E34" s="3" t="s">
        <v>783</v>
      </c>
      <c r="F34" s="3" t="s">
        <v>784</v>
      </c>
      <c r="H34" s="2" t="s">
        <v>844</v>
      </c>
    </row>
    <row r="35" customFormat="false" ht="15" hidden="false" customHeight="false" outlineLevel="0" collapsed="false">
      <c r="A35" s="14" t="s">
        <v>845</v>
      </c>
      <c r="B35" s="17" t="n">
        <f aca="false">EXP(-$I$8*(B24-1))*B25</f>
        <v>3.17595113337234</v>
      </c>
      <c r="C35" s="17" t="n">
        <f aca="false">EXP(-$I$8*(C24-1))*C25</f>
        <v>1.07467530243726</v>
      </c>
      <c r="D35" s="17" t="n">
        <f aca="false">$I$10*D25</f>
        <v>0.5225</v>
      </c>
      <c r="E35" s="17" t="n">
        <f aca="false">$I$14*E25</f>
        <v>1.08112680266986</v>
      </c>
      <c r="F35" s="17" t="n">
        <f aca="false">$I$14*F25</f>
        <v>0</v>
      </c>
    </row>
    <row r="36" customFormat="false" ht="15" hidden="false" customHeight="false" outlineLevel="0" collapsed="false">
      <c r="A36" s="14" t="s">
        <v>846</v>
      </c>
      <c r="B36" s="17" t="n">
        <f aca="false">EXP(-$J$8*(B24-1))*B25</f>
        <v>3.15604852945188</v>
      </c>
      <c r="C36" s="17" t="n">
        <f aca="false">EXP(-$J$8*(C24-1))*C25</f>
        <v>0.680385090235325</v>
      </c>
      <c r="D36" s="17" t="n">
        <f aca="false">$J$10*D25</f>
        <v>0.589</v>
      </c>
      <c r="E36" s="17" t="n">
        <f aca="false">$J$14*E25</f>
        <v>1.02707046253637</v>
      </c>
      <c r="F36" s="17" t="n">
        <f aca="false">$J$14*F25</f>
        <v>0</v>
      </c>
    </row>
    <row r="37" customFormat="false" ht="15" hidden="false" customHeight="false" outlineLevel="0" collapsed="false">
      <c r="A37" s="14" t="s">
        <v>847</v>
      </c>
      <c r="B37" s="17" t="n">
        <f aca="false">EXP(-$K$8*(B24-1))*B25</f>
        <v>3.11661670853327</v>
      </c>
      <c r="C37" s="17" t="n">
        <f aca="false">EXP(-$K$8*(C24-1))*C25</f>
        <v>0.272715503409642</v>
      </c>
      <c r="D37" s="17" t="n">
        <f aca="false">$K$10*D25</f>
        <v>0.76</v>
      </c>
      <c r="E37" s="17" t="n">
        <f aca="false">$K$14*E25</f>
        <v>0.886523978189289</v>
      </c>
      <c r="F37" s="17" t="n">
        <f aca="false">$K$14*F25</f>
        <v>0</v>
      </c>
    </row>
    <row r="38" customFormat="false" ht="15" hidden="false" customHeight="false" outlineLevel="0" collapsed="false">
      <c r="A38" s="14" t="s">
        <v>848</v>
      </c>
      <c r="B38" s="17" t="n">
        <f aca="false">$I$17^(1-B10)*$I$18^B10</f>
        <v>0.34</v>
      </c>
      <c r="C38" s="17" t="n">
        <f aca="false">$I$17^(1-C10)*$I$18^C10</f>
        <v>0.333044786447931</v>
      </c>
      <c r="D38" s="17" t="n">
        <f aca="false">$I$17^(1-D10)*$I$18^D10</f>
        <v>0.06</v>
      </c>
      <c r="E38" s="17" t="n">
        <f aca="false">$I$17^(1-E10)*$I$18^E10</f>
        <v>0.06</v>
      </c>
      <c r="F38" s="17" t="n">
        <f aca="false">$I$17^(1-F10)*$I$18^F10</f>
        <v>0.06</v>
      </c>
    </row>
    <row r="39" customFormat="false" ht="15" hidden="false" customHeight="false" outlineLevel="0" collapsed="false">
      <c r="A39" s="14" t="s">
        <v>849</v>
      </c>
      <c r="B39" s="17" t="n">
        <f aca="false">$J$17^(1-B10)*$J$18^B10</f>
        <v>0.36</v>
      </c>
      <c r="C39" s="17" t="n">
        <f aca="false">$J$17^(1-C10)*$J$18^C10</f>
        <v>0.352731825284462</v>
      </c>
      <c r="D39" s="17" t="n">
        <f aca="false">$J$17^(1-D10)*$J$18^D10</f>
        <v>0.065</v>
      </c>
      <c r="E39" s="17" t="n">
        <f aca="false">$J$17^(1-E10)*$J$18^E10</f>
        <v>0.065</v>
      </c>
      <c r="F39" s="17" t="n">
        <f aca="false">$J$17^(1-F10)*$J$18^F10</f>
        <v>0.065</v>
      </c>
    </row>
    <row r="40" customFormat="false" ht="15" hidden="false" customHeight="false" outlineLevel="0" collapsed="false">
      <c r="A40" s="14" t="s">
        <v>850</v>
      </c>
      <c r="B40" s="17" t="n">
        <f aca="false">$K$17^(1-B10)*$K$18^B10</f>
        <v>0.4</v>
      </c>
      <c r="C40" s="17" t="n">
        <f aca="false">$K$17^(1-C10)*$K$18^C10</f>
        <v>0.392685744158504</v>
      </c>
      <c r="D40" s="17" t="n">
        <f aca="false">$K$17^(1-D10)*$K$18^D10</f>
        <v>0.085</v>
      </c>
      <c r="E40" s="17" t="n">
        <f aca="false">$K$17^(1-E10)*$K$18^E10</f>
        <v>0.085</v>
      </c>
      <c r="F40" s="17" t="n">
        <f aca="false">$K$17^(1-F10)*$K$18^F10</f>
        <v>0.085</v>
      </c>
    </row>
    <row r="41" customFormat="false" ht="15" hidden="false" customHeight="false" outlineLevel="0" collapsed="false">
      <c r="A41" s="14" t="s">
        <v>851</v>
      </c>
      <c r="B41" s="17" t="n">
        <f aca="false">$I$19*B38</f>
        <v>0.102</v>
      </c>
      <c r="C41" s="17" t="n">
        <f aca="false">$I$19*C38</f>
        <v>0.0999134359343793</v>
      </c>
      <c r="D41" s="17" t="n">
        <f aca="false">$I$19*D38</f>
        <v>0.018</v>
      </c>
      <c r="E41" s="17" t="n">
        <f aca="false">$I$19*E38</f>
        <v>0.018</v>
      </c>
      <c r="F41" s="17" t="n">
        <f aca="false">$I$19*F38</f>
        <v>0.018</v>
      </c>
    </row>
    <row r="42" customFormat="false" ht="15" hidden="false" customHeight="false" outlineLevel="0" collapsed="false">
      <c r="A42" s="14" t="s">
        <v>852</v>
      </c>
      <c r="B42" s="17" t="n">
        <f aca="false">$J$19*B39</f>
        <v>0.108</v>
      </c>
      <c r="C42" s="17" t="n">
        <f aca="false">$J$19*C39</f>
        <v>0.105819547585339</v>
      </c>
      <c r="D42" s="17" t="n">
        <f aca="false">$J$19*D39</f>
        <v>0.0195</v>
      </c>
      <c r="E42" s="17" t="n">
        <f aca="false">$J$19*E39</f>
        <v>0.0195</v>
      </c>
      <c r="F42" s="17" t="n">
        <f aca="false">$J$19*F39</f>
        <v>0.0195</v>
      </c>
    </row>
    <row r="43" customFormat="false" ht="15" hidden="false" customHeight="false" outlineLevel="0" collapsed="false">
      <c r="A43" s="14" t="s">
        <v>853</v>
      </c>
      <c r="B43" s="17" t="n">
        <f aca="false">$K$19*B40</f>
        <v>0.112</v>
      </c>
      <c r="C43" s="17" t="n">
        <f aca="false">$K$19*C40</f>
        <v>0.109952008364381</v>
      </c>
      <c r="D43" s="17" t="n">
        <f aca="false">$K$19*D40</f>
        <v>0.0238</v>
      </c>
      <c r="E43" s="17" t="n">
        <f aca="false">$K$19*E40</f>
        <v>0.0238</v>
      </c>
      <c r="F43" s="17" t="n">
        <f aca="false">$K$19*F40</f>
        <v>0.0238</v>
      </c>
    </row>
    <row r="44" customFormat="false" ht="15" hidden="false" customHeight="false" outlineLevel="0" collapsed="false">
      <c r="A44" s="14" t="s">
        <v>854</v>
      </c>
      <c r="B44" s="17" t="n">
        <f aca="false">$I$19*B35*B26</f>
        <v>0.845897483594807</v>
      </c>
      <c r="C44" s="17" t="n">
        <f aca="false">$I$19*C35*C26</f>
        <v>0.0286491342643379</v>
      </c>
      <c r="D44" s="17" t="n">
        <f aca="false">$I$19*D35*D26</f>
        <v>0.0606313207828263</v>
      </c>
      <c r="E44" s="17" t="n">
        <f aca="false">$I$19*E35*E26</f>
        <v>0.248449418898875</v>
      </c>
      <c r="F44" s="17" t="n">
        <f aca="false">$I$19*F35*F26</f>
        <v>0</v>
      </c>
    </row>
    <row r="45" customFormat="false" ht="15" hidden="false" customHeight="false" outlineLevel="0" collapsed="false">
      <c r="A45" s="14" t="s">
        <v>855</v>
      </c>
      <c r="B45" s="17" t="n">
        <f aca="false">$J$19*B36*B26</f>
        <v>0.840596532205347</v>
      </c>
      <c r="C45" s="17" t="n">
        <f aca="false">$J$19*C36*C26</f>
        <v>0.0181379843357324</v>
      </c>
      <c r="D45" s="17" t="n">
        <f aca="false">$J$19*D36*D26</f>
        <v>0.0683480343370043</v>
      </c>
      <c r="E45" s="17" t="n">
        <f aca="false">$J$19*E36*E26</f>
        <v>0.236026947953932</v>
      </c>
      <c r="F45" s="17" t="n">
        <f aca="false">$J$19*F36*F26</f>
        <v>0</v>
      </c>
    </row>
    <row r="46" customFormat="false" ht="15" hidden="false" customHeight="false" outlineLevel="0" collapsed="false">
      <c r="A46" s="14" t="s">
        <v>856</v>
      </c>
      <c r="B46" s="17" t="n">
        <f aca="false">$K$19*B37*B26</f>
        <v>0.774754473754523</v>
      </c>
      <c r="C46" s="17" t="n">
        <f aca="false">$K$19*C37*C26</f>
        <v>0.00678548412256989</v>
      </c>
      <c r="D46" s="17" t="n">
        <f aca="false">$K$19*D37*D26</f>
        <v>0.0823116112445643</v>
      </c>
      <c r="E46" s="17" t="n">
        <f aca="false">$K$19*E37*E26</f>
        <v>0.190146621930606</v>
      </c>
      <c r="F46" s="17" t="n">
        <f aca="false">$K$19*F37*F26</f>
        <v>0</v>
      </c>
    </row>
    <row r="47" customFormat="false" ht="15" hidden="false" customHeight="false" outlineLevel="0" collapsed="false">
      <c r="A47" s="14" t="s">
        <v>857</v>
      </c>
      <c r="B47" s="17" t="n">
        <f aca="false">$I$20*B35*B31</f>
        <v>0.208233567687355</v>
      </c>
      <c r="C47" s="17" t="n">
        <f aca="false">$I$20*C35*C31</f>
        <v>0.0253761496095652</v>
      </c>
      <c r="D47" s="17" t="n">
        <f aca="false">$I$20*D35*D31</f>
        <v>0.016570074892716</v>
      </c>
      <c r="E47" s="17" t="n">
        <f aca="false">$I$20*E35*E31</f>
        <v>0.0385360531538325</v>
      </c>
      <c r="F47" s="17" t="n">
        <f aca="false">$I$20*F35*F31</f>
        <v>0</v>
      </c>
    </row>
    <row r="48" customFormat="false" ht="15" hidden="false" customHeight="false" outlineLevel="0" collapsed="false">
      <c r="A48" s="14" t="s">
        <v>858</v>
      </c>
      <c r="B48" s="17" t="n">
        <f aca="false">$I$20*B36*B31</f>
        <v>0.206928638849793</v>
      </c>
      <c r="C48" s="17" t="n">
        <f aca="false">$I$20*C36*C31</f>
        <v>0.0160658329104358</v>
      </c>
      <c r="D48" s="17" t="n">
        <f aca="false">$I$20*D36*D31</f>
        <v>0.0186789935154253</v>
      </c>
      <c r="E48" s="17" t="n">
        <f aca="false">$I$20*E36*E31</f>
        <v>0.0366092504961409</v>
      </c>
      <c r="F48" s="17" t="n">
        <f aca="false">$I$20*F36*F31</f>
        <v>0</v>
      </c>
    </row>
    <row r="49" customFormat="false" ht="15" hidden="false" customHeight="false" outlineLevel="0" collapsed="false">
      <c r="A49" s="14" t="s">
        <v>859</v>
      </c>
      <c r="B49" s="17" t="n">
        <f aca="false">$I$20*B37*B31</f>
        <v>0.204343262562353</v>
      </c>
      <c r="C49" s="17" t="n">
        <f aca="false">$I$20*C37*C31</f>
        <v>0.0064395910091876</v>
      </c>
      <c r="D49" s="17" t="n">
        <f aca="false">$I$20*D37*D31</f>
        <v>0.0241019271166778</v>
      </c>
      <c r="E49" s="17" t="n">
        <f aca="false">$I$20*E37*E31</f>
        <v>0.0315995635861426</v>
      </c>
      <c r="F49" s="17" t="n">
        <f aca="false">$I$20*F37*F31</f>
        <v>0</v>
      </c>
    </row>
    <row r="50" customFormat="false" ht="15" hidden="false" customHeight="false" outlineLevel="0" collapsed="false">
      <c r="A50" s="4" t="s">
        <v>860</v>
      </c>
      <c r="B50" s="44" t="n">
        <f aca="false">B41+B44+B47</f>
        <v>1.15613105128216</v>
      </c>
      <c r="C50" s="44" t="n">
        <f aca="false">C41+C44+C47</f>
        <v>0.153938719808282</v>
      </c>
      <c r="D50" s="44" t="n">
        <f aca="false">D41+D44+D47</f>
        <v>0.0952013956755424</v>
      </c>
      <c r="E50" s="44" t="n">
        <f aca="false">E41+E44+E47</f>
        <v>0.304985472052708</v>
      </c>
      <c r="F50" s="44" t="n">
        <f aca="false">F41+F44+F47</f>
        <v>0.018</v>
      </c>
    </row>
    <row r="51" customFormat="false" ht="15" hidden="false" customHeight="false" outlineLevel="0" collapsed="false">
      <c r="A51" s="4" t="s">
        <v>861</v>
      </c>
      <c r="B51" s="44" t="n">
        <f aca="false">B42+B45+B48</f>
        <v>1.15552517105514</v>
      </c>
      <c r="C51" s="44" t="n">
        <f aca="false">C42+C45+C48</f>
        <v>0.140023364831507</v>
      </c>
      <c r="D51" s="44" t="n">
        <f aca="false">D42+D45+D48</f>
        <v>0.10652702785243</v>
      </c>
      <c r="E51" s="44" t="n">
        <f aca="false">E42+E45+E48</f>
        <v>0.292136198450072</v>
      </c>
      <c r="F51" s="44" t="n">
        <f aca="false">F42+F45+F48</f>
        <v>0.0195</v>
      </c>
    </row>
    <row r="52" customFormat="false" ht="15" hidden="false" customHeight="false" outlineLevel="0" collapsed="false">
      <c r="A52" s="4" t="s">
        <v>862</v>
      </c>
      <c r="B52" s="44" t="n">
        <f aca="false">B43+B46+B49</f>
        <v>1.09109773631688</v>
      </c>
      <c r="C52" s="44" t="n">
        <f aca="false">C43+C46+C49</f>
        <v>0.123177083496139</v>
      </c>
      <c r="D52" s="44" t="n">
        <f aca="false">D43+D46+D49</f>
        <v>0.130213538361242</v>
      </c>
      <c r="E52" s="44" t="n">
        <f aca="false">E43+E46+E49</f>
        <v>0.245546185516749</v>
      </c>
      <c r="F52" s="44" t="n">
        <f aca="false">F43+F46+F49</f>
        <v>0.0238</v>
      </c>
    </row>
    <row r="53" customFormat="false" ht="15" hidden="false" customHeight="false" outlineLevel="0" collapsed="false">
      <c r="A53" s="4" t="s">
        <v>863</v>
      </c>
      <c r="B53" s="44" t="n">
        <f aca="false">0.2126*B50+0.7152*B51+0.0722*B52</f>
        <v>1.1510023204033</v>
      </c>
      <c r="C53" s="44" t="n">
        <f aca="false">0.2126*C50+0.7152*C51+0.0722*C52</f>
        <v>0.141765467787156</v>
      </c>
      <c r="D53" s="44" t="n">
        <f aca="false">0.2126*D50+0.7152*D51+0.0722*D52</f>
        <v>0.10582936451036</v>
      </c>
      <c r="E53" s="44" t="n">
        <f aca="false">0.2126*E50+0.7152*E51+0.0722*E52</f>
        <v>0.291504155084207</v>
      </c>
      <c r="F53" s="44" t="n">
        <f aca="false">0.2126*F50+0.7152*F51+0.0722*F52</f>
        <v>0.01949156</v>
      </c>
    </row>
    <row r="54" customFormat="false" ht="15" hidden="false" customHeight="false" outlineLevel="0" collapsed="false">
      <c r="A54" s="2" t="s">
        <v>864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7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9"/>
    <col collapsed="false" customWidth="true" hidden="false" outlineLevel="0" max="10" min="10" style="0" width="3"/>
    <col collapsed="false" customWidth="true" hidden="false" outlineLevel="0" max="11" min="11" style="0" width="10"/>
    <col collapsed="false" customWidth="true" hidden="false" outlineLevel="0" max="21" min="12" style="0" width="9"/>
  </cols>
  <sheetData>
    <row r="1" customFormat="false" ht="16.15" hidden="false" customHeight="false" outlineLevel="0" collapsed="false">
      <c r="A1" s="1" t="s">
        <v>865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866</v>
      </c>
    </row>
    <row r="5" customFormat="false" ht="15" hidden="false" customHeight="false" outlineLevel="0" collapsed="false">
      <c r="A5" s="10" t="s">
        <v>867</v>
      </c>
      <c r="K5" s="10" t="s">
        <v>868</v>
      </c>
    </row>
    <row r="6" customFormat="false" ht="18" hidden="false" customHeight="true" outlineLevel="0" collapsed="false">
      <c r="A6" s="3" t="s">
        <v>869</v>
      </c>
      <c r="B6" s="3" t="s">
        <v>870</v>
      </c>
      <c r="C6" s="3" t="s">
        <v>871</v>
      </c>
      <c r="D6" s="3" t="s">
        <v>872</v>
      </c>
      <c r="E6" s="3" t="s">
        <v>873</v>
      </c>
      <c r="F6" s="3" t="s">
        <v>874</v>
      </c>
      <c r="G6" s="3" t="s">
        <v>875</v>
      </c>
      <c r="H6" s="3" t="s">
        <v>876</v>
      </c>
      <c r="I6" s="3" t="s">
        <v>877</v>
      </c>
      <c r="K6" s="3" t="s">
        <v>549</v>
      </c>
      <c r="L6" s="3" t="s">
        <v>878</v>
      </c>
      <c r="M6" s="3" t="s">
        <v>191</v>
      </c>
      <c r="N6" s="3" t="s">
        <v>192</v>
      </c>
      <c r="O6" s="3" t="s">
        <v>879</v>
      </c>
      <c r="P6" s="3" t="s">
        <v>880</v>
      </c>
      <c r="Q6" s="3" t="s">
        <v>881</v>
      </c>
    </row>
    <row r="7" customFormat="false" ht="15" hidden="false" customHeight="false" outlineLevel="0" collapsed="false">
      <c r="A7" s="37" t="s">
        <v>882</v>
      </c>
      <c r="B7" s="8" t="n">
        <v>100</v>
      </c>
      <c r="C7" s="8" t="n">
        <v>100</v>
      </c>
      <c r="D7" s="13" t="n">
        <v>1</v>
      </c>
      <c r="E7" s="13" t="n">
        <v>0</v>
      </c>
      <c r="F7" s="13" t="n">
        <v>-0.6012</v>
      </c>
      <c r="G7" s="13" t="n">
        <v>-0.4008</v>
      </c>
      <c r="H7" s="13" t="n">
        <v>0.6913</v>
      </c>
      <c r="I7" s="17" t="n">
        <f aca="false">$B$11*MAX(0,H7)+$C$11*MAX(0,H7)^$D$11</f>
        <v>0.414780231639984</v>
      </c>
      <c r="K7" s="37" t="s">
        <v>748</v>
      </c>
      <c r="L7" s="8" t="n">
        <v>255</v>
      </c>
      <c r="M7" s="8" t="n">
        <v>64</v>
      </c>
      <c r="N7" s="8" t="n">
        <v>0</v>
      </c>
      <c r="O7" s="17" t="n">
        <f aca="false">IF((L7/255)&lt;=0.04045,(L7/255)/12.92,(((L7/255)+0.055)/1.055)^2.4)</f>
        <v>1</v>
      </c>
      <c r="P7" s="17" t="n">
        <f aca="false">IF((M7/255)&lt;=0.04045,(M7/255)/12.92,(((M7/255)+0.055)/1.055)^2.4)</f>
        <v>0.0512694583740432</v>
      </c>
      <c r="Q7" s="17" t="n">
        <f aca="false">IF((N7/255)&lt;=0.04045,(N7/255)/12.92,(((N7/255)+0.055)/1.055)^2.4)</f>
        <v>0</v>
      </c>
    </row>
    <row r="8" customFormat="false" ht="15" hidden="false" customHeight="false" outlineLevel="0" collapsed="false">
      <c r="A8" s="37" t="s">
        <v>883</v>
      </c>
      <c r="B8" s="8" t="n">
        <v>400</v>
      </c>
      <c r="C8" s="8" t="n">
        <v>150</v>
      </c>
      <c r="D8" s="13" t="n">
        <v>4</v>
      </c>
      <c r="E8" s="13" t="n">
        <v>1</v>
      </c>
      <c r="F8" s="13" t="n">
        <v>0.6007</v>
      </c>
      <c r="G8" s="13" t="n">
        <v>-0.3004</v>
      </c>
      <c r="H8" s="13" t="n">
        <v>0.7409</v>
      </c>
      <c r="I8" s="17" t="n">
        <f aca="false">$B$11*MAX(0,H8)+$C$11*MAX(0,H8)^$D$11</f>
        <v>0.444543702840811</v>
      </c>
      <c r="K8" s="37" t="s">
        <v>192</v>
      </c>
      <c r="L8" s="8" t="n">
        <v>0</v>
      </c>
      <c r="M8" s="8" t="n">
        <v>128</v>
      </c>
      <c r="N8" s="8" t="n">
        <v>255</v>
      </c>
      <c r="O8" s="17" t="n">
        <f aca="false">IF((L8/255)&lt;=0.04045,(L8/255)/12.92,(((L8/255)+0.055)/1.055)^2.4)</f>
        <v>0</v>
      </c>
      <c r="P8" s="17" t="n">
        <f aca="false">IF((M8/255)&lt;=0.04045,(M8/255)/12.92,(((M8/255)+0.055)/1.055)^2.4)</f>
        <v>0.215860500113899</v>
      </c>
      <c r="Q8" s="17" t="n">
        <f aca="false">IF((N8/255)&lt;=0.04045,(N8/255)/12.92,(((N8/255)+0.055)/1.055)^2.4)</f>
        <v>1</v>
      </c>
    </row>
    <row r="9" customFormat="false" ht="18" hidden="false" customHeight="true" outlineLevel="0" collapsed="false">
      <c r="A9" s="37" t="s">
        <v>884</v>
      </c>
      <c r="B9" s="8" t="n">
        <v>220</v>
      </c>
      <c r="C9" s="8" t="n">
        <v>380</v>
      </c>
      <c r="D9" s="13" t="n">
        <v>10</v>
      </c>
      <c r="E9" s="13" t="n">
        <v>0.5</v>
      </c>
      <c r="F9" s="13" t="n">
        <v>0</v>
      </c>
      <c r="G9" s="13" t="n">
        <v>0.6</v>
      </c>
      <c r="H9" s="13" t="n">
        <v>0.8</v>
      </c>
      <c r="I9" s="17" t="n">
        <f aca="false">$B$11*MAX(0,H9)+$C$11*MAX(0,H9)^$D$11</f>
        <v>0.480079753679747</v>
      </c>
      <c r="K9" s="3" t="s">
        <v>885</v>
      </c>
      <c r="L9" s="3" t="s">
        <v>886</v>
      </c>
      <c r="M9" s="3" t="s">
        <v>887</v>
      </c>
      <c r="N9" s="3" t="s">
        <v>888</v>
      </c>
      <c r="O9" s="3" t="s">
        <v>889</v>
      </c>
      <c r="P9" s="3" t="s">
        <v>890</v>
      </c>
      <c r="Q9" s="3" t="s">
        <v>891</v>
      </c>
      <c r="R9" s="3" t="s">
        <v>892</v>
      </c>
      <c r="S9" s="3" t="s">
        <v>893</v>
      </c>
    </row>
    <row r="10" customFormat="false" ht="15" hidden="false" customHeight="false" outlineLevel="0" collapsed="false">
      <c r="A10" s="4" t="s">
        <v>894</v>
      </c>
      <c r="B10" s="45" t="s">
        <v>895</v>
      </c>
      <c r="K10" s="43" t="n">
        <v>0</v>
      </c>
      <c r="L10" s="18" t="n">
        <f aca="false">(1-K10)*$L$7+K10*$L$8</f>
        <v>255</v>
      </c>
      <c r="M10" s="18" t="n">
        <f aca="false">(1-K10)*$M$7+K10*$M$8</f>
        <v>64</v>
      </c>
      <c r="N10" s="18" t="n">
        <f aca="false">(1-K10)*$N$7+K10*$N$8</f>
        <v>0</v>
      </c>
      <c r="O10" s="18" t="n">
        <f aca="false">255*IF(((1-K10)*$O$7+K10*$O$8)&lt;=0.0031308,12.92*((1-K10)*$O$7+K10*$O$8),1.055*((1-K10)*$O$7+K10*$O$8)^(1/2.4)-0.055)</f>
        <v>255</v>
      </c>
      <c r="P10" s="18" t="n">
        <f aca="false">255*IF(((1-K10)*$P$7+K10*$P$8)&lt;=0.0031308,12.92*((1-K10)*$P$7+K10*$P$8),1.055*((1-K10)*$P$7+K10*$P$8)^(1/2.4)-0.055)</f>
        <v>64</v>
      </c>
      <c r="Q10" s="18" t="n">
        <f aca="false">255*IF(((1-K10)*$Q$7+K10*$Q$8)&lt;=0.0031308,12.92*((1-K10)*$Q$7+K10*$Q$8),1.055*((1-K10)*$Q$7+K10*$Q$8)^(1/2.4)-0.055)</f>
        <v>0</v>
      </c>
      <c r="R10" s="17" t="n">
        <f aca="false">0.2126*IF(L10/255&lt;=0.04045,L10/255/12.92,((L10/255+0.055)/1.055)^2.4)+0.7152*IF(M10/255&lt;=0.04045,M10/255/12.92,((M10/255+0.055)/1.055)^2.4)+0.0722*IF(N10/255&lt;=0.04045,N10/255/12.92,((N10/255+0.055)/1.055)^2.4)</f>
        <v>0.249267916629116</v>
      </c>
      <c r="S10" s="17" t="n">
        <f aca="false">0.2126*IF(O10/255&lt;=0.04045,O10/255/12.92,((O10/255+0.055)/1.055)^2.4)+0.7152*IF(P10/255&lt;=0.04045,P10/255/12.92,((P10/255+0.055)/1.055)^2.4)+0.0722*IF(Q10/255&lt;=0.04045,Q10/255/12.92,((Q10/255+0.055)/1.055)^2.4)</f>
        <v>0.249267916629116</v>
      </c>
    </row>
    <row r="11" customFormat="false" ht="15" hidden="false" customHeight="false" outlineLevel="0" collapsed="false">
      <c r="A11" s="4" t="s">
        <v>896</v>
      </c>
      <c r="B11" s="13" t="n">
        <v>0.6</v>
      </c>
      <c r="C11" s="13" t="n">
        <v>0.6</v>
      </c>
      <c r="D11" s="8" t="n">
        <v>40</v>
      </c>
      <c r="K11" s="43" t="n">
        <v>0.25</v>
      </c>
      <c r="L11" s="18" t="n">
        <f aca="false">(1-K11)*$L$7+K11*$L$8</f>
        <v>191.25</v>
      </c>
      <c r="M11" s="18" t="n">
        <f aca="false">(1-K11)*$M$7+K11*$M$8</f>
        <v>80</v>
      </c>
      <c r="N11" s="18" t="n">
        <f aca="false">(1-K11)*$N$7+K11*$N$8</f>
        <v>63.75</v>
      </c>
      <c r="O11" s="18" t="n">
        <f aca="false">255*IF(((1-K11)*$O$7+K11*$O$8)&lt;=0.0031308,12.92*((1-K11)*$O$7+K11*$O$8),1.055*((1-K11)*$O$7+K11*$O$8)^(1/2.4)-0.055)</f>
        <v>224.610380378026</v>
      </c>
      <c r="P11" s="18" t="n">
        <f aca="false">255*IF(((1-K11)*$P$7+K11*$P$8)&lt;=0.0031308,12.92*((1-K11)*$P$7+K11*$P$8),1.055*((1-K11)*$P$7+K11*$P$8)^(1/2.4)-0.055)</f>
        <v>85.7120104120941</v>
      </c>
      <c r="Q11" s="18" t="n">
        <f aca="false">255*IF(((1-K11)*$Q$7+K11*$Q$8)&lt;=0.0031308,12.92*((1-K11)*$Q$7+K11*$Q$8),1.055*((1-K11)*$Q$7+K11*$Q$8)^(1/2.4)-0.055)</f>
        <v>136.960176273215</v>
      </c>
      <c r="R11" s="17" t="n">
        <f aca="false">0.2126*IF(L11/255&lt;=0.04045,L11/255/12.92,((L11/255+0.055)/1.055)^2.4)+0.7152*IF(M11/255&lt;=0.04045,M11/255/12.92,((M11/255+0.055)/1.055)^2.4)+0.0722*IF(N11/255&lt;=0.04045,N11/255/12.92,((N11/255+0.055)/1.055)^2.4)</f>
        <v>0.172134551428574</v>
      </c>
      <c r="S11" s="17" t="n">
        <f aca="false">0.2126*IF(O11/255&lt;=0.04045,O11/255/12.92,((O11/255+0.055)/1.055)^2.4)+0.7152*IF(P11/255&lt;=0.04045,P11/255/12.92,((P11/255+0.055)/1.055)^2.4)+0.0722*IF(Q11/255&lt;=0.04045,Q11/255/12.92,((Q11/255+0.055)/1.055)^2.4)</f>
        <v>0.243596794892202</v>
      </c>
    </row>
    <row r="12" customFormat="false" ht="15" hidden="false" customHeight="false" outlineLevel="0" collapsed="false">
      <c r="A12" s="4" t="s">
        <v>897</v>
      </c>
      <c r="B12" s="7" t="n">
        <f aca="false">($B$8-$B$7)*($C$9-$C$7)-($C$8-$C$7)*($B$9-$B$7)</f>
        <v>78000</v>
      </c>
      <c r="K12" s="43" t="n">
        <v>0.5</v>
      </c>
      <c r="L12" s="18" t="n">
        <f aca="false">(1-K12)*$L$7+K12*$L$8</f>
        <v>127.5</v>
      </c>
      <c r="M12" s="18" t="n">
        <f aca="false">(1-K12)*$M$7+K12*$M$8</f>
        <v>96</v>
      </c>
      <c r="N12" s="18" t="n">
        <f aca="false">(1-K12)*$N$7+K12*$N$8</f>
        <v>127.5</v>
      </c>
      <c r="O12" s="18" t="n">
        <f aca="false">255*IF(((1-K12)*$O$7+K12*$O$8)&lt;=0.0031308,12.92*((1-K12)*$O$7+K12*$O$8),1.055*((1-K12)*$O$7+K12*$O$8)^(1/2.4)-0.055)</f>
        <v>187.516030678375</v>
      </c>
      <c r="P12" s="18" t="n">
        <f aca="false">255*IF(((1-K12)*$P$7+K12*$P$8)&lt;=0.0031308,12.92*((1-K12)*$P$7+K12*$P$8),1.055*((1-K12)*$P$7+K12*$P$8)^(1/2.4)-0.055)</f>
        <v>102.253090295968</v>
      </c>
      <c r="Q12" s="18" t="n">
        <f aca="false">255*IF(((1-K12)*$Q$7+K12*$Q$8)&lt;=0.0031308,12.92*((1-K12)*$Q$7+K12*$Q$8),1.055*((1-K12)*$Q$7+K12*$Q$8)^(1/2.4)-0.055)</f>
        <v>187.516030678375</v>
      </c>
      <c r="R12" s="17" t="n">
        <f aca="false">0.2126*IF(L12/255&lt;=0.04045,L12/255/12.92,((L12/255+0.055)/1.055)^2.4)+0.7152*IF(M12/255&lt;=0.04045,M12/255/12.92,((M12/255+0.055)/1.055)^2.4)+0.0722*IF(N12/255&lt;=0.04045,N12/255/12.92,((N12/255+0.055)/1.055)^2.4)</f>
        <v>0.144616338390227</v>
      </c>
      <c r="S12" s="17" t="n">
        <f aca="false">0.2126*IF(O12/255&lt;=0.04045,O12/255/12.92,((O12/255+0.055)/1.055)^2.4)+0.7152*IF(P12/255&lt;=0.04045,P12/255/12.92,((P12/255+0.055)/1.055)^2.4)+0.0722*IF(Q12/255&lt;=0.04045,Q12/255/12.92,((Q12/255+0.055)/1.055)^2.4)</f>
        <v>0.237925673155288</v>
      </c>
    </row>
    <row r="13" customFormat="false" ht="15" hidden="false" customHeight="false" outlineLevel="0" collapsed="false">
      <c r="K13" s="43" t="n">
        <v>0.75</v>
      </c>
      <c r="L13" s="18" t="n">
        <f aca="false">(1-K13)*$L$7+K13*$L$8</f>
        <v>63.75</v>
      </c>
      <c r="M13" s="18" t="n">
        <f aca="false">(1-K13)*$M$7+K13*$M$8</f>
        <v>112</v>
      </c>
      <c r="N13" s="18" t="n">
        <f aca="false">(1-K13)*$N$7+K13*$N$8</f>
        <v>191.25</v>
      </c>
      <c r="O13" s="18" t="n">
        <f aca="false">255*IF(((1-K13)*$O$7+K13*$O$8)&lt;=0.0031308,12.92*((1-K13)*$O$7+K13*$O$8),1.055*((1-K13)*$O$7+K13*$O$8)^(1/2.4)-0.055)</f>
        <v>136.960176273215</v>
      </c>
      <c r="P13" s="18" t="n">
        <f aca="false">255*IF(((1-K13)*$P$7+K13*$P$8)&lt;=0.0031308,12.92*((1-K13)*$P$7+K13*$P$8),1.055*((1-K13)*$P$7+K13*$P$8)^(1/2.4)-0.055)</f>
        <v>116.020265569108</v>
      </c>
      <c r="Q13" s="18" t="n">
        <f aca="false">255*IF(((1-K13)*$Q$7+K13*$Q$8)&lt;=0.0031308,12.92*((1-K13)*$Q$7+K13*$Q$8),1.055*((1-K13)*$Q$7+K13*$Q$8)^(1/2.4)-0.055)</f>
        <v>224.610380378026</v>
      </c>
      <c r="R13" s="17" t="n">
        <f aca="false">0.2126*IF(L13/255&lt;=0.04045,L13/255/12.92,((L13/255+0.055)/1.055)^2.4)+0.7152*IF(M13/255&lt;=0.04045,M13/255/12.92,((M13/255+0.055)/1.055)^2.4)+0.0722*IF(N13/255&lt;=0.04045,N13/255/12.92,((N13/255+0.055)/1.055)^2.4)</f>
        <v>0.164425721998883</v>
      </c>
      <c r="S13" s="17" t="n">
        <f aca="false">0.2126*IF(O13/255&lt;=0.04045,O13/255/12.92,((O13/255+0.055)/1.055)^2.4)+0.7152*IF(P13/255&lt;=0.04045,P13/255/12.92,((P13/255+0.055)/1.055)^2.4)+0.0722*IF(Q13/255&lt;=0.04045,Q13/255/12.92,((Q13/255+0.055)/1.055)^2.4)</f>
        <v>0.232254551418375</v>
      </c>
    </row>
    <row r="14" customFormat="false" ht="15" hidden="false" customHeight="false" outlineLevel="0" collapsed="false">
      <c r="A14" s="10" t="s">
        <v>898</v>
      </c>
      <c r="K14" s="43" t="n">
        <v>1</v>
      </c>
      <c r="L14" s="18" t="n">
        <f aca="false">(1-K14)*$L$7+K14*$L$8</f>
        <v>0</v>
      </c>
      <c r="M14" s="18" t="n">
        <f aca="false">(1-K14)*$M$7+K14*$M$8</f>
        <v>128</v>
      </c>
      <c r="N14" s="18" t="n">
        <f aca="false">(1-K14)*$N$7+K14*$N$8</f>
        <v>255</v>
      </c>
      <c r="O14" s="18" t="n">
        <f aca="false">255*IF(((1-K14)*$O$7+K14*$O$8)&lt;=0.0031308,12.92*((1-K14)*$O$7+K14*$O$8),1.055*((1-K14)*$O$7+K14*$O$8)^(1/2.4)-0.055)</f>
        <v>0</v>
      </c>
      <c r="P14" s="18" t="n">
        <f aca="false">255*IF(((1-K14)*$P$7+K14*$P$8)&lt;=0.0031308,12.92*((1-K14)*$P$7+K14*$P$8),1.055*((1-K14)*$P$7+K14*$P$8)^(1/2.4)-0.055)</f>
        <v>128</v>
      </c>
      <c r="Q14" s="18" t="n">
        <f aca="false">255*IF(((1-K14)*$Q$7+K14*$Q$8)&lt;=0.0031308,12.92*((1-K14)*$Q$7+K14*$Q$8),1.055*((1-K14)*$Q$7+K14*$Q$8)^(1/2.4)-0.055)</f>
        <v>255</v>
      </c>
      <c r="R14" s="17" t="n">
        <f aca="false">0.2126*IF(L14/255&lt;=0.04045,L14/255/12.92,((L14/255+0.055)/1.055)^2.4)+0.7152*IF(M14/255&lt;=0.04045,M14/255/12.92,((M14/255+0.055)/1.055)^2.4)+0.0722*IF(N14/255&lt;=0.04045,N14/255/12.92,((N14/255+0.055)/1.055)^2.4)</f>
        <v>0.226583429681461</v>
      </c>
      <c r="S14" s="17" t="n">
        <f aca="false">0.2126*IF(O14/255&lt;=0.04045,O14/255/12.92,((O14/255+0.055)/1.055)^2.4)+0.7152*IF(P14/255&lt;=0.04045,P14/255/12.92,((P14/255+0.055)/1.055)^2.4)+0.0722*IF(Q14/255&lt;=0.04045,Q14/255/12.92,((Q14/255+0.055)/1.055)^2.4)</f>
        <v>0.226583429681461</v>
      </c>
    </row>
    <row r="15" customFormat="false" ht="18" hidden="false" customHeight="true" outlineLevel="0" collapsed="false">
      <c r="A15" s="3" t="s">
        <v>899</v>
      </c>
      <c r="B15" s="3" t="s">
        <v>900</v>
      </c>
      <c r="C15" s="3" t="s">
        <v>901</v>
      </c>
      <c r="D15" s="3" t="s">
        <v>902</v>
      </c>
      <c r="E15" s="3" t="s">
        <v>903</v>
      </c>
      <c r="F15" s="3" t="s">
        <v>904</v>
      </c>
      <c r="G15" s="3" t="s">
        <v>477</v>
      </c>
      <c r="H15" s="3" t="s">
        <v>905</v>
      </c>
      <c r="K15" s="2" t="s">
        <v>906</v>
      </c>
    </row>
    <row r="16" customFormat="false" ht="15" hidden="false" customHeight="false" outlineLevel="0" collapsed="false">
      <c r="A16" s="4" t="s">
        <v>907</v>
      </c>
      <c r="B16" s="8" t="n">
        <v>240</v>
      </c>
      <c r="C16" s="8" t="n">
        <v>210</v>
      </c>
      <c r="D16" s="17" t="n">
        <f aca="false">(($B$9-$B$8)*(C16-$C$8)-($C$9-$C$8)*(B16-$B$8))/$B$12</f>
        <v>0.333333333333333</v>
      </c>
      <c r="E16" s="17" t="n">
        <f aca="false">(($B$7-$B$9)*(C16-$C$9)-($C$7-$C$9)*(B16-$B$9))/$B$12</f>
        <v>0.333333333333333</v>
      </c>
      <c r="F16" s="17" t="n">
        <f aca="false">(($B$8-$B$7)*(C16-$C$7)-($C$8-$C$7)*(B16-$B$7))/$B$12</f>
        <v>0.333333333333333</v>
      </c>
      <c r="G16" s="17" t="n">
        <f aca="false">D16+E16+F16</f>
        <v>1</v>
      </c>
      <c r="H16" s="12" t="str">
        <f aca="false">IF(AND(D16&gt;=0,E16&gt;=0,F16&gt;=0),"yes","no")</f>
        <v>yes</v>
      </c>
      <c r="K16" s="2" t="s">
        <v>908</v>
      </c>
    </row>
    <row r="17" customFormat="false" ht="15" hidden="false" customHeight="false" outlineLevel="0" collapsed="false">
      <c r="A17" s="4" t="s">
        <v>909</v>
      </c>
      <c r="B17" s="8" t="n">
        <v>360</v>
      </c>
      <c r="C17" s="8" t="n">
        <v>160</v>
      </c>
      <c r="D17" s="17" t="n">
        <f aca="false">(($B$9-$B$8)*(C17-$C$8)-($C$9-$C$8)*(B17-$B$8))/$B$12</f>
        <v>0.0948717948717949</v>
      </c>
      <c r="E17" s="17" t="n">
        <f aca="false">(($B$7-$B$9)*(C17-$C$9)-($C$7-$C$9)*(B17-$B$9))/$B$12</f>
        <v>0.841025641025641</v>
      </c>
      <c r="F17" s="17" t="n">
        <f aca="false">(($B$8-$B$7)*(C17-$C$7)-($C$8-$C$7)*(B17-$B$7))/$B$12</f>
        <v>0.0641025641025641</v>
      </c>
      <c r="G17" s="17" t="n">
        <f aca="false">D17+E17+F17</f>
        <v>1</v>
      </c>
      <c r="H17" s="12" t="str">
        <f aca="false">IF(AND(D17&gt;=0,E17&gt;=0,F17&gt;=0),"yes","no")</f>
        <v>yes</v>
      </c>
    </row>
    <row r="18" customFormat="false" ht="15" hidden="false" customHeight="false" outlineLevel="0" collapsed="false">
      <c r="A18" s="4" t="s">
        <v>910</v>
      </c>
      <c r="B18" s="8" t="n">
        <v>160</v>
      </c>
      <c r="C18" s="8" t="n">
        <v>240</v>
      </c>
      <c r="D18" s="17" t="n">
        <f aca="false">(($B$9-$B$8)*(C18-$C$8)-($C$9-$C$8)*(B18-$B$8))/$B$12</f>
        <v>0.5</v>
      </c>
      <c r="E18" s="17" t="n">
        <f aca="false">(($B$7-$B$9)*(C18-$C$9)-($C$7-$C$9)*(B18-$B$9))/$B$12</f>
        <v>0</v>
      </c>
      <c r="F18" s="17" t="n">
        <f aca="false">(($B$8-$B$7)*(C18-$C$7)-($C$8-$C$7)*(B18-$B$7))/$B$12</f>
        <v>0.5</v>
      </c>
      <c r="G18" s="17" t="n">
        <f aca="false">D18+E18+F18</f>
        <v>1</v>
      </c>
      <c r="H18" s="12" t="str">
        <f aca="false">IF(AND(D18&gt;=0,E18&gt;=0,F18&gt;=0),"yes","no")</f>
        <v>yes</v>
      </c>
      <c r="K18" s="10" t="s">
        <v>911</v>
      </c>
      <c r="R18" s="10" t="s">
        <v>912</v>
      </c>
      <c r="S18" s="13" t="n">
        <v>22.8</v>
      </c>
      <c r="T18" s="13" t="n">
        <v>-4.6</v>
      </c>
    </row>
    <row r="19" customFormat="false" ht="30" hidden="false" customHeight="true" outlineLevel="0" collapsed="false">
      <c r="A19" s="4" t="s">
        <v>913</v>
      </c>
      <c r="B19" s="8" t="n">
        <v>200</v>
      </c>
      <c r="C19" s="8" t="n">
        <v>180</v>
      </c>
      <c r="D19" s="17" t="n">
        <f aca="false">(($B$9-$B$8)*(C19-$C$8)-($C$9-$C$8)*(B19-$B$8))/$B$12</f>
        <v>0.520512820512821</v>
      </c>
      <c r="E19" s="17" t="n">
        <f aca="false">(($B$7-$B$9)*(C19-$C$9)-($C$7-$C$9)*(B19-$B$9))/$B$12</f>
        <v>0.235897435897436</v>
      </c>
      <c r="F19" s="17" t="n">
        <f aca="false">(($B$8-$B$7)*(C19-$C$7)-($C$8-$C$7)*(B19-$B$7))/$B$12</f>
        <v>0.243589743589744</v>
      </c>
      <c r="G19" s="17" t="n">
        <f aca="false">D19+E19+F19</f>
        <v>1</v>
      </c>
      <c r="H19" s="12" t="str">
        <f aca="false">IF(AND(D19&gt;=0,E19&gt;=0,F19&gt;=0),"yes","no")</f>
        <v>yes</v>
      </c>
      <c r="K19" s="3" t="s">
        <v>914</v>
      </c>
      <c r="L19" s="3" t="s">
        <v>915</v>
      </c>
      <c r="M19" s="3" t="s">
        <v>916</v>
      </c>
      <c r="N19" s="3" t="s">
        <v>917</v>
      </c>
      <c r="O19" s="3" t="s">
        <v>918</v>
      </c>
      <c r="P19" s="3" t="s">
        <v>919</v>
      </c>
      <c r="Q19" s="3" t="s">
        <v>920</v>
      </c>
      <c r="R19" s="3" t="s">
        <v>921</v>
      </c>
      <c r="S19" s="3" t="s">
        <v>922</v>
      </c>
      <c r="T19" s="3" t="s">
        <v>923</v>
      </c>
      <c r="U19" s="3" t="s">
        <v>924</v>
      </c>
    </row>
    <row r="20" customFormat="false" ht="15" hidden="false" customHeight="false" outlineLevel="0" collapsed="false">
      <c r="A20" s="4" t="s">
        <v>925</v>
      </c>
      <c r="B20" s="8" t="n">
        <v>420</v>
      </c>
      <c r="C20" s="8" t="n">
        <v>330</v>
      </c>
      <c r="D20" s="17" t="n">
        <f aca="false">(($B$9-$B$8)*(C20-$C$8)-($C$9-$C$8)*(B20-$B$8))/$B$12</f>
        <v>-0.474358974358974</v>
      </c>
      <c r="E20" s="17" t="n">
        <f aca="false">(($B$7-$B$9)*(C20-$C$9)-($C$7-$C$9)*(B20-$B$9))/$B$12</f>
        <v>0.794871794871795</v>
      </c>
      <c r="F20" s="17" t="n">
        <f aca="false">(($B$8-$B$7)*(C20-$C$7)-($C$8-$C$7)*(B20-$B$7))/$B$12</f>
        <v>0.67948717948718</v>
      </c>
      <c r="G20" s="17" t="n">
        <f aca="false">D20+E20+F20</f>
        <v>1</v>
      </c>
      <c r="H20" s="12" t="str">
        <f aca="false">IF(AND(D20&gt;=0,E20&gt;=0,F20&gt;=0),"yes","no")</f>
        <v>no</v>
      </c>
      <c r="K20" s="43" t="n">
        <v>0</v>
      </c>
      <c r="L20" s="17" t="n">
        <f aca="false">DEGREES(ASIN(SIN(RADIANS($S$18))*SIN(RADIANS($T$18))+COS(RADIANS($S$18))*COS(RADIANS($T$18))*COS(RADIANS(15*(K20-12)))))</f>
        <v>-71.8</v>
      </c>
      <c r="M20" s="13" t="n">
        <v>-71.8</v>
      </c>
      <c r="N20" s="17" t="n">
        <f aca="false">L20-M20</f>
        <v>0</v>
      </c>
      <c r="O20" s="17" t="n">
        <f aca="false">(MIN(MAX((L20-(-8))/((6)-(-8)),0),1)^2*(3-2*MIN(MAX((L20-(-8))/((6)-(-8)),0),1)))</f>
        <v>0</v>
      </c>
      <c r="P20" s="12" t="str">
        <f aca="false">IF(L20&lt;-6,"NIGHT",IF(L20&gt;4,"DAY",IF(K20&lt;12,"DAWN","DUSK")))</f>
        <v>NIGHT</v>
      </c>
      <c r="Q20" s="13" t="n">
        <v>0.03</v>
      </c>
      <c r="R20" s="13" t="n">
        <v>0.04</v>
      </c>
      <c r="S20" s="13" t="n">
        <v>0.075</v>
      </c>
      <c r="T20" s="17" t="n">
        <f aca="false">0.2126*Q20+0.7152*R20+0.0722*S20</f>
        <v>0.040401</v>
      </c>
      <c r="U20" s="15" t="s">
        <v>926</v>
      </c>
    </row>
    <row r="21" customFormat="false" ht="15" hidden="false" customHeight="false" outlineLevel="0" collapsed="false">
      <c r="K21" s="43" t="n">
        <v>4</v>
      </c>
      <c r="L21" s="17" t="n">
        <f aca="false">DEGREES(ASIN(SIN(RADIANS($S$18))*SIN(RADIANS($T$18))+COS(RADIANS($S$18))*COS(RADIANS($T$18))*COS(RADIANS(15*(K21-12)))))</f>
        <v>-29.3751067900808</v>
      </c>
      <c r="M21" s="13" t="n">
        <v>-29.3751</v>
      </c>
      <c r="N21" s="17" t="n">
        <f aca="false">L21-M21</f>
        <v>-6.79008077497656E-006</v>
      </c>
      <c r="O21" s="17" t="n">
        <f aca="false">(MIN(MAX((L21-(-8))/((6)-(-8)),0),1)^2*(3-2*MIN(MAX((L21-(-8))/((6)-(-8)),0),1)))</f>
        <v>0</v>
      </c>
      <c r="P21" s="12" t="str">
        <f aca="false">IF(L21&lt;-6,"NIGHT",IF(L21&gt;4,"DAY",IF(K21&lt;12,"DAWN","DUSK")))</f>
        <v>NIGHT</v>
      </c>
      <c r="Q21" s="13" t="n">
        <v>0.03</v>
      </c>
      <c r="R21" s="13" t="n">
        <v>0.04</v>
      </c>
      <c r="S21" s="13" t="n">
        <v>0.075</v>
      </c>
      <c r="T21" s="17" t="n">
        <f aca="false">0.2126*Q21+0.7152*R21+0.0722*S21</f>
        <v>0.040401</v>
      </c>
      <c r="U21" s="15" t="s">
        <v>926</v>
      </c>
    </row>
    <row r="22" customFormat="false" ht="15" hidden="false" customHeight="false" outlineLevel="0" collapsed="false">
      <c r="A22" s="10" t="s">
        <v>927</v>
      </c>
      <c r="K22" s="43" t="n">
        <v>5.5</v>
      </c>
      <c r="L22" s="17" t="n">
        <f aca="false">DEGREES(ASIN(SIN(RADIANS($S$18))*SIN(RADIANS($T$18))+COS(RADIANS($S$18))*COS(RADIANS($T$18))*COS(RADIANS(15*(K22-12)))))</f>
        <v>-8.68592756034942</v>
      </c>
      <c r="M22" s="13" t="n">
        <v>-8.68594</v>
      </c>
      <c r="N22" s="17" t="n">
        <f aca="false">L22-M22</f>
        <v>1.24396505807312E-005</v>
      </c>
      <c r="O22" s="17" t="n">
        <f aca="false">(MIN(MAX((L22-(-8))/((6)-(-8)),0),1)^2*(3-2*MIN(MAX((L22-(-8))/((6)-(-8)),0),1)))</f>
        <v>0</v>
      </c>
      <c r="P22" s="12" t="str">
        <f aca="false">IF(L22&lt;-6,"NIGHT",IF(L22&gt;4,"DAY",IF(K22&lt;12,"DAWN","DUSK")))</f>
        <v>NIGHT</v>
      </c>
      <c r="Q22" s="13" t="n">
        <v>0.03</v>
      </c>
      <c r="R22" s="13" t="n">
        <v>0.04</v>
      </c>
      <c r="S22" s="13" t="n">
        <v>0.075</v>
      </c>
      <c r="T22" s="17" t="n">
        <f aca="false">0.2126*Q22+0.7152*R22+0.0722*S22</f>
        <v>0.040401</v>
      </c>
      <c r="U22" s="15" t="s">
        <v>926</v>
      </c>
    </row>
    <row r="23" customFormat="false" ht="18" hidden="false" customHeight="true" outlineLevel="0" collapsed="false">
      <c r="A23" s="3" t="s">
        <v>899</v>
      </c>
      <c r="B23" s="3" t="s">
        <v>928</v>
      </c>
      <c r="C23" s="3" t="s">
        <v>874</v>
      </c>
      <c r="D23" s="3" t="s">
        <v>875</v>
      </c>
      <c r="E23" s="3" t="s">
        <v>876</v>
      </c>
      <c r="F23" s="3" t="s">
        <v>929</v>
      </c>
      <c r="G23" s="3" t="s">
        <v>930</v>
      </c>
      <c r="H23" s="3" t="s">
        <v>931</v>
      </c>
      <c r="K23" s="43" t="n">
        <v>6</v>
      </c>
      <c r="L23" s="17" t="n">
        <f aca="false">DEGREES(ASIN(SIN(RADIANS($S$18))*SIN(RADIANS($T$18))+COS(RADIANS($S$18))*COS(RADIANS($T$18))*COS(RADIANS(15*(K23-12)))))</f>
        <v>-1.78094409609343</v>
      </c>
      <c r="M23" s="13" t="n">
        <v>-1.78095</v>
      </c>
      <c r="N23" s="17" t="n">
        <f aca="false">L23-M23</f>
        <v>5.90390657317919E-006</v>
      </c>
      <c r="O23" s="17" t="n">
        <f aca="false">(MIN(MAX((L23-(-8))/((6)-(-8)),0),1)^2*(3-2*MIN(MAX((L23-(-8))/((6)-(-8)),0),1)))</f>
        <v>0.416674559128994</v>
      </c>
      <c r="P23" s="12" t="str">
        <f aca="false">IF(L23&lt;-6,"NIGHT",IF(L23&gt;4,"DAY",IF(K23&lt;12,"DAWN","DUSK")))</f>
        <v>DAWN</v>
      </c>
      <c r="Q23" s="13" t="n">
        <v>0.06171</v>
      </c>
      <c r="R23" s="13" t="n">
        <v>0.07525</v>
      </c>
      <c r="S23" s="13" t="n">
        <v>0.1058</v>
      </c>
      <c r="T23" s="17" t="n">
        <f aca="false">0.2126*Q23+0.7152*R23+0.0722*S23</f>
        <v>0.074577106</v>
      </c>
      <c r="U23" s="15" t="s">
        <v>932</v>
      </c>
    </row>
    <row r="24" customFormat="false" ht="15" hidden="false" customHeight="false" outlineLevel="0" collapsed="false">
      <c r="A24" s="44" t="str">
        <f aca="false">A16</f>
        <v>centroid</v>
      </c>
      <c r="B24" s="17" t="n">
        <f aca="false">D16*$I$7+E16*$I$8+F16*$I$9</f>
        <v>0.446467896053514</v>
      </c>
      <c r="C24" s="17" t="n">
        <f aca="false">D16*$F$7+E16*$F$8+F16*$F$9</f>
        <v>-0.000166666666666648</v>
      </c>
      <c r="D24" s="17" t="n">
        <f aca="false">D16*$G$7+E16*$G$8+F16*$G$9</f>
        <v>-0.0337333333333333</v>
      </c>
      <c r="E24" s="17" t="n">
        <f aca="false">D16*$H$7+E16*$H$8+F16*$H$9</f>
        <v>0.744066666666667</v>
      </c>
      <c r="F24" s="17" t="n">
        <f aca="false">SQRT(C24^2+D24^2+E24^2)</f>
        <v>0.744830967401329</v>
      </c>
      <c r="G24" s="17" t="n">
        <f aca="false">$B$11*MAX(0,(E24/F24))+$C$11*MAX(0,(E24/F24))^$D$11</f>
        <v>1.17524340167064</v>
      </c>
      <c r="H24" s="17" t="n">
        <f aca="false">G24-B24</f>
        <v>0.728775505617124</v>
      </c>
      <c r="K24" s="43" t="n">
        <v>6.5</v>
      </c>
      <c r="L24" s="17" t="n">
        <f aca="false">DEGREES(ASIN(SIN(RADIANS($S$18))*SIN(RADIANS($T$18))+COS(RADIANS($S$18))*COS(RADIANS($T$18))*COS(RADIANS(15*(K24-12)))))</f>
        <v>5.0981056412829</v>
      </c>
      <c r="M24" s="13" t="n">
        <v>5.0981</v>
      </c>
      <c r="N24" s="17" t="n">
        <f aca="false">L24-M24</f>
        <v>5.6412828950414E-006</v>
      </c>
      <c r="O24" s="17" t="n">
        <f aca="false">(MIN(MAX((L24-(-8))/((6)-(-8)),0),1)^2*(3-2*MIN(MAX((L24-(-8))/((6)-(-8)),0),1)))</f>
        <v>0.988084497716973</v>
      </c>
      <c r="P24" s="12" t="str">
        <f aca="false">IF(L24&lt;-6,"NIGHT",IF(L24&gt;4,"DAY",IF(K24&lt;12,"DAWN","DUSK")))</f>
        <v>DAY</v>
      </c>
      <c r="Q24" s="13" t="n">
        <v>0.1885</v>
      </c>
      <c r="R24" s="13" t="n">
        <v>0.2126</v>
      </c>
      <c r="S24" s="13" t="n">
        <v>0.2329</v>
      </c>
      <c r="T24" s="17" t="n">
        <f aca="false">0.2126*Q24+0.7152*R24+0.0722*S24</f>
        <v>0.208942</v>
      </c>
      <c r="U24" s="15" t="s">
        <v>933</v>
      </c>
    </row>
    <row r="25" customFormat="false" ht="15" hidden="false" customHeight="false" outlineLevel="0" collapsed="false">
      <c r="A25" s="44" t="str">
        <f aca="false">A17</f>
        <v>near V1</v>
      </c>
      <c r="B25" s="17" t="n">
        <f aca="false">D17*$I$7+E17*$I$8+F17*$I$9</f>
        <v>0.443997940883228</v>
      </c>
      <c r="C25" s="17" t="n">
        <f aca="false">D17*$F$7+E17*$F$8+F17*$F$9</f>
        <v>0.448167179487179</v>
      </c>
      <c r="D25" s="17" t="n">
        <f aca="false">D17*$G$7+E17*$G$8+F17*$G$9</f>
        <v>-0.25220717948718</v>
      </c>
      <c r="E25" s="17" t="n">
        <f aca="false">D17*$H$7+E17*$H$8+F17*$H$9</f>
        <v>0.739982820512821</v>
      </c>
      <c r="F25" s="17" t="n">
        <f aca="false">SQRT(C25^2+D25^2+E25^2)</f>
        <v>0.901130876625855</v>
      </c>
      <c r="G25" s="17" t="n">
        <f aca="false">$B$11*MAX(0,(E25/F25))+$C$11*MAX(0,(E25/F25))^$D$11</f>
        <v>0.492929511021578</v>
      </c>
      <c r="H25" s="17" t="n">
        <f aca="false">G25-B25</f>
        <v>0.0489315701383496</v>
      </c>
      <c r="K25" s="43" t="n">
        <v>7</v>
      </c>
      <c r="L25" s="17" t="n">
        <f aca="false">DEGREES(ASIN(SIN(RADIANS($S$18))*SIN(RADIANS($T$18))+COS(RADIANS($S$18))*COS(RADIANS($T$18))*COS(RADIANS(15*(K25-12)))))</f>
        <v>11.9318949305405</v>
      </c>
      <c r="M25" s="13" t="n">
        <v>11.9319</v>
      </c>
      <c r="N25" s="17" t="n">
        <f aca="false">L25-M25</f>
        <v>-5.06945945666359E-006</v>
      </c>
      <c r="O25" s="17" t="n">
        <f aca="false">(MIN(MAX((L25-(-8))/((6)-(-8)),0),1)^2*(3-2*MIN(MAX((L25-(-8))/((6)-(-8)),0),1)))</f>
        <v>1</v>
      </c>
      <c r="P25" s="12" t="str">
        <f aca="false">IF(L25&lt;-6,"NIGHT",IF(L25&gt;4,"DAY",IF(K25&lt;12,"DAWN","DUSK")))</f>
        <v>DAY</v>
      </c>
      <c r="Q25" s="13" t="n">
        <v>0.2206</v>
      </c>
      <c r="R25" s="13" t="n">
        <v>0.2653</v>
      </c>
      <c r="S25" s="13" t="n">
        <v>0.3436</v>
      </c>
      <c r="T25" s="17" t="n">
        <f aca="false">0.2126*Q25+0.7152*R25+0.0722*S25</f>
        <v>0.26145004</v>
      </c>
      <c r="U25" s="15" t="s">
        <v>933</v>
      </c>
    </row>
    <row r="26" customFormat="false" ht="15" hidden="false" customHeight="false" outlineLevel="0" collapsed="false">
      <c r="A26" s="44" t="str">
        <f aca="false">A18</f>
        <v>edge V0-V2 mid</v>
      </c>
      <c r="B26" s="17" t="n">
        <f aca="false">D18*$I$7+E18*$I$8+F18*$I$9</f>
        <v>0.447429992659865</v>
      </c>
      <c r="C26" s="17" t="n">
        <f aca="false">D18*$F$7+E18*$F$8+F18*$F$9</f>
        <v>-0.3006</v>
      </c>
      <c r="D26" s="17" t="n">
        <f aca="false">D18*$G$7+E18*$G$8+F18*$G$9</f>
        <v>0.0996</v>
      </c>
      <c r="E26" s="17" t="n">
        <f aca="false">D18*$H$7+E18*$H$8+F18*$H$9</f>
        <v>0.74565</v>
      </c>
      <c r="F26" s="17" t="n">
        <f aca="false">SQRT(C26^2+D26^2+E26^2)</f>
        <v>0.810107673399037</v>
      </c>
      <c r="G26" s="17" t="n">
        <f aca="false">$B$11*MAX(0,(E26/F26))+$C$11*MAX(0,(E26/F26))^$D$11</f>
        <v>0.574029113052599</v>
      </c>
      <c r="H26" s="17" t="n">
        <f aca="false">G26-B26</f>
        <v>0.126599120392734</v>
      </c>
      <c r="K26" s="43" t="n">
        <v>9</v>
      </c>
      <c r="L26" s="17" t="n">
        <f aca="false">DEGREES(ASIN(SIN(RADIANS($S$18))*SIN(RADIANS($T$18))+COS(RADIANS($S$18))*COS(RADIANS($T$18))*COS(RADIANS(15*(K26-12)))))</f>
        <v>38.2196333697992</v>
      </c>
      <c r="M26" s="13" t="n">
        <v>38.2196</v>
      </c>
      <c r="N26" s="17" t="n">
        <f aca="false">L26-M26</f>
        <v>3.33697992402904E-005</v>
      </c>
      <c r="O26" s="17" t="n">
        <f aca="false">(MIN(MAX((L26-(-8))/((6)-(-8)),0),1)^2*(3-2*MIN(MAX((L26-(-8))/((6)-(-8)),0),1)))</f>
        <v>1</v>
      </c>
      <c r="P26" s="12" t="str">
        <f aca="false">IF(L26&lt;-6,"NIGHT",IF(L26&gt;4,"DAY",IF(K26&lt;12,"DAWN","DUSK")))</f>
        <v>DAY</v>
      </c>
      <c r="Q26" s="13" t="n">
        <v>0.2852</v>
      </c>
      <c r="R26" s="13" t="n">
        <v>0.4034</v>
      </c>
      <c r="S26" s="13" t="n">
        <v>0.6962</v>
      </c>
      <c r="T26" s="17" t="n">
        <f aca="false">0.2126*Q26+0.7152*R26+0.0722*S26</f>
        <v>0.39941084</v>
      </c>
      <c r="U26" s="15" t="s">
        <v>933</v>
      </c>
    </row>
    <row r="27" customFormat="false" ht="15" hidden="false" customHeight="false" outlineLevel="0" collapsed="false">
      <c r="A27" s="44" t="str">
        <f aca="false">A19</f>
        <v>centre-left</v>
      </c>
      <c r="B27" s="17" t="n">
        <f aca="false">D19*$I$7+E19*$I$8+F19*$I$9</f>
        <v>0.437707652009865</v>
      </c>
      <c r="C27" s="17" t="n">
        <f aca="false">D19*$F$7+E19*$F$8+F19*$F$9</f>
        <v>-0.171228717948718</v>
      </c>
      <c r="D27" s="17" t="n">
        <f aca="false">D19*$G$7+E19*$G$8+F19*$G$9</f>
        <v>-0.133331282051282</v>
      </c>
      <c r="E27" s="17" t="n">
        <f aca="false">D19*$H$7+E19*$H$8+F19*$H$9</f>
        <v>0.729478717948718</v>
      </c>
      <c r="F27" s="17" t="n">
        <f aca="false">SQRT(C27^2+D27^2+E27^2)</f>
        <v>0.761075360633824</v>
      </c>
      <c r="G27" s="17" t="n">
        <f aca="false">$B$11*MAX(0,(E27/F27))+$C$11*MAX(0,(E27/F27))^$D$11</f>
        <v>0.685130332504821</v>
      </c>
      <c r="H27" s="17" t="n">
        <f aca="false">G27-B27</f>
        <v>0.247422680494956</v>
      </c>
      <c r="K27" s="43" t="n">
        <v>12</v>
      </c>
      <c r="L27" s="17" t="n">
        <f aca="false">DEGREES(ASIN(SIN(RADIANS($S$18))*SIN(RADIANS($T$18))+COS(RADIANS($S$18))*COS(RADIANS($T$18))*COS(RADIANS(15*(K27-12)))))</f>
        <v>62.6</v>
      </c>
      <c r="M27" s="13" t="n">
        <v>62.6</v>
      </c>
      <c r="N27" s="17" t="n">
        <f aca="false">L27-M27</f>
        <v>0</v>
      </c>
      <c r="O27" s="17" t="n">
        <f aca="false">(MIN(MAX((L27-(-8))/((6)-(-8)),0),1)^2*(3-2*MIN(MAX((L27-(-8))/((6)-(-8)),0),1)))</f>
        <v>1</v>
      </c>
      <c r="P27" s="12" t="str">
        <f aca="false">IF(L27&lt;-6,"NIGHT",IF(L27&gt;4,"DAY",IF(K27&lt;12,"DAWN","DUSK")))</f>
        <v>DAY</v>
      </c>
      <c r="Q27" s="13" t="n">
        <v>0.3089</v>
      </c>
      <c r="R27" s="13" t="n">
        <v>0.4463</v>
      </c>
      <c r="S27" s="13" t="n">
        <v>0.7643</v>
      </c>
      <c r="T27" s="17" t="n">
        <f aca="false">0.2126*Q27+0.7152*R27+0.0722*S27</f>
        <v>0.44004836</v>
      </c>
      <c r="U27" s="15" t="s">
        <v>933</v>
      </c>
    </row>
    <row r="28" customFormat="false" ht="15" hidden="false" customHeight="false" outlineLevel="0" collapsed="false">
      <c r="A28" s="2" t="s">
        <v>934</v>
      </c>
      <c r="K28" s="43" t="n">
        <v>15</v>
      </c>
      <c r="L28" s="17" t="n">
        <f aca="false">DEGREES(ASIN(SIN(RADIANS($S$18))*SIN(RADIANS($T$18))+COS(RADIANS($S$18))*COS(RADIANS($T$18))*COS(RADIANS(15*(K28-12)))))</f>
        <v>38.2196333697992</v>
      </c>
      <c r="M28" s="13" t="n">
        <v>38.2196</v>
      </c>
      <c r="N28" s="17" t="n">
        <f aca="false">L28-M28</f>
        <v>3.33697992402904E-005</v>
      </c>
      <c r="O28" s="17" t="n">
        <f aca="false">(MIN(MAX((L28-(-8))/((6)-(-8)),0),1)^2*(3-2*MIN(MAX((L28-(-8))/((6)-(-8)),0),1)))</f>
        <v>1</v>
      </c>
      <c r="P28" s="12" t="str">
        <f aca="false">IF(L28&lt;-6,"NIGHT",IF(L28&gt;4,"DAY",IF(K28&lt;12,"DAWN","DUSK")))</f>
        <v>DAY</v>
      </c>
      <c r="Q28" s="13" t="n">
        <v>0.2852</v>
      </c>
      <c r="R28" s="13" t="n">
        <v>0.4034</v>
      </c>
      <c r="S28" s="13" t="n">
        <v>0.6962</v>
      </c>
      <c r="T28" s="17" t="n">
        <f aca="false">0.2126*Q28+0.7152*R28+0.0722*S28</f>
        <v>0.39941084</v>
      </c>
      <c r="U28" s="15" t="s">
        <v>933</v>
      </c>
    </row>
    <row r="29" customFormat="false" ht="15" hidden="false" customHeight="false" outlineLevel="0" collapsed="false">
      <c r="K29" s="43" t="n">
        <v>17</v>
      </c>
      <c r="L29" s="17" t="n">
        <f aca="false">DEGREES(ASIN(SIN(RADIANS($S$18))*SIN(RADIANS($T$18))+COS(RADIANS($S$18))*COS(RADIANS($T$18))*COS(RADIANS(15*(K29-12)))))</f>
        <v>11.9318949305405</v>
      </c>
      <c r="M29" s="13" t="n">
        <v>11.9319</v>
      </c>
      <c r="N29" s="17" t="n">
        <f aca="false">L29-M29</f>
        <v>-5.06945945666359E-006</v>
      </c>
      <c r="O29" s="17" t="n">
        <f aca="false">(MIN(MAX((L29-(-8))/((6)-(-8)),0),1)^2*(3-2*MIN(MAX((L29-(-8))/((6)-(-8)),0),1)))</f>
        <v>1</v>
      </c>
      <c r="P29" s="12" t="str">
        <f aca="false">IF(L29&lt;-6,"NIGHT",IF(L29&gt;4,"DAY",IF(K29&lt;12,"DAWN","DUSK")))</f>
        <v>DAY</v>
      </c>
      <c r="Q29" s="13" t="n">
        <v>0.2206</v>
      </c>
      <c r="R29" s="13" t="n">
        <v>0.2653</v>
      </c>
      <c r="S29" s="13" t="n">
        <v>0.3436</v>
      </c>
      <c r="T29" s="17" t="n">
        <f aca="false">0.2126*Q29+0.7152*R29+0.0722*S29</f>
        <v>0.26145004</v>
      </c>
      <c r="U29" s="15" t="s">
        <v>933</v>
      </c>
    </row>
    <row r="30" customFormat="false" ht="15" hidden="false" customHeight="false" outlineLevel="0" collapsed="false">
      <c r="A30" s="10" t="s">
        <v>935</v>
      </c>
      <c r="K30" s="43" t="n">
        <v>17.5</v>
      </c>
      <c r="L30" s="17" t="n">
        <f aca="false">DEGREES(ASIN(SIN(RADIANS($S$18))*SIN(RADIANS($T$18))+COS(RADIANS($S$18))*COS(RADIANS($T$18))*COS(RADIANS(15*(K30-12)))))</f>
        <v>5.0981056412829</v>
      </c>
      <c r="M30" s="13" t="n">
        <v>5.0981</v>
      </c>
      <c r="N30" s="17" t="n">
        <f aca="false">L30-M30</f>
        <v>5.6412828950414E-006</v>
      </c>
      <c r="O30" s="17" t="n">
        <f aca="false">(MIN(MAX((L30-(-8))/((6)-(-8)),0),1)^2*(3-2*MIN(MAX((L30-(-8))/((6)-(-8)),0),1)))</f>
        <v>0.988084497716973</v>
      </c>
      <c r="P30" s="12" t="str">
        <f aca="false">IF(L30&lt;-6,"NIGHT",IF(L30&gt;4,"DAY",IF(K30&lt;12,"DAWN","DUSK")))</f>
        <v>DAY</v>
      </c>
      <c r="Q30" s="13" t="n">
        <v>0.1885</v>
      </c>
      <c r="R30" s="13" t="n">
        <v>0.2126</v>
      </c>
      <c r="S30" s="13" t="n">
        <v>0.2329</v>
      </c>
      <c r="T30" s="17" t="n">
        <f aca="false">0.2126*Q30+0.7152*R30+0.0722*S30</f>
        <v>0.208942</v>
      </c>
      <c r="U30" s="15" t="s">
        <v>933</v>
      </c>
    </row>
    <row r="31" customFormat="false" ht="18" hidden="false" customHeight="true" outlineLevel="0" collapsed="false">
      <c r="A31" s="3" t="s">
        <v>899</v>
      </c>
      <c r="B31" s="3" t="s">
        <v>936</v>
      </c>
      <c r="C31" s="3" t="s">
        <v>937</v>
      </c>
      <c r="D31" s="3" t="s">
        <v>938</v>
      </c>
      <c r="K31" s="43" t="n">
        <v>18</v>
      </c>
      <c r="L31" s="17" t="n">
        <f aca="false">DEGREES(ASIN(SIN(RADIANS($S$18))*SIN(RADIANS($T$18))+COS(RADIANS($S$18))*COS(RADIANS($T$18))*COS(RADIANS(15*(K31-12)))))</f>
        <v>-1.78094409609343</v>
      </c>
      <c r="M31" s="13" t="n">
        <v>-1.78095</v>
      </c>
      <c r="N31" s="17" t="n">
        <f aca="false">L31-M31</f>
        <v>5.90390657317919E-006</v>
      </c>
      <c r="O31" s="17" t="n">
        <f aca="false">(MIN(MAX((L31-(-8))/((6)-(-8)),0),1)^2*(3-2*MIN(MAX((L31-(-8))/((6)-(-8)),0),1)))</f>
        <v>0.416674559128994</v>
      </c>
      <c r="P31" s="12" t="str">
        <f aca="false">IF(L31&lt;-6,"NIGHT",IF(L31&gt;4,"DAY",IF(K31&lt;12,"DAWN","DUSK")))</f>
        <v>DUSK</v>
      </c>
      <c r="Q31" s="13" t="n">
        <v>0.06171</v>
      </c>
      <c r="R31" s="13" t="n">
        <v>0.07525</v>
      </c>
      <c r="S31" s="13" t="n">
        <v>0.1058</v>
      </c>
      <c r="T31" s="17" t="n">
        <f aca="false">0.2126*Q31+0.7152*R31+0.0722*S31</f>
        <v>0.074577106</v>
      </c>
      <c r="U31" s="15" t="s">
        <v>939</v>
      </c>
    </row>
    <row r="32" customFormat="false" ht="15" hidden="false" customHeight="false" outlineLevel="0" collapsed="false">
      <c r="A32" s="44" t="str">
        <f aca="false">A16</f>
        <v>centroid</v>
      </c>
      <c r="B32" s="17" t="n">
        <f aca="false">D16*$E$7+E16*$E$8+F16*$E$9</f>
        <v>0.5</v>
      </c>
      <c r="C32" s="17" t="n">
        <f aca="false">(D16*$E$7/$D$7+E16*$E$8/$D$8+F16*$E$9/$D$9)/(D16/$D$7+E16/$D$8+F16/$D$9)</f>
        <v>0.222222222222222</v>
      </c>
      <c r="D32" s="17" t="n">
        <f aca="false">B32-C32</f>
        <v>0.277777777777778</v>
      </c>
      <c r="K32" s="43" t="n">
        <v>18.5</v>
      </c>
      <c r="L32" s="17" t="n">
        <f aca="false">DEGREES(ASIN(SIN(RADIANS($S$18))*SIN(RADIANS($T$18))+COS(RADIANS($S$18))*COS(RADIANS($T$18))*COS(RADIANS(15*(K32-12)))))</f>
        <v>-8.68592756034942</v>
      </c>
      <c r="M32" s="13" t="n">
        <v>-8.68594</v>
      </c>
      <c r="N32" s="17" t="n">
        <f aca="false">L32-M32</f>
        <v>1.24396505807312E-005</v>
      </c>
      <c r="O32" s="17" t="n">
        <f aca="false">(MIN(MAX((L32-(-8))/((6)-(-8)),0),1)^2*(3-2*MIN(MAX((L32-(-8))/((6)-(-8)),0),1)))</f>
        <v>0</v>
      </c>
      <c r="P32" s="12" t="str">
        <f aca="false">IF(L32&lt;-6,"NIGHT",IF(L32&gt;4,"DAY",IF(K32&lt;12,"DAWN","DUSK")))</f>
        <v>NIGHT</v>
      </c>
      <c r="Q32" s="13" t="n">
        <v>0.03</v>
      </c>
      <c r="R32" s="13" t="n">
        <v>0.04</v>
      </c>
      <c r="S32" s="13" t="n">
        <v>0.075</v>
      </c>
      <c r="T32" s="17" t="n">
        <f aca="false">0.2126*Q32+0.7152*R32+0.0722*S32</f>
        <v>0.040401</v>
      </c>
      <c r="U32" s="15" t="s">
        <v>926</v>
      </c>
    </row>
    <row r="33" customFormat="false" ht="15" hidden="false" customHeight="false" outlineLevel="0" collapsed="false">
      <c r="A33" s="44" t="str">
        <f aca="false">A17</f>
        <v>near V1</v>
      </c>
      <c r="B33" s="17" t="n">
        <f aca="false">D17*$E$7+E17*$E$8+F17*$E$9</f>
        <v>0.873076923076923</v>
      </c>
      <c r="C33" s="17" t="n">
        <f aca="false">(D17*$E$7/$D$7+E17*$E$8/$D$8+F17*$E$9/$D$9)/(D17/$D$7+E17/$D$8+F17/$D$9)</f>
        <v>0.685185185185185</v>
      </c>
      <c r="D33" s="17" t="n">
        <f aca="false">B33-C33</f>
        <v>0.187891737891738</v>
      </c>
      <c r="K33" s="43" t="n">
        <v>20</v>
      </c>
      <c r="L33" s="17" t="n">
        <f aca="false">DEGREES(ASIN(SIN(RADIANS($S$18))*SIN(RADIANS($T$18))+COS(RADIANS($S$18))*COS(RADIANS($T$18))*COS(RADIANS(15*(K33-12)))))</f>
        <v>-29.3751067900808</v>
      </c>
      <c r="M33" s="13" t="n">
        <v>-29.3751</v>
      </c>
      <c r="N33" s="17" t="n">
        <f aca="false">L33-M33</f>
        <v>-6.79008077497656E-006</v>
      </c>
      <c r="O33" s="17" t="n">
        <f aca="false">(MIN(MAX((L33-(-8))/((6)-(-8)),0),1)^2*(3-2*MIN(MAX((L33-(-8))/((6)-(-8)),0),1)))</f>
        <v>0</v>
      </c>
      <c r="P33" s="12" t="str">
        <f aca="false">IF(L33&lt;-6,"NIGHT",IF(L33&gt;4,"DAY",IF(K33&lt;12,"DAWN","DUSK")))</f>
        <v>NIGHT</v>
      </c>
      <c r="Q33" s="13" t="n">
        <v>0.03</v>
      </c>
      <c r="R33" s="13" t="n">
        <v>0.04</v>
      </c>
      <c r="S33" s="13" t="n">
        <v>0.075</v>
      </c>
      <c r="T33" s="17" t="n">
        <f aca="false">0.2126*Q33+0.7152*R33+0.0722*S33</f>
        <v>0.040401</v>
      </c>
      <c r="U33" s="15" t="s">
        <v>926</v>
      </c>
    </row>
    <row r="34" customFormat="false" ht="15" hidden="false" customHeight="false" outlineLevel="0" collapsed="false">
      <c r="A34" s="44" t="str">
        <f aca="false">A18</f>
        <v>edge V0-V2 mid</v>
      </c>
      <c r="B34" s="17" t="n">
        <f aca="false">D18*$E$7+E18*$E$8+F18*$E$9</f>
        <v>0.25</v>
      </c>
      <c r="C34" s="17" t="n">
        <f aca="false">(D18*$E$7/$D$7+E18*$E$8/$D$8+F18*$E$9/$D$9)/(D18/$D$7+E18/$D$8+F18/$D$9)</f>
        <v>0.0454545454545455</v>
      </c>
      <c r="D34" s="17" t="n">
        <f aca="false">B34-C34</f>
        <v>0.204545454545455</v>
      </c>
      <c r="K34" s="43" t="n">
        <v>22</v>
      </c>
      <c r="L34" s="17" t="n">
        <f aca="false">DEGREES(ASIN(SIN(RADIANS($S$18))*SIN(RADIANS($T$18))+COS(RADIANS($S$18))*COS(RADIANS($T$18))*COS(RADIANS(15*(K34-12)))))</f>
        <v>-55.7778928111849</v>
      </c>
      <c r="M34" s="13" t="n">
        <v>-55.7779</v>
      </c>
      <c r="N34" s="17" t="n">
        <f aca="false">L34-M34</f>
        <v>7.18881506145408E-006</v>
      </c>
      <c r="O34" s="17" t="n">
        <f aca="false">(MIN(MAX((L34-(-8))/((6)-(-8)),0),1)^2*(3-2*MIN(MAX((L34-(-8))/((6)-(-8)),0),1)))</f>
        <v>0</v>
      </c>
      <c r="P34" s="12" t="str">
        <f aca="false">IF(L34&lt;-6,"NIGHT",IF(L34&gt;4,"DAY",IF(K34&lt;12,"DAWN","DUSK")))</f>
        <v>NIGHT</v>
      </c>
      <c r="Q34" s="13" t="n">
        <v>0.03</v>
      </c>
      <c r="R34" s="13" t="n">
        <v>0.04</v>
      </c>
      <c r="S34" s="13" t="n">
        <v>0.075</v>
      </c>
      <c r="T34" s="17" t="n">
        <f aca="false">0.2126*Q34+0.7152*R34+0.0722*S34</f>
        <v>0.040401</v>
      </c>
      <c r="U34" s="15" t="s">
        <v>926</v>
      </c>
    </row>
    <row r="35" customFormat="false" ht="15" hidden="false" customHeight="false" outlineLevel="0" collapsed="false">
      <c r="A35" s="44" t="str">
        <f aca="false">A19</f>
        <v>centre-left</v>
      </c>
      <c r="B35" s="17" t="n">
        <f aca="false">D19*$E$7+E19*$E$8+F19*$E$9</f>
        <v>0.357692307692308</v>
      </c>
      <c r="C35" s="17" t="n">
        <f aca="false">(D19*$E$7/$D$7+E19*$E$8/$D$8+F19*$E$9/$D$9)/(D19/$D$7+E19/$D$8+F19/$D$9)</f>
        <v>0.117834394904459</v>
      </c>
      <c r="D35" s="17" t="n">
        <f aca="false">B35-C35</f>
        <v>0.239857912787849</v>
      </c>
      <c r="K35" s="2" t="s">
        <v>940</v>
      </c>
    </row>
    <row r="36" customFormat="false" ht="15" hidden="false" customHeight="false" outlineLevel="0" collapsed="false">
      <c r="A36" s="2" t="s">
        <v>941</v>
      </c>
      <c r="K36" s="2" t="s">
        <v>942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0"/>
    <col collapsed="false" customWidth="true" hidden="false" outlineLevel="0" max="5" min="5" style="0" width="3"/>
    <col collapsed="false" customWidth="true" hidden="false" outlineLevel="0" max="6" min="6" style="0" width="34"/>
    <col collapsed="false" customWidth="true" hidden="false" outlineLevel="0" max="10" min="7" style="0" width="10"/>
  </cols>
  <sheetData>
    <row r="1" customFormat="false" ht="16.15" hidden="false" customHeight="false" outlineLevel="0" collapsed="false">
      <c r="A1" s="1" t="s">
        <v>943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944</v>
      </c>
    </row>
    <row r="5" customFormat="false" ht="15" hidden="false" customHeight="false" outlineLevel="0" collapsed="false">
      <c r="A5" s="3" t="s">
        <v>945</v>
      </c>
      <c r="B5" s="3" t="s">
        <v>564</v>
      </c>
      <c r="C5" s="3" t="s">
        <v>565</v>
      </c>
      <c r="D5" s="3" t="s">
        <v>566</v>
      </c>
      <c r="F5" s="3" t="s">
        <v>946</v>
      </c>
      <c r="G5" s="3" t="s">
        <v>564</v>
      </c>
      <c r="H5" s="3" t="s">
        <v>565</v>
      </c>
      <c r="I5" s="3" t="s">
        <v>566</v>
      </c>
    </row>
    <row r="6" customFormat="false" ht="15" hidden="false" customHeight="false" outlineLevel="0" collapsed="false">
      <c r="A6" s="4" t="s">
        <v>947</v>
      </c>
      <c r="B6" s="8" t="n">
        <v>0</v>
      </c>
      <c r="C6" s="8" t="n">
        <v>2</v>
      </c>
      <c r="D6" s="8" t="n">
        <v>-10</v>
      </c>
      <c r="F6" s="4" t="s">
        <v>948</v>
      </c>
      <c r="G6" s="13" t="n">
        <v>0.5</v>
      </c>
      <c r="H6" s="8" t="n">
        <v>-1</v>
      </c>
      <c r="I6" s="8" t="n">
        <v>0</v>
      </c>
    </row>
    <row r="7" customFormat="false" ht="15" hidden="false" customHeight="false" outlineLevel="0" collapsed="false">
      <c r="A7" s="4" t="s">
        <v>949</v>
      </c>
      <c r="B7" s="13" t="n">
        <v>0.1</v>
      </c>
      <c r="C7" s="13" t="n">
        <v>-0.05</v>
      </c>
      <c r="D7" s="8" t="n">
        <v>1</v>
      </c>
      <c r="F7" s="4" t="s">
        <v>950</v>
      </c>
      <c r="G7" s="17" t="n">
        <f aca="false">$G$6/SQRT($G$6^2+$H$6^2+$I$6^2)</f>
        <v>0.447213595499958</v>
      </c>
      <c r="H7" s="17" t="n">
        <f aca="false">$H$6/SQRT($G$6^2+$H$6^2+$I$6^2)</f>
        <v>-0.894427190999916</v>
      </c>
      <c r="I7" s="17" t="n">
        <f aca="false">$I$6/SQRT($G$6^2+$H$6^2+$I$6^2)</f>
        <v>0</v>
      </c>
    </row>
    <row r="8" customFormat="false" ht="15" hidden="false" customHeight="false" outlineLevel="0" collapsed="false">
      <c r="A8" s="4" t="s">
        <v>950</v>
      </c>
      <c r="B8" s="17" t="n">
        <f aca="false">$B$7/SQRT($B$7^2+$C$7^2+$D$7^2)</f>
        <v>0.0993807989999907</v>
      </c>
      <c r="C8" s="17" t="n">
        <f aca="false">$C$7/SQRT($B$7^2+$C$7^2+$D$7^2)</f>
        <v>-0.0496903994999953</v>
      </c>
      <c r="D8" s="17" t="n">
        <f aca="false">$D$7/SQRT($B$7^2+$C$7^2+$D$7^2)</f>
        <v>0.993807989999907</v>
      </c>
      <c r="F8" s="4" t="s">
        <v>951</v>
      </c>
      <c r="G8" s="8" t="n">
        <v>0</v>
      </c>
      <c r="H8" s="8" t="n">
        <v>1</v>
      </c>
      <c r="I8" s="8" t="n">
        <v>0</v>
      </c>
    </row>
    <row r="9" customFormat="false" ht="15" hidden="false" customHeight="false" outlineLevel="0" collapsed="false">
      <c r="A9" s="4" t="s">
        <v>952</v>
      </c>
      <c r="B9" s="8" t="n">
        <v>0</v>
      </c>
      <c r="C9" s="8" t="n">
        <v>1</v>
      </c>
      <c r="D9" s="8" t="n">
        <v>0</v>
      </c>
      <c r="F9" s="4" t="s">
        <v>953</v>
      </c>
      <c r="G9" s="13" t="n">
        <v>1</v>
      </c>
      <c r="H9" s="13" t="n">
        <v>1.5</v>
      </c>
    </row>
    <row r="10" customFormat="false" ht="15" hidden="false" customHeight="false" outlineLevel="0" collapsed="false">
      <c r="A10" s="4" t="s">
        <v>954</v>
      </c>
      <c r="B10" s="13" t="n">
        <v>1.5</v>
      </c>
      <c r="F10" s="4" t="s">
        <v>955</v>
      </c>
      <c r="G10" s="17" t="n">
        <f aca="false">$G$9/$H$9</f>
        <v>0.666666666666667</v>
      </c>
    </row>
    <row r="11" customFormat="false" ht="15" hidden="false" customHeight="false" outlineLevel="0" collapsed="false">
      <c r="A11" s="4" t="s">
        <v>956</v>
      </c>
      <c r="B11" s="17" t="n">
        <f aca="false">$B$6-$B$9</f>
        <v>0</v>
      </c>
      <c r="C11" s="17" t="n">
        <f aca="false">$C$6-$C$9</f>
        <v>1</v>
      </c>
      <c r="D11" s="17" t="n">
        <f aca="false">$D$6-$D$9</f>
        <v>-10</v>
      </c>
      <c r="F11" s="4" t="s">
        <v>957</v>
      </c>
      <c r="G11" s="17" t="n">
        <f aca="false">-($G$7*$G$8+$H$7*$H$8+$I$7*$I$8)</f>
        <v>0.894427190999916</v>
      </c>
    </row>
    <row r="12" customFormat="false" ht="15" hidden="false" customHeight="false" outlineLevel="0" collapsed="false">
      <c r="A12" s="4" t="s">
        <v>958</v>
      </c>
      <c r="B12" s="17" t="n">
        <f aca="false">$B$8*$B$8+$C$8*$C$8+$D$8*$D$8</f>
        <v>1</v>
      </c>
      <c r="F12" s="4" t="s">
        <v>959</v>
      </c>
      <c r="G12" s="17" t="n">
        <f aca="false">1-$G$10^2*(1-$G$11^2)</f>
        <v>0.911111111111111</v>
      </c>
    </row>
    <row r="13" customFormat="false" ht="15" hidden="false" customHeight="false" outlineLevel="0" collapsed="false">
      <c r="A13" s="4" t="s">
        <v>960</v>
      </c>
      <c r="B13" s="17" t="n">
        <f aca="false">2*($B$8*$B$11+$C$8*$C$11+$D$8*$D$11)</f>
        <v>-19.9755405989981</v>
      </c>
      <c r="F13" s="4" t="s">
        <v>961</v>
      </c>
      <c r="G13" s="17" t="n">
        <f aca="false">IF($G$12&lt;0,"TIR",$G$10*$G$7+($G$10*$G$11-SQRT($G$12))*$G$8)</f>
        <v>0.298142396999972</v>
      </c>
      <c r="H13" s="17" t="n">
        <f aca="false">IF($G$12&lt;0,"TIR",$G$10*$H$7+($G$10*$G$11-SQRT($G$12))*$H$8)</f>
        <v>-0.954521404218424</v>
      </c>
      <c r="I13" s="17" t="n">
        <f aca="false">IF($G$12&lt;0,"TIR",$G$10*$I$7+($G$10*$G$11-SQRT($G$12))*$I$8)</f>
        <v>0</v>
      </c>
    </row>
    <row r="14" customFormat="false" ht="15" hidden="false" customHeight="false" outlineLevel="0" collapsed="false">
      <c r="A14" s="4" t="s">
        <v>962</v>
      </c>
      <c r="B14" s="17" t="n">
        <f aca="false">$B$11*$B$11+$C$11*$C$11+$D$11*$D$11-$B$10^2</f>
        <v>98.75</v>
      </c>
      <c r="F14" s="4" t="s">
        <v>963</v>
      </c>
      <c r="G14" s="17" t="n">
        <f aca="false">DEGREES(ACOS($G$11))</f>
        <v>26.565051177078</v>
      </c>
    </row>
    <row r="15" customFormat="false" ht="15" hidden="false" customHeight="false" outlineLevel="0" collapsed="false">
      <c r="A15" s="4" t="s">
        <v>964</v>
      </c>
      <c r="B15" s="17" t="n">
        <f aca="false">$B$13^2-4*$B$12*$B$14</f>
        <v>4.02222222222218</v>
      </c>
      <c r="F15" s="4" t="s">
        <v>965</v>
      </c>
      <c r="G15" s="17" t="n">
        <f aca="false">DEGREES(ASIN($G$10*SIN(RADIANS($G$14))))</f>
        <v>17.3460652926699</v>
      </c>
    </row>
    <row r="16" customFormat="false" ht="15" hidden="false" customHeight="false" outlineLevel="0" collapsed="false">
      <c r="A16" s="4" t="s">
        <v>966</v>
      </c>
      <c r="B16" s="17" t="n">
        <f aca="false">IF($B$15&gt;=0,(-$B$13-SQRT($B$15))/(2*$B$12),"miss")</f>
        <v>8.98499636906631</v>
      </c>
      <c r="F16" s="4" t="s">
        <v>967</v>
      </c>
      <c r="G16" s="17" t="n">
        <f aca="false">$G$9*SIN(RADIANS($G$14))-$H$9*SIN(RADIANS($G$15))</f>
        <v>0</v>
      </c>
    </row>
    <row r="17" customFormat="false" ht="15" hidden="false" customHeight="false" outlineLevel="0" collapsed="false">
      <c r="A17" s="4" t="s">
        <v>968</v>
      </c>
      <c r="B17" s="17" t="n">
        <f aca="false">IF($B$15&gt;=0,(-$B$13+SQRT($B$15))/(2*$B$12),"miss")</f>
        <v>10.9905442299318</v>
      </c>
      <c r="F17" s="4" t="s">
        <v>969</v>
      </c>
      <c r="G17" s="17" t="n">
        <f aca="false">0.5*((($G$10*$G$11-SQRT($G$12))/($G$10*$G$11+SQRT($G$12)))^2+(($G$11-$G$10*SQRT($G$12))/($G$11+$G$10*SQRT($G$12)))^2)</f>
        <v>0.0408925404924088</v>
      </c>
    </row>
    <row r="18" customFormat="false" ht="15" hidden="false" customHeight="false" outlineLevel="0" collapsed="false">
      <c r="A18" s="4" t="s">
        <v>970</v>
      </c>
      <c r="B18" s="17" t="n">
        <f aca="false">$B$6+$B$16*$B$8</f>
        <v>0.892936118169825</v>
      </c>
      <c r="C18" s="17" t="n">
        <f aca="false">$C$6+$B$16*$C$8</f>
        <v>1.55353194091509</v>
      </c>
      <c r="D18" s="17" t="n">
        <f aca="false">$D$6+$B$16*$D$8</f>
        <v>-1.07063881830175</v>
      </c>
      <c r="F18" s="4" t="s">
        <v>971</v>
      </c>
      <c r="G18" s="17" t="n">
        <f aca="false">(($G$9-$H$9)/($G$9+$H$9))^2</f>
        <v>0.04</v>
      </c>
    </row>
    <row r="19" customFormat="false" ht="15" hidden="false" customHeight="false" outlineLevel="0" collapsed="false">
      <c r="A19" s="4" t="s">
        <v>972</v>
      </c>
      <c r="B19" s="17" t="n">
        <f aca="false">($B$18-$B$9)/$B$10</f>
        <v>0.59529074544655</v>
      </c>
      <c r="C19" s="17" t="n">
        <f aca="false">($C$18-$C$9)/$B$10</f>
        <v>0.369021293943392</v>
      </c>
      <c r="D19" s="17" t="n">
        <f aca="false">($D$18-$D$9)/$B$10</f>
        <v>-0.713759212201168</v>
      </c>
    </row>
    <row r="20" customFormat="false" ht="15" hidden="false" customHeight="false" outlineLevel="0" collapsed="false">
      <c r="A20" s="4" t="s">
        <v>973</v>
      </c>
      <c r="B20" s="17" t="n">
        <f aca="false">$B$8*$B$19+$C$8*$C$19+$D$8*$D$19</f>
        <v>-0.668515953621834</v>
      </c>
      <c r="F20" s="10" t="s">
        <v>974</v>
      </c>
    </row>
    <row r="21" customFormat="false" ht="20.85" hidden="false" customHeight="false" outlineLevel="0" collapsed="false">
      <c r="A21" s="4" t="s">
        <v>975</v>
      </c>
      <c r="B21" s="17" t="n">
        <f aca="false">$B$8-2*$B$20*$B$19</f>
        <v>0.895303519748896</v>
      </c>
      <c r="C21" s="17" t="n">
        <f aca="false">$C$8-2*$B$20*$C$19</f>
        <v>0.443702844954664</v>
      </c>
      <c r="D21" s="17" t="n">
        <f aca="false">$D$8-2*$B$20*$D$19</f>
        <v>0.0394891491978406</v>
      </c>
      <c r="F21" s="3" t="s">
        <v>963</v>
      </c>
      <c r="G21" s="3" t="s">
        <v>976</v>
      </c>
      <c r="H21" s="3" t="s">
        <v>977</v>
      </c>
      <c r="I21" s="3" t="s">
        <v>978</v>
      </c>
    </row>
    <row r="22" customFormat="false" ht="15" hidden="false" customHeight="false" outlineLevel="0" collapsed="false">
      <c r="A22" s="4" t="s">
        <v>979</v>
      </c>
      <c r="B22" s="17" t="n">
        <f aca="false">SQRT($B$21^2+$C$21^2+$D$21^2)</f>
        <v>0.999999999999997</v>
      </c>
      <c r="F22" s="4" t="s">
        <v>980</v>
      </c>
      <c r="G22" s="17" t="n">
        <f aca="false">DEGREES(ASIN($G$9/$H$9))</f>
        <v>41.8103148957786</v>
      </c>
    </row>
    <row r="23" customFormat="false" ht="15" hidden="false" customHeight="false" outlineLevel="0" collapsed="false">
      <c r="F23" s="8" t="n">
        <v>20</v>
      </c>
      <c r="G23" s="17" t="n">
        <f aca="false">1-($H$9/$G$9)^2*SIN(RADIANS(F23))^2</f>
        <v>0.73679999850885</v>
      </c>
      <c r="H23" s="12" t="str">
        <f aca="false">IF(G23&lt;0,"yes","no")</f>
        <v>no</v>
      </c>
      <c r="I23" s="17" t="n">
        <f aca="false">IF(G23&lt;0,1,0.5*(((($H$9/$G$9)*COS(RADIANS(F23))-SQRT(G23))/(($H$9/$G$9)*COS(RADIANS(F23))+SQRT(G23)))^2+((COS(RADIANS(F23))-($H$9/$G$9)*SQRT(G23))/(COS(RADIANS(F23))+($H$9/$G$9)*SQRT(G23)))^2))</f>
        <v>0.0417285181906222</v>
      </c>
    </row>
    <row r="24" customFormat="false" ht="15" hidden="false" customHeight="false" outlineLevel="0" collapsed="false">
      <c r="A24" s="3" t="s">
        <v>981</v>
      </c>
      <c r="B24" s="3" t="s">
        <v>564</v>
      </c>
      <c r="C24" s="3" t="s">
        <v>565</v>
      </c>
      <c r="D24" s="3" t="s">
        <v>566</v>
      </c>
      <c r="F24" s="8" t="n">
        <v>30</v>
      </c>
      <c r="G24" s="17" t="n">
        <f aca="false">1-($H$9/$G$9)^2*SIN(RADIANS(F24))^2</f>
        <v>0.4375</v>
      </c>
      <c r="H24" s="12" t="str">
        <f aca="false">IF(G24&lt;0,"yes","no")</f>
        <v>no</v>
      </c>
      <c r="I24" s="17" t="n">
        <f aca="false">IF(G24&lt;0,1,0.5*(((($H$9/$G$9)*COS(RADIANS(F24))-SQRT(G24))/(($H$9/$G$9)*COS(RADIANS(F24))+SQRT(G24)))^2+((COS(RADIANS(F24))-($H$9/$G$9)*SQRT(G24))/(COS(RADIANS(F24))+($H$9/$G$9)*SQRT(G24)))^2))</f>
        <v>0.0551901672953759</v>
      </c>
    </row>
    <row r="25" customFormat="false" ht="15" hidden="false" customHeight="false" outlineLevel="0" collapsed="false">
      <c r="A25" s="4" t="s">
        <v>947</v>
      </c>
      <c r="B25" s="8" t="n">
        <v>0</v>
      </c>
      <c r="C25" s="8" t="n">
        <v>5</v>
      </c>
      <c r="D25" s="8" t="n">
        <v>0</v>
      </c>
      <c r="F25" s="8" t="n">
        <v>41</v>
      </c>
      <c r="G25" s="17" t="n">
        <f aca="false">1-($H$9/$G$9)^2*SIN(RADIANS(F25))^2</f>
        <v>0.0315697385800737</v>
      </c>
      <c r="H25" s="12" t="str">
        <f aca="false">IF(G25&lt;0,"yes","no")</f>
        <v>no</v>
      </c>
      <c r="I25" s="17" t="n">
        <f aca="false">IF(G25&lt;0,1,0.5*(((($H$9/$G$9)*COS(RADIANS(F25))-SQRT(G25))/(($H$9/$G$9)*COS(RADIANS(F25))+SQRT(G25)))^2+((COS(RADIANS(F25))-($H$9/$G$9)*SQRT(G25))/(COS(RADIANS(F25))+($H$9/$G$9)*SQRT(G25)))^2))</f>
        <v>0.37975126596244</v>
      </c>
    </row>
    <row r="26" customFormat="false" ht="15" hidden="false" customHeight="false" outlineLevel="0" collapsed="false">
      <c r="A26" s="4" t="s">
        <v>949</v>
      </c>
      <c r="B26" s="8" t="n">
        <v>1</v>
      </c>
      <c r="C26" s="8" t="n">
        <v>-1</v>
      </c>
      <c r="D26" s="13" t="n">
        <v>0.5</v>
      </c>
      <c r="F26" s="8" t="n">
        <v>42</v>
      </c>
      <c r="G26" s="17" t="n">
        <f aca="false">1-($H$9/$G$9)^2*SIN(RADIANS(F26))^2</f>
        <v>-0.00740547882388998</v>
      </c>
      <c r="H26" s="12" t="str">
        <f aca="false">IF(G26&lt;0,"yes","no")</f>
        <v>yes</v>
      </c>
      <c r="I26" s="17" t="n">
        <f aca="false">IF(G26&lt;0,1,0.5*(((($H$9/$G$9)*COS(RADIANS(F26))-SQRT(G26))/(($H$9/$G$9)*COS(RADIANS(F26))+SQRT(G26)))^2+((COS(RADIANS(F26))-($H$9/$G$9)*SQRT(G26))/(COS(RADIANS(F26))+($H$9/$G$9)*SQRT(G26)))^2))</f>
        <v>1</v>
      </c>
    </row>
    <row r="27" customFormat="false" ht="15" hidden="false" customHeight="false" outlineLevel="0" collapsed="false">
      <c r="A27" s="4" t="s">
        <v>950</v>
      </c>
      <c r="B27" s="17" t="n">
        <f aca="false">$B$26/SQRT($B$26^2+$C$26^2+$D$26^2)</f>
        <v>0.666666666666667</v>
      </c>
      <c r="C27" s="17" t="n">
        <f aca="false">$C$26/SQRT($B$26^2+$C$26^2+$D$26^2)</f>
        <v>-0.666666666666667</v>
      </c>
      <c r="D27" s="17" t="n">
        <f aca="false">$D$26/SQRT($B$26^2+$C$26^2+$D$26^2)</f>
        <v>0.333333333333333</v>
      </c>
      <c r="F27" s="8" t="n">
        <v>60</v>
      </c>
      <c r="G27" s="17" t="n">
        <f aca="false">1-($H$9/$G$9)^2*SIN(RADIANS(F27))^2</f>
        <v>-0.6875</v>
      </c>
      <c r="H27" s="12" t="str">
        <f aca="false">IF(G27&lt;0,"yes","no")</f>
        <v>yes</v>
      </c>
      <c r="I27" s="17" t="n">
        <f aca="false">IF(G27&lt;0,1,0.5*(((($H$9/$G$9)*COS(RADIANS(F27))-SQRT(G27))/(($H$9/$G$9)*COS(RADIANS(F27))+SQRT(G27)))^2+((COS(RADIANS(F27))-($H$9/$G$9)*SQRT(G27))/(COS(RADIANS(F27))+($H$9/$G$9)*SQRT(G27)))^2))</f>
        <v>1</v>
      </c>
    </row>
    <row r="28" customFormat="false" ht="15" hidden="false" customHeight="false" outlineLevel="0" collapsed="false">
      <c r="A28" s="4" t="s">
        <v>982</v>
      </c>
      <c r="B28" s="8" t="n">
        <v>0</v>
      </c>
      <c r="C28" s="8" t="n">
        <v>1</v>
      </c>
      <c r="D28" s="8" t="n">
        <v>0</v>
      </c>
    </row>
    <row r="29" customFormat="false" ht="15" hidden="false" customHeight="false" outlineLevel="0" collapsed="false">
      <c r="A29" s="4" t="s">
        <v>983</v>
      </c>
      <c r="B29" s="8" t="n">
        <v>0</v>
      </c>
      <c r="C29" s="8" t="n">
        <v>0</v>
      </c>
      <c r="D29" s="8" t="n">
        <v>0</v>
      </c>
      <c r="F29" s="10" t="s">
        <v>984</v>
      </c>
    </row>
    <row r="30" customFormat="false" ht="15" hidden="false" customHeight="false" outlineLevel="0" collapsed="false">
      <c r="A30" s="4" t="s">
        <v>985</v>
      </c>
      <c r="B30" s="17" t="n">
        <f aca="false">$B$28*$B$27+$C$28*$C$27+$D$28*$D$27</f>
        <v>-0.666666666666667</v>
      </c>
      <c r="F30" s="4" t="s">
        <v>986</v>
      </c>
      <c r="G30" s="13" t="n">
        <v>0.5</v>
      </c>
      <c r="H30" s="8" t="n">
        <v>5</v>
      </c>
    </row>
    <row r="31" customFormat="false" ht="20.85" hidden="false" customHeight="false" outlineLevel="0" collapsed="false">
      <c r="A31" s="4" t="s">
        <v>987</v>
      </c>
      <c r="B31" s="17" t="n">
        <f aca="false">IF($B$30&lt;&gt;0,($B$28*($B$29-$B$25)+$C$28*($C$29-$C$25)+$D$28*($D$29-$D$25))/$B$30,"parallel")</f>
        <v>7.5</v>
      </c>
      <c r="F31" s="3" t="s">
        <v>988</v>
      </c>
      <c r="G31" s="3" t="s">
        <v>989</v>
      </c>
      <c r="H31" s="3" t="s">
        <v>990</v>
      </c>
      <c r="I31" s="3" t="s">
        <v>991</v>
      </c>
    </row>
    <row r="32" customFormat="false" ht="15" hidden="false" customHeight="false" outlineLevel="0" collapsed="false">
      <c r="A32" s="4" t="s">
        <v>992</v>
      </c>
      <c r="B32" s="17" t="n">
        <f aca="false">$B$25+$B$31*$B$27</f>
        <v>5</v>
      </c>
      <c r="C32" s="17" t="n">
        <f aca="false">$C$25+$B$31*$C$27</f>
        <v>0</v>
      </c>
      <c r="D32" s="17" t="n">
        <f aca="false">$D$25+$B$31*$D$27</f>
        <v>2.5</v>
      </c>
      <c r="F32" s="8" t="n">
        <v>0</v>
      </c>
      <c r="G32" s="17" t="n">
        <f aca="false">IF(F32&lt;=$H$30,$G$30^F32,0)</f>
        <v>1</v>
      </c>
      <c r="H32" s="17" t="n">
        <f aca="false">SUM(G32)</f>
        <v>1</v>
      </c>
      <c r="I32" s="17" t="n">
        <f aca="false">H32*(1-$G$30)</f>
        <v>0.5</v>
      </c>
    </row>
    <row r="33" customFormat="false" ht="15" hidden="false" customHeight="false" outlineLevel="0" collapsed="false">
      <c r="A33" s="4" t="s">
        <v>975</v>
      </c>
      <c r="B33" s="17" t="n">
        <f aca="false">$B$27-2*$B$30*$B$28</f>
        <v>0.666666666666667</v>
      </c>
      <c r="C33" s="17" t="n">
        <f aca="false">$C$27-2*$B$30*$C$28</f>
        <v>0.666666666666667</v>
      </c>
      <c r="D33" s="17" t="n">
        <f aca="false">$D$27-2*$B$30*$D$28</f>
        <v>0.333333333333333</v>
      </c>
      <c r="F33" s="8" t="n">
        <v>1</v>
      </c>
      <c r="G33" s="17" t="n">
        <f aca="false">IF(F33&lt;=$H$30,$G$30^F33,0)</f>
        <v>0.5</v>
      </c>
      <c r="H33" s="17" t="n">
        <f aca="false">SUM(G32:G33)</f>
        <v>1.5</v>
      </c>
      <c r="I33" s="17" t="n">
        <f aca="false">H33*(1-$G$30)</f>
        <v>0.75</v>
      </c>
    </row>
    <row r="34" customFormat="false" ht="15" hidden="false" customHeight="false" outlineLevel="0" collapsed="false">
      <c r="F34" s="8" t="n">
        <v>2</v>
      </c>
      <c r="G34" s="17" t="n">
        <f aca="false">IF(F34&lt;=$H$30,$G$30^F34,0)</f>
        <v>0.25</v>
      </c>
      <c r="H34" s="17" t="n">
        <f aca="false">SUM(G32:G34)</f>
        <v>1.75</v>
      </c>
      <c r="I34" s="17" t="n">
        <f aca="false">H34*(1-$G$30)</f>
        <v>0.875</v>
      </c>
    </row>
    <row r="35" customFormat="false" ht="15" hidden="false" customHeight="false" outlineLevel="0" collapsed="false">
      <c r="F35" s="8" t="n">
        <v>3</v>
      </c>
      <c r="G35" s="17" t="n">
        <f aca="false">IF(F35&lt;=$H$30,$G$30^F35,0)</f>
        <v>0.125</v>
      </c>
      <c r="H35" s="17" t="n">
        <f aca="false">SUM(G32:G35)</f>
        <v>1.875</v>
      </c>
      <c r="I35" s="17" t="n">
        <f aca="false">H35*(1-$G$30)</f>
        <v>0.9375</v>
      </c>
    </row>
    <row r="36" customFormat="false" ht="15" hidden="false" customHeight="false" outlineLevel="0" collapsed="false">
      <c r="F36" s="8" t="n">
        <v>4</v>
      </c>
      <c r="G36" s="17" t="n">
        <f aca="false">IF(F36&lt;=$H$30,$G$30^F36,0)</f>
        <v>0.0625</v>
      </c>
      <c r="H36" s="17" t="n">
        <f aca="false">SUM(G32:G36)</f>
        <v>1.9375</v>
      </c>
      <c r="I36" s="17" t="n">
        <f aca="false">H36*(1-$G$30)</f>
        <v>0.96875</v>
      </c>
    </row>
    <row r="37" customFormat="false" ht="15" hidden="false" customHeight="false" outlineLevel="0" collapsed="false">
      <c r="F37" s="8" t="n">
        <v>5</v>
      </c>
      <c r="G37" s="17" t="n">
        <f aca="false">IF(F37&lt;=$H$30,$G$30^F37,0)</f>
        <v>0.03125</v>
      </c>
      <c r="H37" s="17" t="n">
        <f aca="false">SUM(G32:G37)</f>
        <v>1.96875</v>
      </c>
      <c r="I37" s="17" t="n">
        <f aca="false">H37*(1-$G$30)</f>
        <v>0.984375</v>
      </c>
    </row>
    <row r="38" customFormat="false" ht="15" hidden="false" customHeight="false" outlineLevel="0" collapsed="false">
      <c r="F38" s="8" t="n">
        <v>6</v>
      </c>
      <c r="G38" s="17" t="n">
        <f aca="false">IF(F38&lt;=$H$30,$G$30^F38,0)</f>
        <v>0</v>
      </c>
      <c r="H38" s="17" t="n">
        <f aca="false">SUM(G32:G38)</f>
        <v>1.96875</v>
      </c>
      <c r="I38" s="17" t="n">
        <f aca="false">H38*(1-$G$30)</f>
        <v>0.984375</v>
      </c>
    </row>
    <row r="39" customFormat="false" ht="15" hidden="false" customHeight="false" outlineLevel="0" collapsed="false">
      <c r="F39" s="2" t="s">
        <v>993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0" min="2" style="0" width="7.2"/>
  </cols>
  <sheetData>
    <row r="1" customFormat="false" ht="16.15" hidden="false" customHeight="false" outlineLevel="0" collapsed="false">
      <c r="A1" s="1" t="s">
        <v>994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995</v>
      </c>
    </row>
    <row r="5" customFormat="false" ht="15" hidden="false" customHeight="false" outlineLevel="0" collapsed="false">
      <c r="B5" s="4" t="s">
        <v>996</v>
      </c>
      <c r="C5" s="13" t="n">
        <v>1</v>
      </c>
      <c r="E5" s="45" t="s">
        <v>997</v>
      </c>
      <c r="J5" s="4" t="s">
        <v>998</v>
      </c>
      <c r="K5" s="4"/>
      <c r="L5" s="4"/>
      <c r="M5" s="13" t="n">
        <v>2</v>
      </c>
      <c r="W5" s="10" t="s">
        <v>999</v>
      </c>
    </row>
    <row r="6" customFormat="false" ht="15" hidden="false" customHeight="false" outlineLevel="0" collapsed="false">
      <c r="W6" s="3" t="s">
        <v>1000</v>
      </c>
      <c r="X6" s="3" t="s">
        <v>1001</v>
      </c>
      <c r="Y6" s="3" t="s">
        <v>1002</v>
      </c>
      <c r="Z6" s="3" t="s">
        <v>1003</v>
      </c>
    </row>
    <row r="7" customFormat="false" ht="15" hidden="false" customHeight="false" outlineLevel="0" collapsed="false">
      <c r="B7" s="10" t="s">
        <v>1004</v>
      </c>
      <c r="H7" s="10" t="s">
        <v>1005</v>
      </c>
      <c r="N7" s="10" t="s">
        <v>1006</v>
      </c>
      <c r="T7" s="10" t="s">
        <v>1007</v>
      </c>
      <c r="W7" s="4" t="s">
        <v>1008</v>
      </c>
      <c r="X7" s="38" t="n">
        <v>0.5</v>
      </c>
      <c r="Y7" s="38" t="n">
        <v>1</v>
      </c>
      <c r="Z7" s="38" t="n">
        <v>2.2</v>
      </c>
    </row>
    <row r="8" customFormat="false" ht="15" hidden="false" customHeight="false" outlineLevel="0" collapsed="false">
      <c r="B8" s="12" t="n">
        <f aca="false">EXP(-((-2)^2+(-2)^2)/(2*$C$5^2))</f>
        <v>0.0183156388887342</v>
      </c>
      <c r="C8" s="12" t="n">
        <f aca="false">EXP(-((-1)^2+(-2)^2)/(2*$C$5^2))</f>
        <v>0.0820849986238988</v>
      </c>
      <c r="D8" s="12" t="n">
        <f aca="false">EXP(-((0)^2+(-2)^2)/(2*$C$5^2))</f>
        <v>0.135335283236613</v>
      </c>
      <c r="E8" s="12" t="n">
        <f aca="false">EXP(-((1)^2+(-2)^2)/(2*$C$5^2))</f>
        <v>0.0820849986238988</v>
      </c>
      <c r="F8" s="12" t="n">
        <f aca="false">EXP(-((2)^2+(-2)^2)/(2*$C$5^2))</f>
        <v>0.0183156388887342</v>
      </c>
      <c r="H8" s="12" t="n">
        <f aca="false">B8/SUM($B$8:$F$12)</f>
        <v>0.0029690167439505</v>
      </c>
      <c r="I8" s="12" t="n">
        <f aca="false">C8/SUM($B$8:$F$12)</f>
        <v>0.0133062098910137</v>
      </c>
      <c r="J8" s="12" t="n">
        <f aca="false">D8/SUM($B$8:$F$12)</f>
        <v>0.0219382312797146</v>
      </c>
      <c r="K8" s="12" t="n">
        <f aca="false">E8/SUM($B$8:$F$12)</f>
        <v>0.0133062098910137</v>
      </c>
      <c r="L8" s="12" t="n">
        <f aca="false">F8/SUM($B$8:$F$12)</f>
        <v>0.0029690167439505</v>
      </c>
      <c r="N8" s="12" t="n">
        <f aca="false">$T$8*$T$8/256</f>
        <v>0.00390625</v>
      </c>
      <c r="O8" s="12" t="n">
        <f aca="false">$T$8*$T$9/256</f>
        <v>0.015625</v>
      </c>
      <c r="P8" s="12" t="n">
        <f aca="false">$T$8*$T$10/256</f>
        <v>0.0234375</v>
      </c>
      <c r="Q8" s="12" t="n">
        <f aca="false">$T$8*$T$11/256</f>
        <v>0.015625</v>
      </c>
      <c r="R8" s="12" t="n">
        <f aca="false">$T$8*$T$12/256</f>
        <v>0.00390625</v>
      </c>
      <c r="T8" s="8" t="n">
        <v>1</v>
      </c>
      <c r="W8" s="38" t="n">
        <v>0</v>
      </c>
      <c r="X8" s="17" t="n">
        <f aca="false">W8^(1/$X$7)</f>
        <v>0</v>
      </c>
      <c r="Y8" s="17" t="n">
        <f aca="false">W8^(1/$Y$7)</f>
        <v>0</v>
      </c>
      <c r="Z8" s="17" t="n">
        <f aca="false">W8^(1/$Z$7)</f>
        <v>0</v>
      </c>
    </row>
    <row r="9" customFormat="false" ht="15" hidden="false" customHeight="false" outlineLevel="0" collapsed="false">
      <c r="B9" s="12" t="n">
        <f aca="false">EXP(-((-2)^2+(-1)^2)/(2*$C$5^2))</f>
        <v>0.0820849986238988</v>
      </c>
      <c r="C9" s="12" t="n">
        <f aca="false">EXP(-((-1)^2+(-1)^2)/(2*$C$5^2))</f>
        <v>0.367879441171442</v>
      </c>
      <c r="D9" s="12" t="n">
        <f aca="false">EXP(-((0)^2+(-1)^2)/(2*$C$5^2))</f>
        <v>0.606530659712633</v>
      </c>
      <c r="E9" s="12" t="n">
        <f aca="false">EXP(-((1)^2+(-1)^2)/(2*$C$5^2))</f>
        <v>0.367879441171442</v>
      </c>
      <c r="F9" s="12" t="n">
        <f aca="false">EXP(-((2)^2+(-1)^2)/(2*$C$5^2))</f>
        <v>0.0820849986238988</v>
      </c>
      <c r="H9" s="12" t="n">
        <f aca="false">B9/SUM($B$8:$F$12)</f>
        <v>0.0133062098910137</v>
      </c>
      <c r="I9" s="12" t="n">
        <f aca="false">C9/SUM($B$8:$F$12)</f>
        <v>0.0596342954361801</v>
      </c>
      <c r="J9" s="12" t="n">
        <f aca="false">D9/SUM($B$8:$F$12)</f>
        <v>0.0983203313488458</v>
      </c>
      <c r="K9" s="12" t="n">
        <f aca="false">E9/SUM($B$8:$F$12)</f>
        <v>0.0596342954361801</v>
      </c>
      <c r="L9" s="12" t="n">
        <f aca="false">F9/SUM($B$8:$F$12)</f>
        <v>0.0133062098910137</v>
      </c>
      <c r="N9" s="12" t="n">
        <f aca="false">$T$9*$T$8/256</f>
        <v>0.015625</v>
      </c>
      <c r="O9" s="12" t="n">
        <f aca="false">$T$9*$T$9/256</f>
        <v>0.0625</v>
      </c>
      <c r="P9" s="12" t="n">
        <f aca="false">$T$9*$T$10/256</f>
        <v>0.09375</v>
      </c>
      <c r="Q9" s="12" t="n">
        <f aca="false">$T$9*$T$11/256</f>
        <v>0.0625</v>
      </c>
      <c r="R9" s="12" t="n">
        <f aca="false">$T$9*$T$12/256</f>
        <v>0.015625</v>
      </c>
      <c r="T9" s="8" t="n">
        <v>4</v>
      </c>
      <c r="W9" s="38" t="n">
        <v>0.1</v>
      </c>
      <c r="X9" s="17" t="n">
        <f aca="false">W9^(1/$X$7)</f>
        <v>0.01</v>
      </c>
      <c r="Y9" s="17" t="n">
        <f aca="false">W9^(1/$Y$7)</f>
        <v>0.1</v>
      </c>
      <c r="Z9" s="17" t="n">
        <f aca="false">W9^(1/$Z$7)</f>
        <v>0.351119173421513</v>
      </c>
    </row>
    <row r="10" customFormat="false" ht="15" hidden="false" customHeight="false" outlineLevel="0" collapsed="false">
      <c r="B10" s="12" t="n">
        <f aca="false">EXP(-((-2)^2+(0)^2)/(2*$C$5^2))</f>
        <v>0.135335283236613</v>
      </c>
      <c r="C10" s="12" t="n">
        <f aca="false">EXP(-((-1)^2+(0)^2)/(2*$C$5^2))</f>
        <v>0.606530659712633</v>
      </c>
      <c r="D10" s="12" t="n">
        <f aca="false">EXP(-((0)^2+(0)^2)/(2*$C$5^2))</f>
        <v>1</v>
      </c>
      <c r="E10" s="12" t="n">
        <f aca="false">EXP(-((1)^2+(0)^2)/(2*$C$5^2))</f>
        <v>0.606530659712633</v>
      </c>
      <c r="F10" s="12" t="n">
        <f aca="false">EXP(-((2)^2+(0)^2)/(2*$C$5^2))</f>
        <v>0.135335283236613</v>
      </c>
      <c r="H10" s="12" t="n">
        <f aca="false">B10/SUM($B$8:$F$12)</f>
        <v>0.0219382312797146</v>
      </c>
      <c r="I10" s="12" t="n">
        <f aca="false">C10/SUM($B$8:$F$12)</f>
        <v>0.0983203313488458</v>
      </c>
      <c r="J10" s="12" t="n">
        <f aca="false">D10/SUM($B$8:$F$12)</f>
        <v>0.162102821637127</v>
      </c>
      <c r="K10" s="12" t="n">
        <f aca="false">E10/SUM($B$8:$F$12)</f>
        <v>0.0983203313488458</v>
      </c>
      <c r="L10" s="12" t="n">
        <f aca="false">F10/SUM($B$8:$F$12)</f>
        <v>0.0219382312797146</v>
      </c>
      <c r="N10" s="12" t="n">
        <f aca="false">$T$10*$T$8/256</f>
        <v>0.0234375</v>
      </c>
      <c r="O10" s="12" t="n">
        <f aca="false">$T$10*$T$9/256</f>
        <v>0.09375</v>
      </c>
      <c r="P10" s="12" t="n">
        <f aca="false">$T$10*$T$10/256</f>
        <v>0.140625</v>
      </c>
      <c r="Q10" s="12" t="n">
        <f aca="false">$T$10*$T$11/256</f>
        <v>0.09375</v>
      </c>
      <c r="R10" s="12" t="n">
        <f aca="false">$T$10*$T$12/256</f>
        <v>0.0234375</v>
      </c>
      <c r="T10" s="8" t="n">
        <v>6</v>
      </c>
      <c r="W10" s="38" t="n">
        <v>0.2</v>
      </c>
      <c r="X10" s="17" t="n">
        <f aca="false">W10^(1/$X$7)</f>
        <v>0.04</v>
      </c>
      <c r="Y10" s="17" t="n">
        <f aca="false">W10^(1/$Y$7)</f>
        <v>0.2</v>
      </c>
      <c r="Z10" s="17" t="n">
        <f aca="false">W10^(1/$Z$7)</f>
        <v>0.481156505052286</v>
      </c>
    </row>
    <row r="11" customFormat="false" ht="15" hidden="false" customHeight="false" outlineLevel="0" collapsed="false">
      <c r="B11" s="12" t="n">
        <f aca="false">EXP(-((-2)^2+(1)^2)/(2*$C$5^2))</f>
        <v>0.0820849986238988</v>
      </c>
      <c r="C11" s="12" t="n">
        <f aca="false">EXP(-((-1)^2+(1)^2)/(2*$C$5^2))</f>
        <v>0.367879441171442</v>
      </c>
      <c r="D11" s="12" t="n">
        <f aca="false">EXP(-((0)^2+(1)^2)/(2*$C$5^2))</f>
        <v>0.606530659712633</v>
      </c>
      <c r="E11" s="12" t="n">
        <f aca="false">EXP(-((1)^2+(1)^2)/(2*$C$5^2))</f>
        <v>0.367879441171442</v>
      </c>
      <c r="F11" s="12" t="n">
        <f aca="false">EXP(-((2)^2+(1)^2)/(2*$C$5^2))</f>
        <v>0.0820849986238988</v>
      </c>
      <c r="H11" s="12" t="n">
        <f aca="false">B11/SUM($B$8:$F$12)</f>
        <v>0.0133062098910137</v>
      </c>
      <c r="I11" s="12" t="n">
        <f aca="false">C11/SUM($B$8:$F$12)</f>
        <v>0.0596342954361801</v>
      </c>
      <c r="J11" s="12" t="n">
        <f aca="false">D11/SUM($B$8:$F$12)</f>
        <v>0.0983203313488458</v>
      </c>
      <c r="K11" s="12" t="n">
        <f aca="false">E11/SUM($B$8:$F$12)</f>
        <v>0.0596342954361801</v>
      </c>
      <c r="L11" s="12" t="n">
        <f aca="false">F11/SUM($B$8:$F$12)</f>
        <v>0.0133062098910137</v>
      </c>
      <c r="N11" s="12" t="n">
        <f aca="false">$T$11*$T$8/256</f>
        <v>0.015625</v>
      </c>
      <c r="O11" s="12" t="n">
        <f aca="false">$T$11*$T$9/256</f>
        <v>0.0625</v>
      </c>
      <c r="P11" s="12" t="n">
        <f aca="false">$T$11*$T$10/256</f>
        <v>0.09375</v>
      </c>
      <c r="Q11" s="12" t="n">
        <f aca="false">$T$11*$T$11/256</f>
        <v>0.0625</v>
      </c>
      <c r="R11" s="12" t="n">
        <f aca="false">$T$11*$T$12/256</f>
        <v>0.015625</v>
      </c>
      <c r="T11" s="8" t="n">
        <v>4</v>
      </c>
      <c r="W11" s="38" t="n">
        <v>0.3</v>
      </c>
      <c r="X11" s="17" t="n">
        <f aca="false">W11^(1/$X$7)</f>
        <v>0.09</v>
      </c>
      <c r="Y11" s="17" t="n">
        <f aca="false">W11^(1/$Y$7)</f>
        <v>0.3</v>
      </c>
      <c r="Z11" s="17" t="n">
        <f aca="false">W11^(1/$Z$7)</f>
        <v>0.578532609081417</v>
      </c>
    </row>
    <row r="12" customFormat="false" ht="15" hidden="false" customHeight="false" outlineLevel="0" collapsed="false">
      <c r="B12" s="12" t="n">
        <f aca="false">EXP(-((-2)^2+(2)^2)/(2*$C$5^2))</f>
        <v>0.0183156388887342</v>
      </c>
      <c r="C12" s="12" t="n">
        <f aca="false">EXP(-((-1)^2+(2)^2)/(2*$C$5^2))</f>
        <v>0.0820849986238988</v>
      </c>
      <c r="D12" s="12" t="n">
        <f aca="false">EXP(-((0)^2+(2)^2)/(2*$C$5^2))</f>
        <v>0.135335283236613</v>
      </c>
      <c r="E12" s="12" t="n">
        <f aca="false">EXP(-((1)^2+(2)^2)/(2*$C$5^2))</f>
        <v>0.0820849986238988</v>
      </c>
      <c r="F12" s="12" t="n">
        <f aca="false">EXP(-((2)^2+(2)^2)/(2*$C$5^2))</f>
        <v>0.0183156388887342</v>
      </c>
      <c r="H12" s="12" t="n">
        <f aca="false">B12/SUM($B$8:$F$12)</f>
        <v>0.0029690167439505</v>
      </c>
      <c r="I12" s="12" t="n">
        <f aca="false">C12/SUM($B$8:$F$12)</f>
        <v>0.0133062098910137</v>
      </c>
      <c r="J12" s="12" t="n">
        <f aca="false">D12/SUM($B$8:$F$12)</f>
        <v>0.0219382312797146</v>
      </c>
      <c r="K12" s="12" t="n">
        <f aca="false">E12/SUM($B$8:$F$12)</f>
        <v>0.0133062098910137</v>
      </c>
      <c r="L12" s="12" t="n">
        <f aca="false">F12/SUM($B$8:$F$12)</f>
        <v>0.0029690167439505</v>
      </c>
      <c r="N12" s="12" t="n">
        <f aca="false">$T$12*$T$8/256</f>
        <v>0.00390625</v>
      </c>
      <c r="O12" s="12" t="n">
        <f aca="false">$T$12*$T$9/256</f>
        <v>0.015625</v>
      </c>
      <c r="P12" s="12" t="n">
        <f aca="false">$T$12*$T$10/256</f>
        <v>0.0234375</v>
      </c>
      <c r="Q12" s="12" t="n">
        <f aca="false">$T$12*$T$11/256</f>
        <v>0.015625</v>
      </c>
      <c r="R12" s="12" t="n">
        <f aca="false">$T$12*$T$12/256</f>
        <v>0.00390625</v>
      </c>
      <c r="T12" s="8" t="n">
        <v>1</v>
      </c>
      <c r="W12" s="38" t="n">
        <v>0.4</v>
      </c>
      <c r="X12" s="17" t="n">
        <f aca="false">W12^(1/$X$7)</f>
        <v>0.16</v>
      </c>
      <c r="Y12" s="17" t="n">
        <f aca="false">W12^(1/$Y$7)</f>
        <v>0.4</v>
      </c>
      <c r="Z12" s="17" t="n">
        <f aca="false">W12^(1/$Z$7)</f>
        <v>0.659353290502894</v>
      </c>
    </row>
    <row r="13" customFormat="false" ht="15" hidden="false" customHeight="false" outlineLevel="0" collapsed="false">
      <c r="B13" s="4" t="s">
        <v>477</v>
      </c>
      <c r="C13" s="17" t="n">
        <f aca="false">SUM(H8:L12)</f>
        <v>1</v>
      </c>
      <c r="H13" s="4" t="s">
        <v>1009</v>
      </c>
      <c r="I13" s="4"/>
      <c r="J13" s="4"/>
      <c r="K13" s="4"/>
      <c r="L13" s="17" t="n">
        <f aca="false">MAX(ABS(H8-N8),ABS(I8-O8),ABS(J8-P8),ABS(K8-Q8),ABS(L8-R8),ABS(H9-N9),ABS(I9-O9),ABS(J9-P9),ABS(K9-Q9),ABS(L9-R9),ABS(H10-N10),ABS(I10-O10),ABS(J10-P10),ABS(K10-Q10),ABS(L10-R10),ABS(H11-N11),ABS(I11-O11),ABS(J11-P11),ABS(K11-Q11),ABS(L11-R11),ABS(H12-N12),ABS(I12-O12),ABS(J12-P12),ABS(K12-Q12),ABS(L12-R12))</f>
        <v>0.0214778216371266</v>
      </c>
      <c r="N13" s="4" t="s">
        <v>477</v>
      </c>
      <c r="O13" s="17" t="n">
        <f aca="false">SUM(N8:R12)</f>
        <v>1</v>
      </c>
      <c r="W13" s="38" t="n">
        <v>0.5</v>
      </c>
      <c r="X13" s="17" t="n">
        <f aca="false">W13^(1/$X$7)</f>
        <v>0.25</v>
      </c>
      <c r="Y13" s="17" t="n">
        <f aca="false">W13^(1/$Y$7)</f>
        <v>0.5</v>
      </c>
      <c r="Z13" s="17" t="n">
        <f aca="false">W13^(1/$Z$7)</f>
        <v>0.729740052840723</v>
      </c>
    </row>
    <row r="14" customFormat="false" ht="15" hidden="false" customHeight="false" outlineLevel="0" collapsed="false">
      <c r="W14" s="38" t="n">
        <v>0.6</v>
      </c>
      <c r="X14" s="17" t="n">
        <f aca="false">W14^(1/$X$7)</f>
        <v>0.36</v>
      </c>
      <c r="Y14" s="17" t="n">
        <f aca="false">W14^(1/$Y$7)</f>
        <v>0.6</v>
      </c>
      <c r="Z14" s="17" t="n">
        <f aca="false">W14^(1/$Z$7)</f>
        <v>0.792792730547422</v>
      </c>
    </row>
    <row r="15" customFormat="false" ht="15" hidden="false" customHeight="false" outlineLevel="0" collapsed="false">
      <c r="B15" s="10" t="s">
        <v>1010</v>
      </c>
      <c r="H15" s="10" t="s">
        <v>1011</v>
      </c>
      <c r="L15" s="10" t="s">
        <v>1012</v>
      </c>
      <c r="P15" s="10" t="s">
        <v>1013</v>
      </c>
      <c r="U15" s="45"/>
      <c r="W15" s="38" t="n">
        <v>0.7</v>
      </c>
      <c r="X15" s="17" t="n">
        <f aca="false">W15^(1/$X$7)</f>
        <v>0.49</v>
      </c>
      <c r="Y15" s="17" t="n">
        <f aca="false">W15^(1/$Y$7)</f>
        <v>0.7</v>
      </c>
      <c r="Z15" s="17" t="n">
        <f aca="false">W15^(1/$Z$7)</f>
        <v>0.85033492770203</v>
      </c>
    </row>
    <row r="16" customFormat="false" ht="15" hidden="false" customHeight="false" outlineLevel="0" collapsed="false">
      <c r="B16" s="46" t="n">
        <v>0.2</v>
      </c>
      <c r="C16" s="46" t="n">
        <v>0.22</v>
      </c>
      <c r="D16" s="46" t="n">
        <v>0.25</v>
      </c>
      <c r="E16" s="46" t="n">
        <v>0.3</v>
      </c>
      <c r="F16" s="46" t="n">
        <v>0.32</v>
      </c>
      <c r="H16" s="9" t="n">
        <v>-1</v>
      </c>
      <c r="I16" s="9" t="n">
        <v>0</v>
      </c>
      <c r="J16" s="9" t="n">
        <v>1</v>
      </c>
      <c r="L16" s="9" t="n">
        <v>-1</v>
      </c>
      <c r="M16" s="9" t="n">
        <v>-2</v>
      </c>
      <c r="N16" s="9" t="n">
        <v>-1</v>
      </c>
      <c r="P16" s="12" t="n">
        <f aca="false">C17*H16</f>
        <v>-0.24</v>
      </c>
      <c r="Q16" s="12" t="n">
        <f aca="false">D17*I16</f>
        <v>0</v>
      </c>
      <c r="R16" s="12" t="n">
        <f aca="false">E17*J16</f>
        <v>0.65</v>
      </c>
      <c r="W16" s="38" t="n">
        <v>0.8</v>
      </c>
      <c r="X16" s="17" t="n">
        <f aca="false">W16^(1/$X$7)</f>
        <v>0.64</v>
      </c>
      <c r="Y16" s="17" t="n">
        <f aca="false">W16^(1/$Y$7)</f>
        <v>0.8</v>
      </c>
      <c r="Z16" s="17" t="n">
        <f aca="false">W16^(1/$Z$7)</f>
        <v>0.903545430919094</v>
      </c>
    </row>
    <row r="17" customFormat="false" ht="15" hidden="false" customHeight="false" outlineLevel="0" collapsed="false">
      <c r="B17" s="46" t="n">
        <v>0.21</v>
      </c>
      <c r="C17" s="46" t="n">
        <v>0.24</v>
      </c>
      <c r="D17" s="46" t="n">
        <v>0.6</v>
      </c>
      <c r="E17" s="46" t="n">
        <v>0.65</v>
      </c>
      <c r="F17" s="46" t="n">
        <v>0.34</v>
      </c>
      <c r="H17" s="9" t="n">
        <v>-2</v>
      </c>
      <c r="I17" s="9" t="n">
        <v>0</v>
      </c>
      <c r="J17" s="9" t="n">
        <v>2</v>
      </c>
      <c r="L17" s="9" t="n">
        <v>0</v>
      </c>
      <c r="M17" s="9" t="n">
        <v>0</v>
      </c>
      <c r="N17" s="9" t="n">
        <v>0</v>
      </c>
      <c r="P17" s="12" t="n">
        <f aca="false">C18*H17</f>
        <v>-0.6</v>
      </c>
      <c r="Q17" s="12" t="n">
        <f aca="false">D18*I17</f>
        <v>0</v>
      </c>
      <c r="R17" s="12" t="n">
        <f aca="false">E18*J17</f>
        <v>1.8</v>
      </c>
      <c r="W17" s="38" t="n">
        <v>0.9</v>
      </c>
      <c r="X17" s="17" t="n">
        <f aca="false">W17^(1/$X$7)</f>
        <v>0.81</v>
      </c>
      <c r="Y17" s="17" t="n">
        <f aca="false">W17^(1/$Y$7)</f>
        <v>0.9</v>
      </c>
      <c r="Z17" s="17" t="n">
        <f aca="false">W17^(1/$Z$7)</f>
        <v>0.953237547551269</v>
      </c>
    </row>
    <row r="18" customFormat="false" ht="15" hidden="false" customHeight="false" outlineLevel="0" collapsed="false">
      <c r="B18" s="46" t="n">
        <v>0.22</v>
      </c>
      <c r="C18" s="46" t="n">
        <v>0.3</v>
      </c>
      <c r="D18" s="46" t="n">
        <v>0.85</v>
      </c>
      <c r="E18" s="46" t="n">
        <v>0.9</v>
      </c>
      <c r="F18" s="46" t="n">
        <v>0.4</v>
      </c>
      <c r="H18" s="9" t="n">
        <v>-1</v>
      </c>
      <c r="I18" s="9" t="n">
        <v>0</v>
      </c>
      <c r="J18" s="9" t="n">
        <v>1</v>
      </c>
      <c r="L18" s="9" t="n">
        <v>1</v>
      </c>
      <c r="M18" s="9" t="n">
        <v>2</v>
      </c>
      <c r="N18" s="9" t="n">
        <v>1</v>
      </c>
      <c r="P18" s="12" t="n">
        <f aca="false">C19*H18</f>
        <v>-0.28</v>
      </c>
      <c r="Q18" s="12" t="n">
        <f aca="false">D19*I18</f>
        <v>0</v>
      </c>
      <c r="R18" s="12" t="n">
        <f aca="false">E19*J18</f>
        <v>0.75</v>
      </c>
      <c r="W18" s="38" t="n">
        <v>1</v>
      </c>
      <c r="X18" s="17" t="n">
        <f aca="false">W18^(1/$X$7)</f>
        <v>1</v>
      </c>
      <c r="Y18" s="17" t="n">
        <f aca="false">W18^(1/$Y$7)</f>
        <v>1</v>
      </c>
      <c r="Z18" s="17" t="n">
        <f aca="false">W18^(1/$Z$7)</f>
        <v>1</v>
      </c>
    </row>
    <row r="19" customFormat="false" ht="15" hidden="false" customHeight="false" outlineLevel="0" collapsed="false">
      <c r="B19" s="46" t="n">
        <v>0.2</v>
      </c>
      <c r="C19" s="46" t="n">
        <v>0.28</v>
      </c>
      <c r="D19" s="46" t="n">
        <v>0.7</v>
      </c>
      <c r="E19" s="46" t="n">
        <v>0.75</v>
      </c>
      <c r="F19" s="46" t="n">
        <v>0.36</v>
      </c>
      <c r="P19" s="4" t="s">
        <v>477</v>
      </c>
      <c r="Q19" s="17" t="n">
        <f aca="false">SUM(P16:R18)</f>
        <v>2.08</v>
      </c>
      <c r="R19" s="45" t="s">
        <v>1014</v>
      </c>
      <c r="T19" s="17" t="n">
        <f aca="false">SUMPRODUCT(C17:E19,H16:J18)</f>
        <v>2.08</v>
      </c>
    </row>
    <row r="20" customFormat="false" ht="15" hidden="false" customHeight="false" outlineLevel="0" collapsed="false">
      <c r="B20" s="46" t="n">
        <v>0.19</v>
      </c>
      <c r="C20" s="46" t="n">
        <v>0.21</v>
      </c>
      <c r="D20" s="46" t="n">
        <v>0.26</v>
      </c>
      <c r="E20" s="46" t="n">
        <v>0.31</v>
      </c>
      <c r="F20" s="46" t="n">
        <v>0.3</v>
      </c>
      <c r="W20" s="2" t="s">
        <v>1015</v>
      </c>
    </row>
    <row r="21" customFormat="false" ht="15" hidden="false" customHeight="false" outlineLevel="0" collapsed="false">
      <c r="B21" s="10" t="s">
        <v>1016</v>
      </c>
      <c r="L21" s="17" t="n">
        <f aca="false">SUMPRODUCT(B16:F20,H8:L12)</f>
        <v>0.554483333524285</v>
      </c>
      <c r="N21" s="10" t="s">
        <v>1017</v>
      </c>
      <c r="P21" s="17" t="n">
        <f aca="false">SUMPRODUCT(B16:F20,N8:R12)</f>
        <v>0.5379296875</v>
      </c>
      <c r="R21" s="10" t="s">
        <v>1018</v>
      </c>
      <c r="T21" s="17" t="n">
        <f aca="false">D18</f>
        <v>0.85</v>
      </c>
    </row>
    <row r="23" customFormat="false" ht="15" hidden="false" customHeight="false" outlineLevel="0" collapsed="false">
      <c r="B23" s="10" t="s">
        <v>1019</v>
      </c>
      <c r="F23" s="10" t="s">
        <v>1020</v>
      </c>
      <c r="J23" s="10" t="s">
        <v>1021</v>
      </c>
      <c r="N23" s="10" t="s">
        <v>1022</v>
      </c>
    </row>
    <row r="24" customFormat="false" ht="15" hidden="false" customHeight="false" outlineLevel="0" collapsed="false">
      <c r="B24" s="12" t="n">
        <f aca="false">SUMPRODUCT(B16:D18,H16:J18)</f>
        <v>1.46</v>
      </c>
      <c r="C24" s="12" t="n">
        <f aca="false">SUMPRODUCT(C16:E18,H16:J18)</f>
        <v>1.5</v>
      </c>
      <c r="D24" s="12" t="n">
        <f aca="false">SUMPRODUCT(D16:F18,H16:J18)</f>
        <v>-0.9</v>
      </c>
      <c r="F24" s="12" t="n">
        <f aca="false">SUMPRODUCT(B16:D18,L16:N18)</f>
        <v>0.78</v>
      </c>
      <c r="G24" s="12" t="n">
        <f aca="false">SUMPRODUCT(C16:E18,L16:N18)</f>
        <v>1.88</v>
      </c>
      <c r="H24" s="12" t="n">
        <f aca="false">SUMPRODUCT(D16:F18,L16:N18)</f>
        <v>1.88</v>
      </c>
      <c r="J24" s="12" t="n">
        <f aca="false">SQRT(B24^2+F24^2)</f>
        <v>1.65529453572468</v>
      </c>
      <c r="K24" s="12" t="n">
        <f aca="false">SQRT(C24^2+G24^2)</f>
        <v>2.40507796131435</v>
      </c>
      <c r="L24" s="12" t="n">
        <f aca="false">SQRT(D24^2+H24^2)</f>
        <v>2.08432243187085</v>
      </c>
      <c r="N24" s="34" t="n">
        <f aca="false">IF(J24&gt;=$M$5,1,0)</f>
        <v>0</v>
      </c>
      <c r="O24" s="34" t="n">
        <f aca="false">IF(K24&gt;=$M$5,1,0)</f>
        <v>1</v>
      </c>
      <c r="P24" s="34" t="n">
        <f aca="false">IF(L24&gt;=$M$5,1,0)</f>
        <v>1</v>
      </c>
    </row>
    <row r="25" customFormat="false" ht="15" hidden="false" customHeight="false" outlineLevel="0" collapsed="false">
      <c r="B25" s="12" t="n">
        <f aca="false">SUMPRODUCT(B17:D19,H16:J18)</f>
        <v>2.15</v>
      </c>
      <c r="C25" s="12" t="n">
        <f aca="false">SUMPRODUCT(C17:E19,H16:J18)</f>
        <v>2.08</v>
      </c>
      <c r="D25" s="12" t="n">
        <f aca="false">SUMPRODUCT(D17:F19,H16:J18)</f>
        <v>-1.5</v>
      </c>
      <c r="F25" s="12" t="n">
        <f aca="false">SUMPRODUCT(B17:D19,L16:N18)</f>
        <v>0.17</v>
      </c>
      <c r="G25" s="12" t="n">
        <f aca="false">SUMPRODUCT(C17:E19,L16:N18)</f>
        <v>0.34</v>
      </c>
      <c r="H25" s="12" t="n">
        <f aca="false">SUMPRODUCT(D17:F19,L16:N18)</f>
        <v>0.32</v>
      </c>
      <c r="J25" s="12" t="n">
        <f aca="false">SQRT(B25^2+F25^2)</f>
        <v>2.15671045808194</v>
      </c>
      <c r="K25" s="12" t="n">
        <f aca="false">SQRT(C25^2+G25^2)</f>
        <v>2.10760527613688</v>
      </c>
      <c r="L25" s="12" t="n">
        <f aca="false">SQRT(D25^2+H25^2)</f>
        <v>1.53375356560303</v>
      </c>
      <c r="N25" s="34" t="n">
        <f aca="false">IF(J25&gt;=$M$5,1,0)</f>
        <v>1</v>
      </c>
      <c r="O25" s="34" t="n">
        <f aca="false">IF(K25&gt;=$M$5,1,0)</f>
        <v>1</v>
      </c>
      <c r="P25" s="34" t="n">
        <f aca="false">IF(L25&gt;=$M$5,1,0)</f>
        <v>0</v>
      </c>
    </row>
    <row r="26" customFormat="false" ht="15" hidden="false" customHeight="false" outlineLevel="0" collapsed="false">
      <c r="B26" s="12" t="n">
        <f aca="false">SUMPRODUCT(B18:D20,H16:J18)</f>
        <v>1.7</v>
      </c>
      <c r="C26" s="12" t="n">
        <f aca="false">SUMPRODUCT(C18:E20,H16:J18)</f>
        <v>1.64</v>
      </c>
      <c r="D26" s="12" t="n">
        <f aca="false">SUMPRODUCT(D18:F20,H16:J18)</f>
        <v>-1.09</v>
      </c>
      <c r="F26" s="12" t="n">
        <f aca="false">SUMPRODUCT(B18:D20,L16:N18)</f>
        <v>-0.8</v>
      </c>
      <c r="G26" s="12" t="n">
        <f aca="false">SUMPRODUCT(C18:E20,L16:N18)</f>
        <v>-1.86</v>
      </c>
      <c r="H26" s="12" t="n">
        <f aca="false">SUMPRODUCT(D18:F20,L16:N18)</f>
        <v>-1.87</v>
      </c>
      <c r="J26" s="12" t="n">
        <f aca="false">SQRT(B26^2+F26^2)</f>
        <v>1.87882942280559</v>
      </c>
      <c r="K26" s="12" t="n">
        <f aca="false">SQRT(C26^2+G26^2)</f>
        <v>2.47975805271401</v>
      </c>
      <c r="L26" s="12" t="n">
        <f aca="false">SQRT(D26^2+H26^2)</f>
        <v>2.16448608219134</v>
      </c>
      <c r="N26" s="34" t="n">
        <f aca="false">IF(J26&gt;=$M$5,1,0)</f>
        <v>0</v>
      </c>
      <c r="O26" s="34" t="n">
        <f aca="false">IF(K26&gt;=$M$5,1,0)</f>
        <v>1</v>
      </c>
      <c r="P26" s="34" t="n">
        <f aca="false">IF(L26&gt;=$M$5,1,0)</f>
        <v>1</v>
      </c>
    </row>
    <row r="27" customFormat="false" ht="15" hidden="false" customHeight="false" outlineLevel="0" collapsed="false">
      <c r="B27" s="2" t="s">
        <v>1023</v>
      </c>
    </row>
    <row r="28" customFormat="false" ht="15" hidden="false" customHeight="false" outlineLevel="0" collapsed="false">
      <c r="B28" s="2" t="s">
        <v>1024</v>
      </c>
    </row>
  </sheetData>
  <mergeCells count="2">
    <mergeCell ref="J5:L5"/>
    <mergeCell ref="H13:K1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5" min="2" style="0" width="9"/>
  </cols>
  <sheetData>
    <row r="1" customFormat="false" ht="16.15" hidden="false" customHeight="false" outlineLevel="0" collapsed="false">
      <c r="A1" s="1" t="s">
        <v>1025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1026</v>
      </c>
    </row>
    <row r="5" customFormat="false" ht="15" hidden="false" customHeight="false" outlineLevel="0" collapsed="false">
      <c r="A5" s="10" t="s">
        <v>1027</v>
      </c>
    </row>
    <row r="6" customFormat="false" ht="15" hidden="false" customHeight="false" outlineLevel="0" collapsed="false">
      <c r="A6" s="4" t="s">
        <v>1028</v>
      </c>
      <c r="B6" s="43" t="n">
        <v>0.1</v>
      </c>
      <c r="C6" s="4" t="s">
        <v>1029</v>
      </c>
      <c r="D6" s="43" t="n">
        <v>1.5</v>
      </c>
      <c r="E6" s="4" t="s">
        <v>1030</v>
      </c>
      <c r="F6" s="43" t="n">
        <v>9.21</v>
      </c>
      <c r="G6" s="4" t="s">
        <v>1031</v>
      </c>
      <c r="H6" s="4"/>
      <c r="I6" s="43" t="n">
        <v>0.5</v>
      </c>
    </row>
    <row r="8" customFormat="false" ht="15" hidden="false" customHeight="false" outlineLevel="0" collapsed="false">
      <c r="A8" s="4" t="s">
        <v>1032</v>
      </c>
      <c r="C8" s="10" t="s">
        <v>1033</v>
      </c>
      <c r="H8" s="10" t="s">
        <v>1034</v>
      </c>
      <c r="M8" s="10" t="s">
        <v>1035</v>
      </c>
      <c r="R8" s="10" t="s">
        <v>1036</v>
      </c>
    </row>
    <row r="9" customFormat="false" ht="15" hidden="false" customHeight="false" outlineLevel="0" collapsed="false">
      <c r="A9" s="43" t="n">
        <v>2</v>
      </c>
      <c r="C9" s="34" t="n">
        <v>1</v>
      </c>
      <c r="D9" s="34" t="n">
        <v>0</v>
      </c>
      <c r="E9" s="12" t="n">
        <f aca="false">$B$6</f>
        <v>0.1</v>
      </c>
      <c r="F9" s="34" t="n">
        <v>0</v>
      </c>
      <c r="H9" s="35" t="n">
        <v>0.3</v>
      </c>
      <c r="I9" s="9" t="n">
        <v>0</v>
      </c>
      <c r="J9" s="35" t="n">
        <v>0.1</v>
      </c>
      <c r="K9" s="9" t="n">
        <v>0</v>
      </c>
      <c r="M9" s="12" t="n">
        <f aca="false">$D$6^2*$B$6^4/4</f>
        <v>5.625E-005</v>
      </c>
      <c r="N9" s="34" t="n">
        <v>0</v>
      </c>
      <c r="O9" s="12" t="n">
        <f aca="false">$D$6^2*$B$6^3/2</f>
        <v>0.001125</v>
      </c>
      <c r="P9" s="34" t="n">
        <v>0</v>
      </c>
      <c r="R9" s="12" t="n">
        <f aca="false">C9*H9+D9*H10+E9*H11+F9*H12</f>
        <v>0.31</v>
      </c>
      <c r="S9" s="12" t="n">
        <f aca="false">C9*I9+D9*I10+E9*I11+F9*I12</f>
        <v>0</v>
      </c>
      <c r="T9" s="12" t="n">
        <f aca="false">C9*J9+D9*J10+E9*J11+F9*J12</f>
        <v>0.15</v>
      </c>
      <c r="U9" s="12" t="n">
        <f aca="false">C9*K9+D9*K10+E9*K11+F9*K12</f>
        <v>0</v>
      </c>
    </row>
    <row r="10" customFormat="false" ht="15" hidden="false" customHeight="false" outlineLevel="0" collapsed="false">
      <c r="A10" s="43" t="n">
        <v>5</v>
      </c>
      <c r="C10" s="34" t="n">
        <v>0</v>
      </c>
      <c r="D10" s="34" t="n">
        <v>1</v>
      </c>
      <c r="E10" s="34" t="n">
        <v>0</v>
      </c>
      <c r="F10" s="12" t="n">
        <f aca="false">$B$6</f>
        <v>0.1</v>
      </c>
      <c r="H10" s="9" t="n">
        <v>0</v>
      </c>
      <c r="I10" s="35" t="n">
        <v>0.3</v>
      </c>
      <c r="J10" s="9" t="n">
        <v>0</v>
      </c>
      <c r="K10" s="35" t="n">
        <v>0.1</v>
      </c>
      <c r="M10" s="34" t="n">
        <v>0</v>
      </c>
      <c r="N10" s="12" t="n">
        <f aca="false">$D$6^2*$B$6^4/4</f>
        <v>5.625E-005</v>
      </c>
      <c r="O10" s="34" t="n">
        <v>0</v>
      </c>
      <c r="P10" s="12" t="n">
        <f aca="false">$D$6^2*$B$6^3/2</f>
        <v>0.001125</v>
      </c>
      <c r="R10" s="12" t="n">
        <f aca="false">C10*H9+D10*H10+E10*H11+F10*H12</f>
        <v>0</v>
      </c>
      <c r="S10" s="12" t="n">
        <f aca="false">C10*I9+D10*I10+E10*I11+F10*I12</f>
        <v>0.31</v>
      </c>
      <c r="T10" s="12" t="n">
        <f aca="false">C10*J9+D10*J10+E10*J11+F10*J12</f>
        <v>0</v>
      </c>
      <c r="U10" s="12" t="n">
        <f aca="false">C10*K9+D10*K10+E10*K11+F10*K12</f>
        <v>0.15</v>
      </c>
    </row>
    <row r="11" customFormat="false" ht="15" hidden="false" customHeight="false" outlineLevel="0" collapsed="false">
      <c r="A11" s="43" t="n">
        <v>1.2</v>
      </c>
      <c r="C11" s="34" t="n">
        <v>0</v>
      </c>
      <c r="D11" s="34" t="n">
        <v>0</v>
      </c>
      <c r="E11" s="34" t="n">
        <v>1</v>
      </c>
      <c r="F11" s="34" t="n">
        <v>0</v>
      </c>
      <c r="H11" s="35" t="n">
        <v>0.1</v>
      </c>
      <c r="I11" s="9" t="n">
        <v>0</v>
      </c>
      <c r="J11" s="35" t="n">
        <v>0.5</v>
      </c>
      <c r="K11" s="9" t="n">
        <v>0</v>
      </c>
      <c r="M11" s="12" t="n">
        <f aca="false">$D$6^2*$B$6^3/2</f>
        <v>0.001125</v>
      </c>
      <c r="N11" s="34" t="n">
        <v>0</v>
      </c>
      <c r="O11" s="12" t="n">
        <f aca="false">$D$6^2*$B$6^2</f>
        <v>0.0225</v>
      </c>
      <c r="P11" s="34" t="n">
        <v>0</v>
      </c>
      <c r="R11" s="12" t="n">
        <f aca="false">C11*H9+D11*H10+E11*H11+F11*H12</f>
        <v>0.1</v>
      </c>
      <c r="S11" s="12" t="n">
        <f aca="false">C11*I9+D11*I10+E11*I11+F11*I12</f>
        <v>0</v>
      </c>
      <c r="T11" s="12" t="n">
        <f aca="false">C11*J9+D11*J10+E11*J11+F11*J12</f>
        <v>0.5</v>
      </c>
      <c r="U11" s="12" t="n">
        <f aca="false">C11*K9+D11*K10+E11*K11+F11*K12</f>
        <v>0</v>
      </c>
    </row>
    <row r="12" customFormat="false" ht="15" hidden="false" customHeight="false" outlineLevel="0" collapsed="false">
      <c r="A12" s="43" t="n">
        <v>-0.4</v>
      </c>
      <c r="C12" s="34" t="n">
        <v>0</v>
      </c>
      <c r="D12" s="34" t="n">
        <v>0</v>
      </c>
      <c r="E12" s="34" t="n">
        <v>0</v>
      </c>
      <c r="F12" s="34" t="n">
        <v>1</v>
      </c>
      <c r="H12" s="9" t="n">
        <v>0</v>
      </c>
      <c r="I12" s="35" t="n">
        <v>0.1</v>
      </c>
      <c r="J12" s="9" t="n">
        <v>0</v>
      </c>
      <c r="K12" s="35" t="n">
        <v>0.5</v>
      </c>
      <c r="M12" s="34" t="n">
        <v>0</v>
      </c>
      <c r="N12" s="12" t="n">
        <f aca="false">$D$6^2*$B$6^3/2</f>
        <v>0.001125</v>
      </c>
      <c r="O12" s="34" t="n">
        <v>0</v>
      </c>
      <c r="P12" s="12" t="n">
        <f aca="false">$D$6^2*$B$6^2</f>
        <v>0.0225</v>
      </c>
      <c r="R12" s="12" t="n">
        <f aca="false">C12*H9+D12*H10+E12*H11+F12*H12</f>
        <v>0</v>
      </c>
      <c r="S12" s="12" t="n">
        <f aca="false">C12*I9+D12*I10+E12*I11+F12*I12</f>
        <v>0.1</v>
      </c>
      <c r="T12" s="12" t="n">
        <f aca="false">C12*J9+D12*J10+E12*J11+F12*J12</f>
        <v>0</v>
      </c>
      <c r="U12" s="12" t="n">
        <f aca="false">C12*K9+D12*K10+E12*K11+F12*K12</f>
        <v>0.5</v>
      </c>
    </row>
    <row r="14" customFormat="false" ht="15" hidden="false" customHeight="false" outlineLevel="0" collapsed="false">
      <c r="A14" s="10" t="s">
        <v>1037</v>
      </c>
      <c r="C14" s="10" t="s">
        <v>1038</v>
      </c>
    </row>
    <row r="15" customFormat="false" ht="15" hidden="false" customHeight="false" outlineLevel="0" collapsed="false">
      <c r="A15" s="12" t="n">
        <f aca="false">C9*$A$9+D9*$A$10+E9*$A$11+F9*$A$12</f>
        <v>2.12</v>
      </c>
      <c r="C15" s="12" t="n">
        <f aca="false">R9*C9+S9*D9+T9*E9+U9*F9+M9</f>
        <v>0.32505625</v>
      </c>
      <c r="D15" s="12" t="n">
        <f aca="false">R9*C10+S9*D10+T9*E10+U9*F10+N9</f>
        <v>0</v>
      </c>
      <c r="E15" s="12" t="n">
        <f aca="false">R9*C11+S9*D11+T9*E11+U9*F11+O9</f>
        <v>0.151125</v>
      </c>
      <c r="F15" s="12" t="n">
        <f aca="false">R9*C12+S9*D12+T9*E12+U9*F12+P9</f>
        <v>0</v>
      </c>
    </row>
    <row r="16" customFormat="false" ht="15" hidden="false" customHeight="false" outlineLevel="0" collapsed="false">
      <c r="A16" s="12" t="n">
        <f aca="false">C10*$A$9+D10*$A$10+E10*$A$11+F10*$A$12</f>
        <v>4.96</v>
      </c>
      <c r="C16" s="12" t="n">
        <f aca="false">R10*C9+S10*D9+T10*E9+U10*F9+M10</f>
        <v>0</v>
      </c>
      <c r="D16" s="12" t="n">
        <f aca="false">R10*C10+S10*D10+T10*E10+U10*F10+N10</f>
        <v>0.32505625</v>
      </c>
      <c r="E16" s="12" t="n">
        <f aca="false">R10*C11+S10*D11+T10*E11+U10*F11+O10</f>
        <v>0</v>
      </c>
      <c r="F16" s="12" t="n">
        <f aca="false">R10*C12+S10*D12+T10*E12+U10*F12+P10</f>
        <v>0.151125</v>
      </c>
    </row>
    <row r="17" customFormat="false" ht="15" hidden="false" customHeight="false" outlineLevel="0" collapsed="false">
      <c r="A17" s="12" t="n">
        <f aca="false">C11*$A$9+D11*$A$10+E11*$A$11+F11*$A$12</f>
        <v>1.2</v>
      </c>
      <c r="C17" s="12" t="n">
        <f aca="false">R11*C9+S11*D9+T11*E9+U11*F9+M11</f>
        <v>0.151125</v>
      </c>
      <c r="D17" s="12" t="n">
        <f aca="false">R11*C10+S11*D10+T11*E10+U11*F10+N11</f>
        <v>0</v>
      </c>
      <c r="E17" s="12" t="n">
        <f aca="false">R11*C11+S11*D11+T11*E11+U11*F11+O11</f>
        <v>0.5225</v>
      </c>
      <c r="F17" s="12" t="n">
        <f aca="false">R11*C12+S11*D12+T11*E12+U11*F12+P11</f>
        <v>0</v>
      </c>
    </row>
    <row r="18" customFormat="false" ht="15" hidden="false" customHeight="false" outlineLevel="0" collapsed="false">
      <c r="A18" s="12" t="n">
        <f aca="false">C12*$A$9+D12*$A$10+E12*$A$11+F12*$A$12</f>
        <v>-0.4</v>
      </c>
      <c r="C18" s="12" t="n">
        <f aca="false">R12*C9+S12*D9+T12*E9+U12*F9+M12</f>
        <v>0</v>
      </c>
      <c r="D18" s="12" t="n">
        <f aca="false">R12*C10+S12*D10+T12*E10+U12*F10+N12</f>
        <v>0.151125</v>
      </c>
      <c r="E18" s="12" t="n">
        <f aca="false">R12*C11+S12*D11+T12*E11+U12*F11+O12</f>
        <v>0</v>
      </c>
      <c r="F18" s="12" t="n">
        <f aca="false">R12*C12+S12*D12+T12*E12+U12*F12+P12</f>
        <v>0.5225</v>
      </c>
    </row>
    <row r="20" customFormat="false" ht="15" hidden="false" customHeight="false" outlineLevel="0" collapsed="false">
      <c r="A20" s="10" t="s">
        <v>1039</v>
      </c>
      <c r="M20" s="10" t="s">
        <v>1040</v>
      </c>
    </row>
    <row r="21" customFormat="false" ht="15" hidden="false" customHeight="false" outlineLevel="0" collapsed="false">
      <c r="A21" s="4" t="s">
        <v>1041</v>
      </c>
      <c r="B21" s="43" t="n">
        <v>2.5</v>
      </c>
      <c r="C21" s="43" t="n">
        <v>4.6</v>
      </c>
      <c r="M21" s="3" t="s">
        <v>622</v>
      </c>
      <c r="N21" s="3" t="s">
        <v>1042</v>
      </c>
      <c r="O21" s="3" t="s">
        <v>1043</v>
      </c>
      <c r="P21" s="3" t="s">
        <v>1044</v>
      </c>
      <c r="Q21" s="3" t="s">
        <v>1045</v>
      </c>
    </row>
    <row r="22" customFormat="false" ht="15" hidden="false" customHeight="false" outlineLevel="0" collapsed="false">
      <c r="A22" s="4" t="s">
        <v>1046</v>
      </c>
      <c r="B22" s="17" t="n">
        <f aca="false">B21-A15</f>
        <v>0.38</v>
      </c>
      <c r="C22" s="17" t="n">
        <f aca="false">C21-A16</f>
        <v>-0.36</v>
      </c>
      <c r="M22" s="43" t="n">
        <v>8</v>
      </c>
      <c r="N22" s="43" t="n">
        <v>130</v>
      </c>
      <c r="O22" s="43" t="n">
        <v>0.4</v>
      </c>
      <c r="P22" s="43" t="n">
        <v>60</v>
      </c>
      <c r="Q22" s="43" t="n">
        <v>0.5</v>
      </c>
    </row>
    <row r="23" customFormat="false" ht="18" hidden="false" customHeight="true" outlineLevel="0" collapsed="false">
      <c r="A23" s="10" t="s">
        <v>1047</v>
      </c>
      <c r="D23" s="10" t="s">
        <v>1048</v>
      </c>
      <c r="G23" s="10" t="s">
        <v>1049</v>
      </c>
      <c r="J23" s="10" t="s">
        <v>1050</v>
      </c>
      <c r="M23" s="3" t="s">
        <v>1051</v>
      </c>
      <c r="N23" s="3" t="s">
        <v>1052</v>
      </c>
      <c r="O23" s="3" t="s">
        <v>1053</v>
      </c>
      <c r="P23" s="3" t="s">
        <v>1054</v>
      </c>
      <c r="Q23" s="3" t="s">
        <v>1055</v>
      </c>
      <c r="R23" s="3" t="s">
        <v>1056</v>
      </c>
    </row>
    <row r="24" customFormat="false" ht="15" hidden="false" customHeight="false" outlineLevel="0" collapsed="false">
      <c r="A24" s="12" t="n">
        <f aca="false">C15+$I$6^2</f>
        <v>0.57505625</v>
      </c>
      <c r="B24" s="12" t="n">
        <f aca="false">D15</f>
        <v>0</v>
      </c>
      <c r="D24" s="12" t="n">
        <f aca="false">B25/(A24*B25-B24*A25)</f>
        <v>1.73896031909922</v>
      </c>
      <c r="E24" s="12" t="n">
        <f aca="false">-B24/(A24*B25-B24*A25)</f>
        <v>-0</v>
      </c>
      <c r="G24" s="12" t="n">
        <f aca="false">C15*D24+D15*D25</f>
        <v>0.565259920225195</v>
      </c>
      <c r="H24" s="12" t="n">
        <f aca="false">C15*E24+D15*E25</f>
        <v>0</v>
      </c>
      <c r="J24" s="12" t="n">
        <f aca="false">A15+G24*B22+H24*C22</f>
        <v>2.33479876968557</v>
      </c>
      <c r="M24" s="7" t="n">
        <v>1</v>
      </c>
      <c r="N24" s="38" t="n">
        <v>18</v>
      </c>
      <c r="O24" s="17" t="n">
        <f aca="false">MAX(0,N24-$Q$22)</f>
        <v>17.5</v>
      </c>
      <c r="P24" s="17" t="n">
        <f aca="false">0.5*($M$22+$P$22)*$O$22</f>
        <v>13.6</v>
      </c>
      <c r="Q24" s="17" t="n">
        <f aca="false">IF(O24&lt;=P24,(-$M$22+SQRT($M$22^2+2*$N$22*O24))/$N$22,$O$22+(O24-P24)/$P$22)</f>
        <v>0.465</v>
      </c>
      <c r="R24" s="17" t="n">
        <f aca="false">MAX(Q24,Q25)-Q24</f>
        <v>0</v>
      </c>
    </row>
    <row r="25" customFormat="false" ht="15" hidden="false" customHeight="false" outlineLevel="0" collapsed="false">
      <c r="A25" s="12" t="n">
        <f aca="false">C16</f>
        <v>0</v>
      </c>
      <c r="B25" s="12" t="n">
        <f aca="false">D16+$I$6^2</f>
        <v>0.57505625</v>
      </c>
      <c r="D25" s="12" t="n">
        <f aca="false">-A25/(A24*B25-B24*A25)</f>
        <v>-0</v>
      </c>
      <c r="E25" s="12" t="n">
        <f aca="false">A24/(A24*B25-B24*A25)</f>
        <v>1.73896031909922</v>
      </c>
      <c r="G25" s="12" t="n">
        <f aca="false">C16*D24+D16*D25</f>
        <v>0</v>
      </c>
      <c r="H25" s="12" t="n">
        <f aca="false">C16*E24+D16*E25</f>
        <v>0.565259920225195</v>
      </c>
      <c r="J25" s="12" t="n">
        <f aca="false">A16+G25*B22+H25*C22</f>
        <v>4.75650642871893</v>
      </c>
      <c r="M25" s="7" t="n">
        <v>2</v>
      </c>
      <c r="N25" s="38" t="n">
        <v>9</v>
      </c>
      <c r="O25" s="17" t="n">
        <f aca="false">MAX(0,N25-$Q$22)</f>
        <v>8.5</v>
      </c>
      <c r="P25" s="17" t="n">
        <f aca="false">0.5*($M$22+$P$22)*$O$22</f>
        <v>13.6</v>
      </c>
      <c r="Q25" s="17" t="n">
        <f aca="false">IF(O25&lt;=P25,(-$M$22+SQRT($M$22^2+2*$N$22*O25))/$N$22,$O$22+(O25-P25)/$P$22)</f>
        <v>0.305280585155888</v>
      </c>
      <c r="R25" s="17" t="n">
        <f aca="false">MAX(Q24,Q25)-Q25</f>
        <v>0.159719414844112</v>
      </c>
    </row>
    <row r="26" customFormat="false" ht="15" hidden="false" customHeight="false" outlineLevel="0" collapsed="false">
      <c r="G26" s="12" t="n">
        <f aca="false">C17*D24+D17*D25</f>
        <v>0.262800378223869</v>
      </c>
      <c r="H26" s="12" t="n">
        <f aca="false">C17*E24+D17*E25</f>
        <v>0</v>
      </c>
      <c r="J26" s="12" t="n">
        <f aca="false">A17+G26*B22+H26*C22</f>
        <v>1.29986414372507</v>
      </c>
      <c r="M26" s="2" t="s">
        <v>1057</v>
      </c>
    </row>
    <row r="27" customFormat="false" ht="15" hidden="false" customHeight="false" outlineLevel="0" collapsed="false">
      <c r="A27" s="4" t="s">
        <v>1058</v>
      </c>
      <c r="C27" s="17" t="n">
        <f aca="false">B22*(D24*B22+E24*C22)+C22*(D25*B22+E25*C22)</f>
        <v>0.476475127433186</v>
      </c>
      <c r="D27" s="12" t="str">
        <f aca="false">IF(C27&lt;$F$6,"inside gate","rejected")</f>
        <v>inside gate</v>
      </c>
      <c r="G27" s="12" t="n">
        <f aca="false">C18*D24+D18*D25</f>
        <v>0</v>
      </c>
      <c r="H27" s="12" t="n">
        <f aca="false">C18*E24+D18*E25</f>
        <v>0.262800378223869</v>
      </c>
      <c r="J27" s="12" t="n">
        <f aca="false">A18+G27*B22+H27*C22</f>
        <v>-0.494608136160593</v>
      </c>
    </row>
    <row r="30" customFormat="false" ht="15" hidden="false" customHeight="false" outlineLevel="0" collapsed="false">
      <c r="A30" s="10" t="s">
        <v>1059</v>
      </c>
    </row>
    <row r="31" customFormat="false" ht="18" hidden="false" customHeight="true" outlineLevel="0" collapsed="false">
      <c r="A31" s="3"/>
      <c r="B31" s="3" t="s">
        <v>564</v>
      </c>
      <c r="C31" s="3" t="s">
        <v>565</v>
      </c>
      <c r="D31" s="3" t="s">
        <v>566</v>
      </c>
    </row>
    <row r="32" customFormat="false" ht="15" hidden="false" customHeight="false" outlineLevel="0" collapsed="false">
      <c r="A32" s="4" t="s">
        <v>1060</v>
      </c>
      <c r="B32" s="43" t="n">
        <v>-6</v>
      </c>
      <c r="C32" s="43" t="n">
        <v>8</v>
      </c>
      <c r="D32" s="43" t="n">
        <v>0</v>
      </c>
    </row>
    <row r="33" customFormat="false" ht="15" hidden="false" customHeight="false" outlineLevel="0" collapsed="false">
      <c r="A33" s="4" t="s">
        <v>1061</v>
      </c>
      <c r="B33" s="43" t="n">
        <v>0.55</v>
      </c>
      <c r="C33" s="43" t="n">
        <v>-0.7</v>
      </c>
      <c r="D33" s="43" t="n">
        <v>0.15</v>
      </c>
    </row>
    <row r="34" customFormat="false" ht="15" hidden="false" customHeight="false" outlineLevel="0" collapsed="false">
      <c r="A34" s="4" t="s">
        <v>1062</v>
      </c>
      <c r="B34" s="43" t="n">
        <v>7</v>
      </c>
      <c r="C34" s="43" t="n">
        <v>9</v>
      </c>
      <c r="D34" s="43" t="n">
        <v>5</v>
      </c>
    </row>
    <row r="35" customFormat="false" ht="15" hidden="false" customHeight="false" outlineLevel="0" collapsed="false">
      <c r="A35" s="4" t="s">
        <v>1063</v>
      </c>
      <c r="B35" s="43" t="n">
        <v>-0.5</v>
      </c>
      <c r="C35" s="43" t="n">
        <v>-0.65</v>
      </c>
      <c r="D35" s="43" t="n">
        <v>-0.32</v>
      </c>
    </row>
    <row r="36" customFormat="false" ht="15" hidden="false" customHeight="false" outlineLevel="0" collapsed="false">
      <c r="A36" s="4" t="s">
        <v>1064</v>
      </c>
      <c r="B36" s="17" t="n">
        <f aca="false">($B$33*$B$33+$C$33*$C$33+$D$33*$D$33)</f>
        <v>0.815</v>
      </c>
      <c r="C36" s="4" t="s">
        <v>1065</v>
      </c>
      <c r="D36" s="17" t="n">
        <f aca="false">($B$33*$B$35+$C$33*$C$35+$D$33*$D$35)</f>
        <v>0.132</v>
      </c>
      <c r="E36" s="4" t="s">
        <v>1066</v>
      </c>
      <c r="F36" s="17" t="n">
        <f aca="false">($B$35*$B$35+$C$35*$C$35+$D$35*$D$35)</f>
        <v>0.7749</v>
      </c>
      <c r="G36" s="4" t="s">
        <v>1067</v>
      </c>
      <c r="H36" s="17" t="n">
        <f aca="false">($B$33*($B$32-$B$34)+$C$33*($C$32-$C$34)+$D$33*($D$32-$D$34))</f>
        <v>-7.2</v>
      </c>
      <c r="I36" s="4" t="s">
        <v>1068</v>
      </c>
      <c r="J36" s="17" t="n">
        <f aca="false">($B$35*($B$32-$B$34)+$C$35*($C$32-$C$34)+$D$35*($D$32-$D$34))</f>
        <v>8.75</v>
      </c>
    </row>
    <row r="37" customFormat="false" ht="15" hidden="false" customHeight="false" outlineLevel="0" collapsed="false">
      <c r="A37" s="4" t="s">
        <v>1069</v>
      </c>
      <c r="B37" s="17" t="n">
        <f aca="false">($D$36*$J$36-$F$36*$H$36)/($B$36*$F$36-$D$36^2)</f>
        <v>10.9657485228852</v>
      </c>
      <c r="C37" s="4" t="s">
        <v>885</v>
      </c>
      <c r="D37" s="17" t="n">
        <f aca="false">($B$36*$J$36-$D$36*$H$36)/($B$36*$F$36-$D$36^2)</f>
        <v>13.159735198117</v>
      </c>
    </row>
    <row r="38" customFormat="false" ht="18" hidden="false" customHeight="true" outlineLevel="0" collapsed="false">
      <c r="A38" s="3"/>
      <c r="B38" s="3" t="s">
        <v>564</v>
      </c>
      <c r="C38" s="3" t="s">
        <v>565</v>
      </c>
      <c r="D38" s="3" t="s">
        <v>566</v>
      </c>
    </row>
    <row r="39" customFormat="false" ht="15" hidden="false" customHeight="false" outlineLevel="0" collapsed="false">
      <c r="A39" s="4" t="s">
        <v>1070</v>
      </c>
      <c r="B39" s="17" t="n">
        <f aca="false">$B$32+$B$37*$B$33</f>
        <v>0.031161687586863</v>
      </c>
      <c r="C39" s="17" t="n">
        <f aca="false">$C$32+$B$37*$C$33</f>
        <v>0.323976033980357</v>
      </c>
      <c r="D39" s="17" t="n">
        <f aca="false">$D$32+$B$37*$D$33</f>
        <v>1.64486227843278</v>
      </c>
    </row>
    <row r="40" customFormat="false" ht="15" hidden="false" customHeight="false" outlineLevel="0" collapsed="false">
      <c r="A40" s="4" t="s">
        <v>1071</v>
      </c>
      <c r="B40" s="17" t="n">
        <f aca="false">$B$34+$D$37*$B$35</f>
        <v>0.420132400941511</v>
      </c>
      <c r="C40" s="17" t="n">
        <f aca="false">$C$34+$D$37*$C$35</f>
        <v>0.446172121223963</v>
      </c>
      <c r="D40" s="17" t="n">
        <f aca="false">$D$34+$D$37*$D$35</f>
        <v>0.788884736602567</v>
      </c>
    </row>
    <row r="41" customFormat="false" ht="15" hidden="false" customHeight="false" outlineLevel="0" collapsed="false">
      <c r="A41" s="4" t="s">
        <v>1072</v>
      </c>
      <c r="B41" s="17" t="n">
        <f aca="false">(B39+B40)/2</f>
        <v>0.225647044264187</v>
      </c>
      <c r="C41" s="17" t="n">
        <f aca="false">(C39+C40)/2</f>
        <v>0.38507407760216</v>
      </c>
      <c r="D41" s="17" t="n">
        <f aca="false">(D39+D40)/2</f>
        <v>1.21687350751767</v>
      </c>
    </row>
    <row r="42" customFormat="false" ht="15" hidden="false" customHeight="false" outlineLevel="0" collapsed="false">
      <c r="A42" s="4" t="s">
        <v>1073</v>
      </c>
      <c r="B42" s="17" t="n">
        <f aca="false">SQRT((B39-B40)^2+(C39-C40)^2+(D39-D40)^2)</f>
        <v>0.948117952420988</v>
      </c>
    </row>
  </sheetData>
  <mergeCells count="1">
    <mergeCell ref="G6:H6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10"/>
  </cols>
  <sheetData>
    <row r="1" customFormat="false" ht="16.15" hidden="false" customHeight="false" outlineLevel="0" collapsed="false">
      <c r="A1" s="1" t="s">
        <v>1074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1075</v>
      </c>
    </row>
    <row r="5" customFormat="false" ht="27.75" hidden="false" customHeight="true" outlineLevel="0" collapsed="false">
      <c r="B5" s="3" t="s">
        <v>1076</v>
      </c>
      <c r="C5" s="3" t="s">
        <v>1077</v>
      </c>
      <c r="D5" s="3" t="s">
        <v>1078</v>
      </c>
      <c r="E5" s="3" t="s">
        <v>1079</v>
      </c>
      <c r="F5" s="3" t="s">
        <v>1080</v>
      </c>
      <c r="G5" s="3" t="s">
        <v>1081</v>
      </c>
      <c r="H5" s="3" t="s">
        <v>1082</v>
      </c>
      <c r="I5" s="3" t="s">
        <v>1083</v>
      </c>
      <c r="J5" s="3" t="s">
        <v>1084</v>
      </c>
      <c r="K5" s="3" t="s">
        <v>1085</v>
      </c>
      <c r="L5" s="3" t="s">
        <v>1086</v>
      </c>
      <c r="M5" s="3" t="s">
        <v>1028</v>
      </c>
    </row>
    <row r="6" customFormat="false" ht="15" hidden="false" customHeight="false" outlineLevel="0" collapsed="false">
      <c r="A6" s="4" t="s">
        <v>1087</v>
      </c>
      <c r="B6" s="39" t="n">
        <v>0.06</v>
      </c>
      <c r="C6" s="39" t="n">
        <v>0.05</v>
      </c>
      <c r="D6" s="39" t="n">
        <v>0.12</v>
      </c>
      <c r="E6" s="39" t="n">
        <v>3.2</v>
      </c>
      <c r="F6" s="39" t="n">
        <v>0.25</v>
      </c>
      <c r="G6" s="39" t="n">
        <v>0.75</v>
      </c>
      <c r="H6" s="39" t="n">
        <v>0.6</v>
      </c>
      <c r="I6" s="39" t="n">
        <v>2.5</v>
      </c>
      <c r="J6" s="39" t="n">
        <v>0.5</v>
      </c>
      <c r="K6" s="39" t="n">
        <v>0.07</v>
      </c>
      <c r="L6" s="39" t="n">
        <v>0.45</v>
      </c>
      <c r="M6" s="39" t="n">
        <v>0.0166666666666667</v>
      </c>
    </row>
    <row r="8" customFormat="false" ht="15" hidden="false" customHeight="false" outlineLevel="0" collapsed="false">
      <c r="A8" s="10" t="s">
        <v>1088</v>
      </c>
    </row>
    <row r="9" customFormat="false" ht="18" hidden="false" customHeight="true" outlineLevel="0" collapsed="false">
      <c r="A9" s="3" t="s">
        <v>1089</v>
      </c>
      <c r="B9" s="3" t="s">
        <v>1090</v>
      </c>
      <c r="C9" s="3" t="s">
        <v>1091</v>
      </c>
      <c r="D9" s="3" t="s">
        <v>1092</v>
      </c>
    </row>
    <row r="10" customFormat="false" ht="15" hidden="false" customHeight="false" outlineLevel="0" collapsed="false">
      <c r="A10" s="7" t="n">
        <v>0</v>
      </c>
      <c r="B10" s="17" t="n">
        <f aca="false">-2*$B$6+A10*$B$6</f>
        <v>-0.12</v>
      </c>
      <c r="C10" s="17" t="n">
        <f aca="false">ABS(B10-$K$6)</f>
        <v>0.19</v>
      </c>
      <c r="D10" s="7" t="n">
        <f aca="false">IF(C10&lt;$C$6,1,0)</f>
        <v>0</v>
      </c>
    </row>
    <row r="11" customFormat="false" ht="15" hidden="false" customHeight="false" outlineLevel="0" collapsed="false">
      <c r="A11" s="7" t="n">
        <v>1</v>
      </c>
      <c r="B11" s="17" t="n">
        <f aca="false">-2*$B$6+A11*$B$6</f>
        <v>-0.06</v>
      </c>
      <c r="C11" s="17" t="n">
        <f aca="false">ABS(B11-$K$6)</f>
        <v>0.13</v>
      </c>
      <c r="D11" s="7" t="n">
        <f aca="false">IF(C11&lt;$C$6,1,0)</f>
        <v>0</v>
      </c>
    </row>
    <row r="12" customFormat="false" ht="15" hidden="false" customHeight="false" outlineLevel="0" collapsed="false">
      <c r="A12" s="7" t="n">
        <v>2</v>
      </c>
      <c r="B12" s="17" t="n">
        <f aca="false">-2*$B$6+A12*$B$6</f>
        <v>0</v>
      </c>
      <c r="C12" s="17" t="n">
        <f aca="false">ABS(B12-$K$6)</f>
        <v>0.07</v>
      </c>
      <c r="D12" s="7" t="n">
        <f aca="false">IF(C12&lt;$C$6,1,0)</f>
        <v>0</v>
      </c>
    </row>
    <row r="13" customFormat="false" ht="15" hidden="false" customHeight="false" outlineLevel="0" collapsed="false">
      <c r="A13" s="7" t="n">
        <v>3</v>
      </c>
      <c r="B13" s="17" t="n">
        <f aca="false">-2*$B$6+A13*$B$6</f>
        <v>0.06</v>
      </c>
      <c r="C13" s="17" t="n">
        <f aca="false">ABS(B13-$K$6)</f>
        <v>0.01</v>
      </c>
      <c r="D13" s="7" t="n">
        <f aca="false">IF(C13&lt;$C$6,1,0)</f>
        <v>1</v>
      </c>
    </row>
    <row r="14" customFormat="false" ht="15" hidden="false" customHeight="false" outlineLevel="0" collapsed="false">
      <c r="A14" s="7" t="n">
        <v>4</v>
      </c>
      <c r="B14" s="17" t="n">
        <f aca="false">-2*$B$6+A14*$B$6</f>
        <v>0.12</v>
      </c>
      <c r="C14" s="17" t="n">
        <f aca="false">ABS(B14-$K$6)</f>
        <v>0.05</v>
      </c>
      <c r="D14" s="7" t="n">
        <f aca="false">IF(C14&lt;$C$6,1,0)</f>
        <v>0</v>
      </c>
    </row>
    <row r="16" customFormat="false" ht="15" hidden="false" customHeight="false" outlineLevel="0" collapsed="false">
      <c r="A16" s="10" t="s">
        <v>1093</v>
      </c>
    </row>
    <row r="17" customFormat="false" ht="15" hidden="false" customHeight="false" outlineLevel="0" collapsed="false">
      <c r="A17" s="4" t="s">
        <v>1094</v>
      </c>
      <c r="B17" s="17" t="n">
        <f aca="false">SUM(D10:D14)</f>
        <v>1</v>
      </c>
    </row>
    <row r="18" customFormat="false" ht="15" hidden="false" customHeight="false" outlineLevel="0" collapsed="false">
      <c r="A18" s="4" t="s">
        <v>1095</v>
      </c>
      <c r="B18" s="17" t="n">
        <f aca="false">IF(B17&gt;0,SUMPRODUCT(B10:B14,D10:D14)/B17/$D$6,1)</f>
        <v>0.5</v>
      </c>
    </row>
    <row r="19" customFormat="false" ht="15" hidden="false" customHeight="false" outlineLevel="0" collapsed="false">
      <c r="A19" s="4" t="s">
        <v>1096</v>
      </c>
      <c r="B19" s="17" t="n">
        <f aca="false">(B18-$L$6)/$M$6</f>
        <v>3</v>
      </c>
    </row>
    <row r="20" customFormat="false" ht="15" hidden="false" customHeight="false" outlineLevel="0" collapsed="false">
      <c r="A20" s="4" t="s">
        <v>1097</v>
      </c>
      <c r="B20" s="17" t="n">
        <f aca="false">MAX(-$I$6,MIN($I$6,$E$6*B18+$F$6*B19))</f>
        <v>2.35</v>
      </c>
    </row>
    <row r="21" customFormat="false" ht="15" hidden="false" customHeight="false" outlineLevel="0" collapsed="false">
      <c r="A21" s="4" t="s">
        <v>1098</v>
      </c>
      <c r="B21" s="17" t="n">
        <f aca="false">$G$6*(1-$H$6*ABS(B18))</f>
        <v>0.525</v>
      </c>
    </row>
    <row r="22" customFormat="false" ht="15" hidden="false" customHeight="false" outlineLevel="0" collapsed="false">
      <c r="A22" s="4" t="s">
        <v>1099</v>
      </c>
      <c r="B22" s="17" t="n">
        <f aca="false">B21-B20*$J$6/2</f>
        <v>-0.0625</v>
      </c>
    </row>
    <row r="23" customFormat="false" ht="15" hidden="false" customHeight="false" outlineLevel="0" collapsed="false">
      <c r="A23" s="4" t="s">
        <v>1100</v>
      </c>
      <c r="B23" s="17" t="n">
        <f aca="false">B21+B20*$J$6/2</f>
        <v>1.1125</v>
      </c>
    </row>
    <row r="24" customFormat="false" ht="15" hidden="false" customHeight="false" outlineLevel="0" collapsed="false">
      <c r="A24" s="4" t="s">
        <v>1101</v>
      </c>
      <c r="B24" s="12" t="str">
        <f aca="false">IF(B20&gt;0,"left",IF(B20&lt;0,"right","straight"))</f>
        <v>left</v>
      </c>
    </row>
    <row r="26" customFormat="false" ht="15" hidden="false" customHeight="false" outlineLevel="0" collapsed="false">
      <c r="A26" s="2" t="s">
        <v>1102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5" min="2" style="0" width="9"/>
  </cols>
  <sheetData>
    <row r="1" customFormat="false" ht="16.15" hidden="false" customHeight="false" outlineLevel="0" collapsed="false">
      <c r="A1" s="1" t="s">
        <v>1103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1104</v>
      </c>
    </row>
    <row r="5" customFormat="false" ht="15" hidden="false" customHeight="false" outlineLevel="0" collapsed="false">
      <c r="A5" s="10" t="s">
        <v>1087</v>
      </c>
    </row>
    <row r="6" customFormat="false" ht="27.75" hidden="false" customHeight="true" outlineLevel="0" collapsed="false">
      <c r="B6" s="3" t="s">
        <v>1105</v>
      </c>
      <c r="C6" s="3" t="s">
        <v>1106</v>
      </c>
      <c r="D6" s="3" t="s">
        <v>1107</v>
      </c>
      <c r="E6" s="3" t="s">
        <v>1108</v>
      </c>
      <c r="F6" s="3" t="s">
        <v>1109</v>
      </c>
      <c r="G6" s="3" t="s">
        <v>1110</v>
      </c>
      <c r="H6" s="3" t="s">
        <v>1111</v>
      </c>
      <c r="I6" s="3" t="s">
        <v>1112</v>
      </c>
    </row>
    <row r="7" customFormat="false" ht="15" hidden="false" customHeight="false" outlineLevel="0" collapsed="false">
      <c r="B7" s="43" t="n">
        <v>0.45</v>
      </c>
      <c r="C7" s="43" t="n">
        <v>1.9</v>
      </c>
      <c r="D7" s="43" t="n">
        <v>0.85</v>
      </c>
      <c r="E7" s="43" t="n">
        <v>4.5</v>
      </c>
      <c r="F7" s="43" t="n">
        <v>0.6</v>
      </c>
      <c r="G7" s="43" t="n">
        <v>0.5</v>
      </c>
      <c r="H7" s="43" t="n">
        <v>5</v>
      </c>
      <c r="I7" s="43" t="n">
        <v>0.9</v>
      </c>
    </row>
    <row r="9" customFormat="false" ht="15" hidden="false" customHeight="false" outlineLevel="0" collapsed="false">
      <c r="A9" s="10" t="s">
        <v>1113</v>
      </c>
      <c r="J9" s="10" t="s">
        <v>1114</v>
      </c>
    </row>
    <row r="10" customFormat="false" ht="18" hidden="false" customHeight="true" outlineLevel="0" collapsed="false">
      <c r="A10" s="3" t="s">
        <v>10</v>
      </c>
      <c r="B10" s="3" t="s">
        <v>190</v>
      </c>
      <c r="C10" s="3" t="s">
        <v>191</v>
      </c>
      <c r="D10" s="3" t="s">
        <v>192</v>
      </c>
      <c r="E10" s="3" t="s">
        <v>1115</v>
      </c>
      <c r="F10" s="3" t="s">
        <v>1116</v>
      </c>
      <c r="G10" s="3" t="s">
        <v>1117</v>
      </c>
      <c r="H10" s="3" t="s">
        <v>1118</v>
      </c>
      <c r="J10" s="3" t="s">
        <v>885</v>
      </c>
      <c r="K10" s="3" t="s">
        <v>1119</v>
      </c>
      <c r="L10" s="3" t="s">
        <v>190</v>
      </c>
      <c r="M10" s="3" t="s">
        <v>191</v>
      </c>
      <c r="N10" s="3" t="s">
        <v>192</v>
      </c>
      <c r="O10" s="3" t="s">
        <v>1120</v>
      </c>
      <c r="P10" s="3" t="s">
        <v>1121</v>
      </c>
      <c r="Q10" s="3" t="s">
        <v>190</v>
      </c>
      <c r="R10" s="3" t="s">
        <v>191</v>
      </c>
      <c r="S10" s="3" t="s">
        <v>192</v>
      </c>
    </row>
    <row r="11" customFormat="false" ht="15" hidden="false" customHeight="false" outlineLevel="0" collapsed="false">
      <c r="A11" s="38" t="n">
        <v>0</v>
      </c>
      <c r="B11" s="17" t="n">
        <f aca="false">A11^$B$7</f>
        <v>0</v>
      </c>
      <c r="C11" s="17" t="n">
        <f aca="false">A11^$C$7</f>
        <v>0</v>
      </c>
      <c r="D11" s="17" t="n">
        <f aca="false">$D$7*A11^$E$7</f>
        <v>0</v>
      </c>
      <c r="E11" s="17" t="n">
        <f aca="false">$G$7+$H$7*A11^2</f>
        <v>0.5</v>
      </c>
      <c r="F11" s="17" t="n">
        <f aca="false">B11*E11</f>
        <v>0</v>
      </c>
      <c r="G11" s="17" t="n">
        <f aca="false">C11*E11</f>
        <v>0</v>
      </c>
      <c r="H11" s="17" t="n">
        <f aca="false">D11*E11</f>
        <v>0</v>
      </c>
      <c r="J11" s="38" t="n">
        <v>0</v>
      </c>
      <c r="K11" s="17" t="n">
        <f aca="false">(1-J11)^$F$7</f>
        <v>1</v>
      </c>
      <c r="L11" s="17" t="n">
        <f aca="false">K11^$B$7</f>
        <v>1</v>
      </c>
      <c r="M11" s="17" t="n">
        <f aca="false">K11^$C$7</f>
        <v>1</v>
      </c>
      <c r="N11" s="17" t="n">
        <f aca="false">$D$7*K11^$E$7</f>
        <v>0.85</v>
      </c>
      <c r="O11" s="17" t="n">
        <f aca="false">MAX(0,MIN(1,1-J11*$I$7))</f>
        <v>1</v>
      </c>
      <c r="P11" s="17" t="n">
        <f aca="false">0.1+0.9*O11</f>
        <v>1</v>
      </c>
      <c r="Q11" s="17" t="n">
        <f aca="false">P11^$B$7</f>
        <v>1</v>
      </c>
      <c r="R11" s="17" t="n">
        <f aca="false">P11^$C$7</f>
        <v>1</v>
      </c>
      <c r="S11" s="17" t="n">
        <f aca="false">$D$7*P11^$E$7</f>
        <v>0.85</v>
      </c>
    </row>
    <row r="12" customFormat="false" ht="15" hidden="false" customHeight="false" outlineLevel="0" collapsed="false">
      <c r="A12" s="38" t="n">
        <v>0.1</v>
      </c>
      <c r="B12" s="17" t="n">
        <f aca="false">A12^$B$7</f>
        <v>0.354813389233575</v>
      </c>
      <c r="C12" s="17" t="n">
        <f aca="false">A12^$C$7</f>
        <v>0.0125892541179417</v>
      </c>
      <c r="D12" s="17" t="n">
        <f aca="false">$D$7*A12^$E$7</f>
        <v>2.68793601114312E-005</v>
      </c>
      <c r="E12" s="17" t="n">
        <f aca="false">$G$7+$H$7*A12^2</f>
        <v>0.55</v>
      </c>
      <c r="F12" s="17" t="n">
        <f aca="false">B12*E12</f>
        <v>0.195147364078467</v>
      </c>
      <c r="G12" s="17" t="n">
        <f aca="false">C12*E12</f>
        <v>0.00692408976486792</v>
      </c>
      <c r="H12" s="17" t="n">
        <f aca="false">D12*E12</f>
        <v>1.47836480612872E-005</v>
      </c>
      <c r="J12" s="38" t="n">
        <v>0.1</v>
      </c>
      <c r="K12" s="17" t="n">
        <f aca="false">(1-J12)^$F$7</f>
        <v>0.938740393359569</v>
      </c>
      <c r="L12" s="17" t="n">
        <f aca="false">K12^$B$7</f>
        <v>0.971953476619273</v>
      </c>
      <c r="M12" s="17" t="n">
        <f aca="false">K12^$C$7</f>
        <v>0.88682200478731</v>
      </c>
      <c r="N12" s="17" t="n">
        <f aca="false">$D$7*K12^$E$7</f>
        <v>0.639548818856378</v>
      </c>
      <c r="O12" s="17" t="n">
        <f aca="false">MAX(0,MIN(1,1-J12*$I$7))</f>
        <v>0.91</v>
      </c>
      <c r="P12" s="17" t="n">
        <f aca="false">0.1+0.9*O12</f>
        <v>0.919</v>
      </c>
      <c r="Q12" s="17" t="n">
        <f aca="false">P12^$B$7</f>
        <v>0.96270223511889</v>
      </c>
      <c r="R12" s="17" t="n">
        <f aca="false">P12^$C$7</f>
        <v>0.851725150429171</v>
      </c>
      <c r="S12" s="17" t="n">
        <f aca="false">$D$7*P12^$E$7</f>
        <v>0.581217560042974</v>
      </c>
    </row>
    <row r="13" customFormat="false" ht="15" hidden="false" customHeight="false" outlineLevel="0" collapsed="false">
      <c r="A13" s="38" t="n">
        <v>0.2</v>
      </c>
      <c r="B13" s="17" t="n">
        <f aca="false">A13^$B$7</f>
        <v>0.484689373328531</v>
      </c>
      <c r="C13" s="17" t="n">
        <f aca="false">A13^$C$7</f>
        <v>0.0469847577235208</v>
      </c>
      <c r="D13" s="17" t="n">
        <f aca="false">$D$7*A13^$E$7</f>
        <v>0.000608210489879943</v>
      </c>
      <c r="E13" s="17" t="n">
        <f aca="false">$G$7+$H$7*A13^2</f>
        <v>0.7</v>
      </c>
      <c r="F13" s="17" t="n">
        <f aca="false">B13*E13</f>
        <v>0.339282561329972</v>
      </c>
      <c r="G13" s="17" t="n">
        <f aca="false">C13*E13</f>
        <v>0.0328893304064645</v>
      </c>
      <c r="H13" s="17" t="n">
        <f aca="false">D13*E13</f>
        <v>0.00042574734291596</v>
      </c>
      <c r="J13" s="38" t="n">
        <v>0.2</v>
      </c>
      <c r="K13" s="17" t="n">
        <f aca="false">(1-J13)^$F$7</f>
        <v>0.874689659154623</v>
      </c>
      <c r="L13" s="17" t="n">
        <f aca="false">K13^$B$7</f>
        <v>0.941530290453583</v>
      </c>
      <c r="M13" s="17" t="n">
        <f aca="false">K13^$C$7</f>
        <v>0.775394266129809</v>
      </c>
      <c r="N13" s="17" t="n">
        <f aca="false">$D$7*K13^$E$7</f>
        <v>0.465330897916165</v>
      </c>
      <c r="O13" s="17" t="n">
        <f aca="false">MAX(0,MIN(1,1-J13*$I$7))</f>
        <v>0.82</v>
      </c>
      <c r="P13" s="17" t="n">
        <f aca="false">0.1+0.9*O13</f>
        <v>0.838</v>
      </c>
      <c r="Q13" s="17" t="n">
        <f aca="false">P13^$B$7</f>
        <v>0.923548715002778</v>
      </c>
      <c r="R13" s="17" t="n">
        <f aca="false">P13^$C$7</f>
        <v>0.714765587887991</v>
      </c>
      <c r="S13" s="17" t="n">
        <f aca="false">$D$7*P13^$E$7</f>
        <v>0.383722274040578</v>
      </c>
    </row>
    <row r="14" customFormat="false" ht="15" hidden="false" customHeight="false" outlineLevel="0" collapsed="false">
      <c r="A14" s="38" t="n">
        <v>0.3</v>
      </c>
      <c r="B14" s="17" t="n">
        <f aca="false">A14^$B$7</f>
        <v>0.581707367927938</v>
      </c>
      <c r="C14" s="17" t="n">
        <f aca="false">A14^$C$7</f>
        <v>0.101515038570495</v>
      </c>
      <c r="D14" s="17" t="n">
        <f aca="false">$D$7*A14^$E$7</f>
        <v>0.00377106980842307</v>
      </c>
      <c r="E14" s="17" t="n">
        <f aca="false">$G$7+$H$7*A14^2</f>
        <v>0.95</v>
      </c>
      <c r="F14" s="17" t="n">
        <f aca="false">B14*E14</f>
        <v>0.552621999531541</v>
      </c>
      <c r="G14" s="17" t="n">
        <f aca="false">C14*E14</f>
        <v>0.0964392866419702</v>
      </c>
      <c r="H14" s="17" t="n">
        <f aca="false">D14*E14</f>
        <v>0.00358251631800191</v>
      </c>
      <c r="J14" s="38" t="n">
        <v>0.3</v>
      </c>
      <c r="K14" s="17" t="n">
        <f aca="false">(1-J14)^$F$7</f>
        <v>0.807344375447297</v>
      </c>
      <c r="L14" s="17" t="n">
        <f aca="false">K14^$B$7</f>
        <v>0.908189488058911</v>
      </c>
      <c r="M14" s="17" t="n">
        <f aca="false">K14^$C$7</f>
        <v>0.665904217674399</v>
      </c>
      <c r="N14" s="17" t="n">
        <f aca="false">$D$7*K14^$E$7</f>
        <v>0.324476787627242</v>
      </c>
      <c r="O14" s="17" t="n">
        <f aca="false">MAX(0,MIN(1,1-J14*$I$7))</f>
        <v>0.73</v>
      </c>
      <c r="P14" s="17" t="n">
        <f aca="false">0.1+0.9*O14</f>
        <v>0.757</v>
      </c>
      <c r="Q14" s="17" t="n">
        <f aca="false">P14^$B$7</f>
        <v>0.882253004006061</v>
      </c>
      <c r="R14" s="17" t="n">
        <f aca="false">P14^$C$7</f>
        <v>0.589226364849833</v>
      </c>
      <c r="S14" s="17" t="n">
        <f aca="false">$D$7*P14^$E$7</f>
        <v>0.24285686443234</v>
      </c>
    </row>
    <row r="15" customFormat="false" ht="15" hidden="false" customHeight="false" outlineLevel="0" collapsed="false">
      <c r="A15" s="38" t="n">
        <v>0.4</v>
      </c>
      <c r="B15" s="17" t="n">
        <f aca="false">A15^$B$7</f>
        <v>0.662105195987833</v>
      </c>
      <c r="C15" s="17" t="n">
        <f aca="false">A15^$C$7</f>
        <v>0.175353316221635</v>
      </c>
      <c r="D15" s="17" t="n">
        <f aca="false">$D$7*A15^$E$7</f>
        <v>0.0137622323770528</v>
      </c>
      <c r="E15" s="17" t="n">
        <f aca="false">$G$7+$H$7*A15^2</f>
        <v>1.3</v>
      </c>
      <c r="F15" s="17" t="n">
        <f aca="false">B15*E15</f>
        <v>0.860736754784183</v>
      </c>
      <c r="G15" s="17" t="n">
        <f aca="false">C15*E15</f>
        <v>0.227959311088125</v>
      </c>
      <c r="H15" s="17" t="n">
        <f aca="false">D15*E15</f>
        <v>0.0178909020901686</v>
      </c>
      <c r="J15" s="38" t="n">
        <v>0.4</v>
      </c>
      <c r="K15" s="17" t="n">
        <f aca="false">(1-J15)^$F$7</f>
        <v>0.736021922817833</v>
      </c>
      <c r="L15" s="17" t="n">
        <f aca="false">K15^$B$7</f>
        <v>0.87116583999998</v>
      </c>
      <c r="M15" s="17" t="n">
        <f aca="false">K15^$C$7</f>
        <v>0.558589059578594</v>
      </c>
      <c r="N15" s="17" t="n">
        <f aca="false">$D$7*K15^$E$7</f>
        <v>0.214006666266815</v>
      </c>
      <c r="O15" s="17" t="n">
        <f aca="false">MAX(0,MIN(1,1-J15*$I$7))</f>
        <v>0.64</v>
      </c>
      <c r="P15" s="17" t="n">
        <f aca="false">0.1+0.9*O15</f>
        <v>0.676</v>
      </c>
      <c r="Q15" s="17" t="n">
        <f aca="false">P15^$B$7</f>
        <v>0.838447768440115</v>
      </c>
      <c r="R15" s="17" t="n">
        <f aca="false">P15^$C$7</f>
        <v>0.475224390431893</v>
      </c>
      <c r="S15" s="17" t="n">
        <f aca="false">$D$7*P15^$E$7</f>
        <v>0.145941584613537</v>
      </c>
    </row>
    <row r="16" customFormat="false" ht="15" hidden="false" customHeight="false" outlineLevel="0" collapsed="false">
      <c r="A16" s="38" t="n">
        <v>0.5</v>
      </c>
      <c r="B16" s="17" t="n">
        <f aca="false">A16^$B$7</f>
        <v>0.732042847972813</v>
      </c>
      <c r="C16" s="17" t="n">
        <f aca="false">A16^$C$7</f>
        <v>0.267943365634073</v>
      </c>
      <c r="D16" s="17" t="n">
        <f aca="false">$D$7*A16^$E$7</f>
        <v>0.0375650477505353</v>
      </c>
      <c r="E16" s="17" t="n">
        <f aca="false">$G$7+$H$7*A16^2</f>
        <v>1.75</v>
      </c>
      <c r="F16" s="17" t="n">
        <f aca="false">B16*E16</f>
        <v>1.28107498395242</v>
      </c>
      <c r="G16" s="17" t="n">
        <f aca="false">C16*E16</f>
        <v>0.468900889859628</v>
      </c>
      <c r="H16" s="17" t="n">
        <f aca="false">D16*E16</f>
        <v>0.0657388335634369</v>
      </c>
      <c r="J16" s="38" t="n">
        <v>0.5</v>
      </c>
      <c r="K16" s="17" t="n">
        <f aca="false">(1-J16)^$F$7</f>
        <v>0.659753955386447</v>
      </c>
      <c r="L16" s="17" t="n">
        <f aca="false">K16^$B$7</f>
        <v>0.829319545814442</v>
      </c>
      <c r="M16" s="17" t="n">
        <f aca="false">K16^$C$7</f>
        <v>0.45375957765858</v>
      </c>
      <c r="N16" s="17" t="n">
        <f aca="false">$D$7*K16^$E$7</f>
        <v>0.130809093917897</v>
      </c>
      <c r="O16" s="17" t="n">
        <f aca="false">MAX(0,MIN(1,1-J16*$I$7))</f>
        <v>0.55</v>
      </c>
      <c r="P16" s="17" t="n">
        <f aca="false">0.1+0.9*O16</f>
        <v>0.595</v>
      </c>
      <c r="Q16" s="17" t="n">
        <f aca="false">P16^$B$7</f>
        <v>0.79164893997207</v>
      </c>
      <c r="R16" s="17" t="n">
        <f aca="false">P16^$C$7</f>
        <v>0.372891286274547</v>
      </c>
      <c r="S16" s="17" t="n">
        <f aca="false">$D$7*P16^$E$7</f>
        <v>0.0821760518031618</v>
      </c>
    </row>
    <row r="17" customFormat="false" ht="15" hidden="false" customHeight="false" outlineLevel="0" collapsed="false">
      <c r="A17" s="38" t="n">
        <v>0.6</v>
      </c>
      <c r="B17" s="17" t="n">
        <f aca="false">A17^$B$7</f>
        <v>0.794635682240204</v>
      </c>
      <c r="C17" s="17" t="n">
        <f aca="false">A17^$C$7</f>
        <v>0.378867520493613</v>
      </c>
      <c r="D17" s="17" t="n">
        <f aca="false">$D$7*A17^$E$7</f>
        <v>0.0853295690836418</v>
      </c>
      <c r="E17" s="17" t="n">
        <f aca="false">$G$7+$H$7*A17^2</f>
        <v>2.3</v>
      </c>
      <c r="F17" s="17" t="n">
        <f aca="false">B17*E17</f>
        <v>1.82766206915247</v>
      </c>
      <c r="G17" s="17" t="n">
        <f aca="false">C17*E17</f>
        <v>0.87139529713531</v>
      </c>
      <c r="H17" s="17" t="n">
        <f aca="false">D17*E17</f>
        <v>0.196258008892376</v>
      </c>
      <c r="J17" s="38" t="n">
        <v>0.6</v>
      </c>
      <c r="K17" s="17" t="n">
        <f aca="false">(1-J17)^$F$7</f>
        <v>0.577079962362886</v>
      </c>
      <c r="L17" s="17" t="n">
        <f aca="false">K17^$B$7</f>
        <v>0.780829472849505</v>
      </c>
      <c r="M17" s="17" t="n">
        <f aca="false">K17^$C$7</f>
        <v>0.351842574717947</v>
      </c>
      <c r="N17" s="17" t="n">
        <f aca="false">$D$7*K17^$E$7</f>
        <v>0.0716111919157826</v>
      </c>
      <c r="O17" s="17" t="n">
        <f aca="false">MAX(0,MIN(1,1-J17*$I$7))</f>
        <v>0.46</v>
      </c>
      <c r="P17" s="17" t="n">
        <f aca="false">0.1+0.9*O17</f>
        <v>0.514</v>
      </c>
      <c r="Q17" s="17" t="n">
        <f aca="false">P17^$B$7</f>
        <v>0.741196574540104</v>
      </c>
      <c r="R17" s="17" t="n">
        <f aca="false">P17^$C$7</f>
        <v>0.282377394124532</v>
      </c>
      <c r="S17" s="17" t="n">
        <f aca="false">$D$7*P17^$E$7</f>
        <v>0.0425356389734444</v>
      </c>
    </row>
    <row r="18" customFormat="false" ht="15" hidden="false" customHeight="false" outlineLevel="0" collapsed="false">
      <c r="A18" s="38" t="n">
        <v>0.7</v>
      </c>
      <c r="B18" s="17" t="n">
        <f aca="false">A18^$B$7</f>
        <v>0.851714651122792</v>
      </c>
      <c r="C18" s="17" t="n">
        <f aca="false">A18^$C$7</f>
        <v>0.507792492856054</v>
      </c>
      <c r="D18" s="17" t="n">
        <f aca="false">$D$7*A18^$E$7</f>
        <v>0.170749761515207</v>
      </c>
      <c r="E18" s="17" t="n">
        <f aca="false">$G$7+$H$7*A18^2</f>
        <v>2.95</v>
      </c>
      <c r="F18" s="17" t="n">
        <f aca="false">B18*E18</f>
        <v>2.51255822081224</v>
      </c>
      <c r="G18" s="17" t="n">
        <f aca="false">C18*E18</f>
        <v>1.49798785392536</v>
      </c>
      <c r="H18" s="17" t="n">
        <f aca="false">D18*E18</f>
        <v>0.50371179646986</v>
      </c>
      <c r="J18" s="38" t="n">
        <v>0.7</v>
      </c>
      <c r="K18" s="17" t="n">
        <f aca="false">(1-J18)^$F$7</f>
        <v>0.485593374830204</v>
      </c>
      <c r="L18" s="17" t="n">
        <f aca="false">K18^$B$7</f>
        <v>0.72247485875784</v>
      </c>
      <c r="M18" s="17" t="n">
        <f aca="false">K18^$C$7</f>
        <v>0.253465135759087</v>
      </c>
      <c r="N18" s="17" t="n">
        <f aca="false">$D$7*K18^$E$7</f>
        <v>0.03293413894912</v>
      </c>
      <c r="O18" s="17" t="n">
        <f aca="false">MAX(0,MIN(1,1-J18*$I$7))</f>
        <v>0.37</v>
      </c>
      <c r="P18" s="17" t="n">
        <f aca="false">0.1+0.9*O18</f>
        <v>0.433</v>
      </c>
      <c r="Q18" s="17" t="n">
        <f aca="false">P18^$B$7</f>
        <v>0.686150767339576</v>
      </c>
      <c r="R18" s="17" t="n">
        <f aca="false">P18^$C$7</f>
        <v>0.203857645100459</v>
      </c>
      <c r="S18" s="17" t="n">
        <f aca="false">$D$7*P18^$E$7</f>
        <v>0.0196614009302285</v>
      </c>
    </row>
    <row r="19" customFormat="false" ht="15" hidden="false" customHeight="false" outlineLevel="0" collapsed="false">
      <c r="A19" s="38" t="n">
        <v>0.8</v>
      </c>
      <c r="B19" s="17" t="n">
        <f aca="false">A19^$B$7</f>
        <v>0.904462351925639</v>
      </c>
      <c r="C19" s="17" t="n">
        <f aca="false">A19^$C$7</f>
        <v>0.654441716840687</v>
      </c>
      <c r="D19" s="17" t="n">
        <f aca="false">$D$7*A19^$E$7</f>
        <v>0.311403770818531</v>
      </c>
      <c r="E19" s="17" t="n">
        <f aca="false">$G$7+$H$7*A19^2</f>
        <v>3.7</v>
      </c>
      <c r="F19" s="17" t="n">
        <f aca="false">B19*E19</f>
        <v>3.34651070212487</v>
      </c>
      <c r="G19" s="17" t="n">
        <f aca="false">C19*E19</f>
        <v>2.42143435231054</v>
      </c>
      <c r="H19" s="17" t="n">
        <f aca="false">D19*E19</f>
        <v>1.15219395202856</v>
      </c>
      <c r="J19" s="38" t="n">
        <v>0.8</v>
      </c>
      <c r="K19" s="17" t="n">
        <f aca="false">(1-J19)^$F$7</f>
        <v>0.380730787743176</v>
      </c>
      <c r="L19" s="17" t="n">
        <f aca="false">K19^$B$7</f>
        <v>0.647557143782081</v>
      </c>
      <c r="M19" s="17" t="n">
        <f aca="false">K19^$C$7</f>
        <v>0.159651938106323</v>
      </c>
      <c r="N19" s="17" t="n">
        <f aca="false">$D$7*K19^$E$7</f>
        <v>0.0110204648575108</v>
      </c>
      <c r="O19" s="17" t="n">
        <f aca="false">MAX(0,MIN(1,1-J19*$I$7))</f>
        <v>0.28</v>
      </c>
      <c r="P19" s="17" t="n">
        <f aca="false">0.1+0.9*O19</f>
        <v>0.352</v>
      </c>
      <c r="Q19" s="17" t="n">
        <f aca="false">P19^$B$7</f>
        <v>0.625092371027076</v>
      </c>
      <c r="R19" s="17" t="n">
        <f aca="false">P19^$C$7</f>
        <v>0.137540646255321</v>
      </c>
      <c r="S19" s="17" t="n">
        <f aca="false">$D$7*P19^$E$7</f>
        <v>0.00774213805735474</v>
      </c>
    </row>
    <row r="20" customFormat="false" ht="15" hidden="false" customHeight="false" outlineLevel="0" collapsed="false">
      <c r="A20" s="38" t="n">
        <v>0.9</v>
      </c>
      <c r="B20" s="17" t="n">
        <f aca="false">A20^$B$7</f>
        <v>0.953694173245785</v>
      </c>
      <c r="C20" s="17" t="n">
        <f aca="false">A20^$C$7</f>
        <v>0.818579318474666</v>
      </c>
      <c r="D20" s="17" t="n">
        <f aca="false">$D$7*A20^$E$7</f>
        <v>0.529066445073301</v>
      </c>
      <c r="E20" s="17" t="n">
        <f aca="false">$G$7+$H$7*A20^2</f>
        <v>4.55</v>
      </c>
      <c r="F20" s="17" t="n">
        <f aca="false">B20*E20</f>
        <v>4.33930848826832</v>
      </c>
      <c r="G20" s="17" t="n">
        <f aca="false">C20*E20</f>
        <v>3.72453589905973</v>
      </c>
      <c r="H20" s="17" t="n">
        <f aca="false">D20*E20</f>
        <v>2.40725232508352</v>
      </c>
      <c r="J20" s="38" t="n">
        <v>0.9</v>
      </c>
      <c r="K20" s="17" t="n">
        <f aca="false">(1-J20)^$F$7</f>
        <v>0.251188643150958</v>
      </c>
      <c r="L20" s="17" t="n">
        <f aca="false">K20^$B$7</f>
        <v>0.537031796370253</v>
      </c>
      <c r="M20" s="17" t="n">
        <f aca="false">K20^$C$7</f>
        <v>0.072443596007499</v>
      </c>
      <c r="N20" s="17" t="n">
        <f aca="false">$D$7*K20^$E$7</f>
        <v>0.00169597296772355</v>
      </c>
      <c r="O20" s="17" t="n">
        <f aca="false">MAX(0,MIN(1,1-J20*$I$7))</f>
        <v>0.19</v>
      </c>
      <c r="P20" s="17" t="n">
        <f aca="false">0.1+0.9*O20</f>
        <v>0.271</v>
      </c>
      <c r="Q20" s="17" t="n">
        <f aca="false">P20^$B$7</f>
        <v>0.55569460559631</v>
      </c>
      <c r="R20" s="17" t="n">
        <f aca="false">P20^$C$7</f>
        <v>0.0836838500606752</v>
      </c>
      <c r="S20" s="17" t="n">
        <f aca="false">$D$7*P20^$E$7</f>
        <v>0.00238660603588605</v>
      </c>
    </row>
    <row r="21" customFormat="false" ht="15" hidden="false" customHeight="false" outlineLevel="0" collapsed="false">
      <c r="A21" s="38" t="n">
        <v>1</v>
      </c>
      <c r="B21" s="17" t="n">
        <f aca="false">A21^$B$7</f>
        <v>1</v>
      </c>
      <c r="C21" s="17" t="n">
        <f aca="false">A21^$C$7</f>
        <v>1</v>
      </c>
      <c r="D21" s="17" t="n">
        <f aca="false">$D$7*A21^$E$7</f>
        <v>0.85</v>
      </c>
      <c r="E21" s="17" t="n">
        <f aca="false">$G$7+$H$7*A21^2</f>
        <v>5.5</v>
      </c>
      <c r="F21" s="17" t="n">
        <f aca="false">B21*E21</f>
        <v>5.5</v>
      </c>
      <c r="G21" s="17" t="n">
        <f aca="false">C21*E21</f>
        <v>5.5</v>
      </c>
      <c r="H21" s="17" t="n">
        <f aca="false">D21*E21</f>
        <v>4.675</v>
      </c>
      <c r="J21" s="38" t="n">
        <v>1</v>
      </c>
      <c r="K21" s="17" t="n">
        <f aca="false">(1-J21)^$F$7</f>
        <v>0</v>
      </c>
      <c r="L21" s="17" t="n">
        <f aca="false">K21^$B$7</f>
        <v>0</v>
      </c>
      <c r="M21" s="17" t="n">
        <f aca="false">K21^$C$7</f>
        <v>0</v>
      </c>
      <c r="N21" s="17" t="n">
        <f aca="false">$D$7*K21^$E$7</f>
        <v>0</v>
      </c>
      <c r="O21" s="17" t="n">
        <f aca="false">MAX(0,MIN(1,1-J21*$I$7))</f>
        <v>0.1</v>
      </c>
      <c r="P21" s="17" t="n">
        <f aca="false">0.1+0.9*O21</f>
        <v>0.19</v>
      </c>
      <c r="Q21" s="17" t="n">
        <f aca="false">P21^$B$7</f>
        <v>0.473629909893885</v>
      </c>
      <c r="R21" s="17" t="n">
        <f aca="false">P21^$C$7</f>
        <v>0.042621805393757</v>
      </c>
      <c r="S21" s="17" t="n">
        <f aca="false">$D$7*P21^$E$7</f>
        <v>0.00048284765883799</v>
      </c>
    </row>
    <row r="24" customFormat="false" ht="15" hidden="false" customHeight="false" outlineLevel="0" collapsed="false">
      <c r="A24" s="10" t="s">
        <v>1122</v>
      </c>
      <c r="J24" s="10" t="s">
        <v>1123</v>
      </c>
    </row>
    <row r="25" customFormat="false" ht="15" hidden="false" customHeight="false" outlineLevel="0" collapsed="false">
      <c r="B25" s="3" t="s">
        <v>1124</v>
      </c>
      <c r="C25" s="3" t="s">
        <v>1125</v>
      </c>
      <c r="D25" s="3" t="s">
        <v>1126</v>
      </c>
      <c r="E25" s="3" t="s">
        <v>1127</v>
      </c>
      <c r="F25" s="3" t="s">
        <v>1028</v>
      </c>
      <c r="G25" s="3" t="s">
        <v>1128</v>
      </c>
      <c r="H25" s="3" t="s">
        <v>1129</v>
      </c>
      <c r="I25" s="3" t="s">
        <v>707</v>
      </c>
      <c r="J25" s="3" t="s">
        <v>1130</v>
      </c>
      <c r="K25" s="3" t="s">
        <v>1131</v>
      </c>
      <c r="L25" s="3" t="s">
        <v>1132</v>
      </c>
      <c r="M25" s="3" t="s">
        <v>1124</v>
      </c>
    </row>
    <row r="26" customFormat="false" ht="15" hidden="false" customHeight="false" outlineLevel="0" collapsed="false">
      <c r="A26" s="4" t="s">
        <v>1087</v>
      </c>
      <c r="B26" s="43" t="n">
        <v>9.81</v>
      </c>
      <c r="C26" s="43" t="n">
        <v>0.4</v>
      </c>
      <c r="D26" s="43" t="n">
        <v>0.25</v>
      </c>
      <c r="E26" s="43" t="n">
        <v>0.6</v>
      </c>
      <c r="F26" s="43" t="n">
        <v>0.05</v>
      </c>
      <c r="G26" s="43" t="n">
        <v>11</v>
      </c>
      <c r="H26" s="43" t="n">
        <v>6</v>
      </c>
      <c r="I26" s="43" t="n">
        <v>1</v>
      </c>
      <c r="J26" s="43" t="n">
        <v>0.3</v>
      </c>
      <c r="K26" s="43" t="n">
        <v>5</v>
      </c>
      <c r="L26" s="43" t="n">
        <v>0.25</v>
      </c>
      <c r="M26" s="43" t="n">
        <v>9.81</v>
      </c>
    </row>
    <row r="27" customFormat="false" ht="18" hidden="false" customHeight="true" outlineLevel="0" collapsed="false">
      <c r="A27" s="3" t="s">
        <v>1133</v>
      </c>
      <c r="B27" s="3" t="s">
        <v>1134</v>
      </c>
      <c r="C27" s="3" t="s">
        <v>564</v>
      </c>
      <c r="D27" s="3" t="s">
        <v>565</v>
      </c>
      <c r="E27" s="3" t="s">
        <v>1135</v>
      </c>
      <c r="F27" s="3" t="s">
        <v>1136</v>
      </c>
      <c r="J27" s="3" t="s">
        <v>1137</v>
      </c>
      <c r="K27" s="3" t="s">
        <v>1138</v>
      </c>
      <c r="L27" s="3" t="s">
        <v>1139</v>
      </c>
      <c r="M27" s="3" t="s">
        <v>1140</v>
      </c>
      <c r="N27" s="3" t="s">
        <v>1141</v>
      </c>
    </row>
    <row r="28" customFormat="false" ht="15" hidden="false" customHeight="false" outlineLevel="0" collapsed="false">
      <c r="A28" s="7" t="n">
        <v>0</v>
      </c>
      <c r="B28" s="17" t="n">
        <v>0</v>
      </c>
      <c r="C28" s="17" t="n">
        <v>0</v>
      </c>
      <c r="D28" s="17" t="n">
        <f aca="false">$I$26</f>
        <v>1</v>
      </c>
      <c r="E28" s="17" t="n">
        <f aca="false">$G$26</f>
        <v>11</v>
      </c>
      <c r="F28" s="17" t="n">
        <f aca="false">$H$26</f>
        <v>6</v>
      </c>
      <c r="J28" s="7" t="n">
        <v>0</v>
      </c>
      <c r="K28" s="17" t="n">
        <f aca="false">$K$26*$J$26^J28</f>
        <v>5</v>
      </c>
      <c r="L28" s="17" t="n">
        <f aca="false">K28^2/(2*$M$26)</f>
        <v>1.27420998980632</v>
      </c>
      <c r="M28" s="17" t="n">
        <f aca="false">2*K28/$M$26</f>
        <v>1.01936799184506</v>
      </c>
      <c r="N28" s="12" t="str">
        <f aca="false">IF(K28&gt;=$L$26,"yes","rest")</f>
        <v>yes</v>
      </c>
    </row>
    <row r="29" customFormat="false" ht="15" hidden="false" customHeight="false" outlineLevel="0" collapsed="false">
      <c r="A29" s="7" t="n">
        <v>1</v>
      </c>
      <c r="B29" s="17" t="n">
        <f aca="false">B28+$F$26</f>
        <v>0.05</v>
      </c>
      <c r="C29" s="17" t="n">
        <f aca="false">C28+E28*EXP(-$C$26*$F$26)*$F$26</f>
        <v>0.539109270318716</v>
      </c>
      <c r="D29" s="17" t="n">
        <f aca="false">MAX(0.02,(D28+(F28-$B$26*$F$26)*EXP(-$C$26*$F$26)*$F$26))</f>
        <v>1.27002022952918</v>
      </c>
      <c r="E29" s="17" t="n">
        <f aca="false">IF((D28+(F28-$B$26*$F$26)*EXP(-$C$26*$F$26)*$F$26)&lt;0.02,E28*EXP(-$C$26*$F$26)*$E$26,E28*EXP(-$C$26*$F$26))</f>
        <v>10.7821854063743</v>
      </c>
      <c r="F29" s="17" t="n">
        <f aca="false">IF((D28+(F28-$B$26*$F$26)*EXP(-$C$26*$F$26)*$F$26)&lt;0.02,-(F28-$B$26*$F$26)*EXP(-$C$26*$F$26)*$D$26,(F28-$B$26*$F$26)*EXP(-$C$26*$F$26))</f>
        <v>5.40040459058357</v>
      </c>
      <c r="J29" s="7" t="n">
        <v>1</v>
      </c>
      <c r="K29" s="17" t="n">
        <f aca="false">$K$26*$J$26^J29</f>
        <v>1.5</v>
      </c>
      <c r="L29" s="17" t="n">
        <f aca="false">K29^2/(2*$M$26)</f>
        <v>0.114678899082569</v>
      </c>
      <c r="M29" s="17" t="n">
        <f aca="false">2*K29/$M$26</f>
        <v>0.305810397553517</v>
      </c>
      <c r="N29" s="12" t="str">
        <f aca="false">IF(K29&gt;=$L$26,"yes","rest")</f>
        <v>yes</v>
      </c>
    </row>
    <row r="30" customFormat="false" ht="15" hidden="false" customHeight="false" outlineLevel="0" collapsed="false">
      <c r="A30" s="7" t="n">
        <v>2</v>
      </c>
      <c r="B30" s="17" t="n">
        <f aca="false">B29+$F$26</f>
        <v>0.1</v>
      </c>
      <c r="C30" s="17" t="n">
        <f aca="false">C29+E29*EXP(-$C$26*$F$26)*$F$26</f>
        <v>1.06754346185249</v>
      </c>
      <c r="D30" s="17" t="n">
        <f aca="false">MAX(0.02,(D29+(F29-$B$26*$F$26)*EXP(-$C$26*$F$26)*$F$26))</f>
        <v>1.51065432781682</v>
      </c>
      <c r="E30" s="17" t="n">
        <f aca="false">IF((D29+(F29-$B$26*$F$26)*EXP(-$C$26*$F$26)*$F$26)&lt;0.02,E29*EXP(-$C$26*$F$26)*$E$26,E29*EXP(-$C$26*$F$26))</f>
        <v>10.5686838306756</v>
      </c>
      <c r="F30" s="17" t="n">
        <f aca="false">IF((D29+(F29-$B$26*$F$26)*EXP(-$C$26*$F$26)*$F$26)&lt;0.02,-(F29-$B$26*$F$26)*EXP(-$C$26*$F$26)*$D$26,(F29-$B$26*$F$26)*EXP(-$C$26*$F$26))</f>
        <v>4.81268196575276</v>
      </c>
      <c r="J30" s="7" t="n">
        <v>2</v>
      </c>
      <c r="K30" s="17" t="n">
        <f aca="false">$K$26*$J$26^J30</f>
        <v>0.45</v>
      </c>
      <c r="L30" s="17" t="n">
        <f aca="false">K30^2/(2*$M$26)</f>
        <v>0.0103211009174312</v>
      </c>
      <c r="M30" s="17" t="n">
        <f aca="false">2*K30/$M$26</f>
        <v>0.091743119266055</v>
      </c>
      <c r="N30" s="12" t="str">
        <f aca="false">IF(K30&gt;=$L$26,"yes","rest")</f>
        <v>yes</v>
      </c>
    </row>
    <row r="31" customFormat="false" ht="15" hidden="false" customHeight="false" outlineLevel="0" collapsed="false">
      <c r="A31" s="7" t="n">
        <v>3</v>
      </c>
      <c r="B31" s="17" t="n">
        <f aca="false">B30+$F$26</f>
        <v>0.15</v>
      </c>
      <c r="C31" s="17" t="n">
        <f aca="false">C30+E30*EXP(-$C$26*$F$26)*$F$26</f>
        <v>1.58551395532383</v>
      </c>
      <c r="D31" s="17" t="n">
        <f aca="false">MAX(0.02,(D30+(F30-$B$26*$F$26)*EXP(-$C$26*$F$26)*$F$26))</f>
        <v>1.72248417924788</v>
      </c>
      <c r="E31" s="17" t="n">
        <f aca="false">IF((D30+(F30-$B$26*$F$26)*EXP(-$C$26*$F$26)*$F$26)&lt;0.02,E30*EXP(-$C$26*$F$26)*$E$26,E30*EXP(-$C$26*$F$26))</f>
        <v>10.3594098694267</v>
      </c>
      <c r="F31" s="17" t="n">
        <f aca="false">IF((D30+(F30-$B$26*$F$26)*EXP(-$C$26*$F$26)*$F$26)&lt;0.02,-(F30-$B$26*$F$26)*EXP(-$C$26*$F$26)*$D$26,(F30-$B$26*$F$26)*EXP(-$C$26*$F$26))</f>
        <v>4.23659702862124</v>
      </c>
      <c r="J31" s="7" t="n">
        <v>3</v>
      </c>
      <c r="K31" s="17" t="n">
        <f aca="false">$K$26*$J$26^J31</f>
        <v>0.135</v>
      </c>
      <c r="L31" s="17" t="n">
        <f aca="false">K31^2/(2*$M$26)</f>
        <v>0.000928899082568807</v>
      </c>
      <c r="M31" s="17" t="n">
        <f aca="false">2*K31/$M$26</f>
        <v>0.0275229357798165</v>
      </c>
      <c r="N31" s="12" t="str">
        <f aca="false">IF(K31&gt;=$L$26,"yes","rest")</f>
        <v>rest</v>
      </c>
    </row>
    <row r="32" customFormat="false" ht="15" hidden="false" customHeight="false" outlineLevel="0" collapsed="false">
      <c r="A32" s="7" t="n">
        <v>4</v>
      </c>
      <c r="B32" s="17" t="n">
        <f aca="false">B31+$F$26</f>
        <v>0.2</v>
      </c>
      <c r="C32" s="17" t="n">
        <f aca="false">C31+E31*EXP(-$C$26*$F$26)*$F$26</f>
        <v>2.09322794583648</v>
      </c>
      <c r="D32" s="17" t="n">
        <f aca="false">MAX(0.02,(D31+(F31-$B$26*$F$26)*EXP(-$C$26*$F$26)*$F$26))</f>
        <v>1.90608014612452</v>
      </c>
      <c r="E32" s="17" t="n">
        <f aca="false">IF((D31+(F31-$B$26*$F$26)*EXP(-$C$26*$F$26)*$F$26)&lt;0.02,E31*EXP(-$C$26*$F$26)*$E$26,E31*EXP(-$C$26*$F$26))</f>
        <v>10.154279810253</v>
      </c>
      <c r="F32" s="17" t="n">
        <f aca="false">IF((D31+(F31-$B$26*$F$26)*EXP(-$C$26*$F$26)*$F$26)&lt;0.02,-(F31-$B$26*$F$26)*EXP(-$C$26*$F$26)*$D$26,(F31-$B$26*$F$26)*EXP(-$C$26*$F$26))</f>
        <v>3.67191933753292</v>
      </c>
      <c r="J32" s="7" t="n">
        <v>4</v>
      </c>
      <c r="K32" s="17" t="n">
        <f aca="false">$K$26*$J$26^J32</f>
        <v>0.0405</v>
      </c>
      <c r="L32" s="17" t="n">
        <f aca="false">K32^2/(2*$M$26)</f>
        <v>8.36009174311926E-005</v>
      </c>
      <c r="M32" s="17" t="n">
        <f aca="false">2*K32/$M$26</f>
        <v>0.00825688073394495</v>
      </c>
      <c r="N32" s="12" t="str">
        <f aca="false">IF(K32&gt;=$L$26,"yes","rest")</f>
        <v>rest</v>
      </c>
    </row>
    <row r="33" customFormat="false" ht="15" hidden="false" customHeight="false" outlineLevel="0" collapsed="false">
      <c r="A33" s="7" t="n">
        <v>5</v>
      </c>
      <c r="B33" s="17" t="n">
        <f aca="false">B32+$F$26</f>
        <v>0.25</v>
      </c>
      <c r="C33" s="17" t="n">
        <f aca="false">C32+E32*EXP(-$C$26*$F$26)*$F$26</f>
        <v>2.59088852575626</v>
      </c>
      <c r="D33" s="17" t="n">
        <f aca="false">MAX(0.02,(D32+(F32-$B$26*$F$26)*EXP(-$C$26*$F$26)*$F$26))</f>
        <v>2.06200129681864</v>
      </c>
      <c r="E33" s="17" t="n">
        <f aca="false">IF((D32+(F32-$B$26*$F$26)*EXP(-$C$26*$F$26)*$F$26)&lt;0.02,E32*EXP(-$C$26*$F$26)*$E$26,E32*EXP(-$C$26*$F$26))</f>
        <v>9.95321159839555</v>
      </c>
      <c r="F33" s="17" t="n">
        <f aca="false">IF((D32+(F32-$B$26*$F$26)*EXP(-$C$26*$F$26)*$F$26)&lt;0.02,-(F32-$B$26*$F$26)*EXP(-$C$26*$F$26)*$D$26,(F32-$B$26*$F$26)*EXP(-$C$26*$F$26))</f>
        <v>3.11842301388222</v>
      </c>
      <c r="J33" s="7" t="n">
        <v>5</v>
      </c>
      <c r="K33" s="17" t="n">
        <f aca="false">$K$26*$J$26^J33</f>
        <v>0.01215</v>
      </c>
      <c r="L33" s="17" t="n">
        <f aca="false">K33^2/(2*$M$26)</f>
        <v>7.52408256880734E-006</v>
      </c>
      <c r="M33" s="17" t="n">
        <f aca="false">2*K33/$M$26</f>
        <v>0.00247706422018349</v>
      </c>
      <c r="N33" s="12" t="str">
        <f aca="false">IF(K33&gt;=$L$26,"yes","rest")</f>
        <v>rest</v>
      </c>
    </row>
    <row r="34" customFormat="false" ht="15" hidden="false" customHeight="false" outlineLevel="0" collapsed="false">
      <c r="A34" s="7" t="n">
        <v>6</v>
      </c>
      <c r="B34" s="17" t="n">
        <f aca="false">B33+$F$26</f>
        <v>0.3</v>
      </c>
      <c r="C34" s="17" t="n">
        <f aca="false">C33+E33*EXP(-$C$26*$F$26)*$F$26</f>
        <v>3.07869476595069</v>
      </c>
      <c r="D34" s="17" t="n">
        <f aca="false">MAX(0.02,(D33+(F33-$B$26*$F$26)*EXP(-$C$26*$F$26)*$F$26))</f>
        <v>2.19079562940662</v>
      </c>
      <c r="E34" s="17" t="n">
        <f aca="false">IF((D33+(F33-$B$26*$F$26)*EXP(-$C$26*$F$26)*$F$26)&lt;0.02,E33*EXP(-$C$26*$F$26)*$E$26,E33*EXP(-$C$26*$F$26))</f>
        <v>9.75612480388873</v>
      </c>
      <c r="F34" s="17" t="n">
        <f aca="false">IF((D33+(F33-$B$26*$F$26)*EXP(-$C$26*$F$26)*$F$26)&lt;0.02,-(F33-$B$26*$F$26)*EXP(-$C$26*$F$26)*$D$26,(F33-$B$26*$F$26)*EXP(-$C$26*$F$26))</f>
        <v>2.57588665175964</v>
      </c>
    </row>
    <row r="35" customFormat="false" ht="15" hidden="false" customHeight="false" outlineLevel="0" collapsed="false">
      <c r="A35" s="7" t="n">
        <v>7</v>
      </c>
      <c r="B35" s="17" t="n">
        <f aca="false">B34+$F$26</f>
        <v>0.35</v>
      </c>
      <c r="C35" s="17" t="n">
        <f aca="false">C34+E34*EXP(-$C$26*$F$26)*$F$26</f>
        <v>3.55684179542004</v>
      </c>
      <c r="D35" s="17" t="n">
        <f aca="false">MAX(0.02,(D34+(F34-$B$26*$F$26)*EXP(-$C$26*$F$26)*$F$26))</f>
        <v>2.29300029087594</v>
      </c>
      <c r="E35" s="17" t="n">
        <f aca="false">IF((D34+(F34-$B$26*$F$26)*EXP(-$C$26*$F$26)*$F$26)&lt;0.02,E34*EXP(-$C$26*$F$26)*$E$26,E34*EXP(-$C$26*$F$26))</f>
        <v>9.56294058938686</v>
      </c>
      <c r="F35" s="17" t="n">
        <f aca="false">IF((D34+(F34-$B$26*$F$26)*EXP(-$C$26*$F$26)*$F$26)&lt;0.02,-(F34-$B$26*$F$26)*EXP(-$C$26*$F$26)*$D$26,(F34-$B$26*$F$26)*EXP(-$C$26*$F$26))</f>
        <v>2.04409322938642</v>
      </c>
      <c r="J35" s="4" t="s">
        <v>1142</v>
      </c>
      <c r="M35" s="17" t="n">
        <f aca="false">SUMIF(N28:N33,"yes",M28:M33)</f>
        <v>1.41692150866463</v>
      </c>
    </row>
    <row r="36" customFormat="false" ht="15" hidden="false" customHeight="false" outlineLevel="0" collapsed="false">
      <c r="A36" s="7" t="n">
        <v>8</v>
      </c>
      <c r="B36" s="17" t="n">
        <f aca="false">B35+$F$26</f>
        <v>0.4</v>
      </c>
      <c r="C36" s="17" t="n">
        <f aca="false">C35+E35*EXP(-$C$26*$F$26)*$F$26</f>
        <v>4.02552087935145</v>
      </c>
      <c r="D36" s="17" t="n">
        <f aca="false">MAX(0.02,(D35+(F35-$B$26*$F$26)*EXP(-$C$26*$F$26)*$F$26))</f>
        <v>2.36914179199108</v>
      </c>
      <c r="E36" s="17" t="n">
        <f aca="false">IF((D35+(F35-$B$26*$F$26)*EXP(-$C$26*$F$26)*$F$26)&lt;0.02,E35*EXP(-$C$26*$F$26)*$E$26,E35*EXP(-$C$26*$F$26))</f>
        <v>9.37358167862832</v>
      </c>
      <c r="F36" s="17" t="n">
        <f aca="false">IF((D35+(F35-$B$26*$F$26)*EXP(-$C$26*$F$26)*$F$26)&lt;0.02,-(F35-$B$26*$F$26)*EXP(-$C$26*$F$26)*$D$26,(F35-$B$26*$F$26)*EXP(-$C$26*$F$26))</f>
        <v>1.52283002230293</v>
      </c>
    </row>
    <row r="37" customFormat="false" ht="15" hidden="false" customHeight="false" outlineLevel="0" collapsed="false">
      <c r="A37" s="7" t="n">
        <v>9</v>
      </c>
      <c r="B37" s="17" t="n">
        <f aca="false">B36+$F$26</f>
        <v>0.45</v>
      </c>
      <c r="C37" s="17" t="n">
        <f aca="false">C36+E36*EXP(-$C$26*$F$26)*$F$26</f>
        <v>4.48491949562765</v>
      </c>
      <c r="D37" s="17" t="n">
        <f aca="false">MAX(0.02,(D36+(F36-$B$26*$F$26)*EXP(-$C$26*$F$26)*$F$26))</f>
        <v>2.41973621790489</v>
      </c>
      <c r="E37" s="17" t="n">
        <f aca="false">IF((D36+(F36-$B$26*$F$26)*EXP(-$C$26*$F$26)*$F$26)&lt;0.02,E36*EXP(-$C$26*$F$26)*$E$26,E36*EXP(-$C$26*$F$26))</f>
        <v>9.18797232552399</v>
      </c>
      <c r="F37" s="17" t="n">
        <f aca="false">IF((D36+(F36-$B$26*$F$26)*EXP(-$C$26*$F$26)*$F$26)&lt;0.02,-(F36-$B$26*$F$26)*EXP(-$C$26*$F$26)*$D$26,(F36-$B$26*$F$26)*EXP(-$C$26*$F$26))</f>
        <v>1.01188851827606</v>
      </c>
    </row>
    <row r="38" customFormat="false" ht="15" hidden="false" customHeight="false" outlineLevel="0" collapsed="false">
      <c r="A38" s="7" t="n">
        <v>10</v>
      </c>
      <c r="B38" s="17" t="n">
        <f aca="false">B37+$F$26</f>
        <v>0.5</v>
      </c>
      <c r="C38" s="17" t="n">
        <f aca="false">C37+E37*EXP(-$C$26*$F$26)*$F$26</f>
        <v>4.93522140982054</v>
      </c>
      <c r="D38" s="17" t="n">
        <f aca="false">MAX(0.02,(D37+(F37-$B$26*$F$26)*EXP(-$C$26*$F$26)*$F$26))</f>
        <v>2.44528943459947</v>
      </c>
      <c r="E38" s="17" t="n">
        <f aca="false">IF((D37+(F37-$B$26*$F$26)*EXP(-$C$26*$F$26)*$F$26)&lt;0.02,E37*EXP(-$C$26*$F$26)*$E$26,E37*EXP(-$C$26*$F$26))</f>
        <v>9.0060382838578</v>
      </c>
      <c r="F38" s="17" t="n">
        <f aca="false">IF((D37+(F37-$B$26*$F$26)*EXP(-$C$26*$F$26)*$F$26)&lt;0.02,-(F37-$B$26*$F$26)*EXP(-$C$26*$F$26)*$D$26,(F37-$B$26*$F$26)*EXP(-$C$26*$F$26))</f>
        <v>0.511064333891569</v>
      </c>
    </row>
    <row r="39" customFormat="false" ht="15" hidden="false" customHeight="false" outlineLevel="0" collapsed="false">
      <c r="A39" s="7" t="n">
        <v>11</v>
      </c>
      <c r="B39" s="17" t="n">
        <f aca="false">B38+$F$26</f>
        <v>0.55</v>
      </c>
      <c r="C39" s="17" t="n">
        <f aca="false">C38+E38*EXP(-$C$26*$F$26)*$F$26</f>
        <v>5.37660674869991</v>
      </c>
      <c r="D39" s="17" t="n">
        <f aca="false">MAX(0.02,(D38+(F38-$B$26*$F$26)*EXP(-$C$26*$F$26)*$F$26))</f>
        <v>2.44629729123936</v>
      </c>
      <c r="E39" s="17" t="n">
        <f aca="false">IF((D38+(F38-$B$26*$F$26)*EXP(-$C$26*$F$26)*$F$26)&lt;0.02,E38*EXP(-$C$26*$F$26)*$E$26,E38*EXP(-$C$26*$F$26))</f>
        <v>8.82770677758726</v>
      </c>
      <c r="F39" s="17" t="n">
        <f aca="false">IF((D38+(F38-$B$26*$F$26)*EXP(-$C$26*$F$26)*$F$26)&lt;0.02,-(F38-$B$26*$F$26)*EXP(-$C$26*$F$26)*$D$26,(F38-$B$26*$F$26)*EXP(-$C$26*$F$26))</f>
        <v>0.0201571327979528</v>
      </c>
    </row>
    <row r="40" customFormat="false" ht="15" hidden="false" customHeight="false" outlineLevel="0" collapsed="false">
      <c r="A40" s="7" t="n">
        <v>12</v>
      </c>
      <c r="B40" s="17" t="n">
        <f aca="false">B39+$F$26</f>
        <v>0.6</v>
      </c>
      <c r="C40" s="17" t="n">
        <f aca="false">C39+E39*EXP(-$C$26*$F$26)*$F$26</f>
        <v>5.80925207228651</v>
      </c>
      <c r="D40" s="17" t="n">
        <f aca="false">MAX(0.02,(D39+(F39-$B$26*$F$26)*EXP(-$C$26*$F$26)*$F$26))</f>
        <v>2.42324581851783</v>
      </c>
      <c r="E40" s="17" t="n">
        <f aca="false">IF((D39+(F39-$B$26*$F$26)*EXP(-$C$26*$F$26)*$F$26)&lt;0.02,E39*EXP(-$C$26*$F$26)*$E$26,E39*EXP(-$C$26*$F$26))</f>
        <v>8.65290647173208</v>
      </c>
      <c r="F40" s="17" t="n">
        <f aca="false">IF((D39+(F39-$B$26*$F$26)*EXP(-$C$26*$F$26)*$F$26)&lt;0.02,-(F39-$B$26*$F$26)*EXP(-$C$26*$F$26)*$D$26,(F39-$B$26*$F$26)*EXP(-$C$26*$F$26))</f>
        <v>-0.461029454430742</v>
      </c>
    </row>
    <row r="41" customFormat="false" ht="15" hidden="false" customHeight="false" outlineLevel="0" collapsed="false">
      <c r="A41" s="7" t="n">
        <v>13</v>
      </c>
      <c r="B41" s="17" t="n">
        <f aca="false">B40+$F$26</f>
        <v>0.65</v>
      </c>
      <c r="C41" s="17" t="n">
        <f aca="false">C40+E40*EXP(-$C$26*$F$26)*$F$26</f>
        <v>6.23333044447847</v>
      </c>
      <c r="D41" s="17" t="n">
        <f aca="false">MAX(0.02,(D40+(F40-$B$26*$F$26)*EXP(-$C$26*$F$26)*$F$26))</f>
        <v>2.37661142307556</v>
      </c>
      <c r="E41" s="17" t="n">
        <f aca="false">IF((D40+(F40-$B$26*$F$26)*EXP(-$C$26*$F$26)*$F$26)&lt;0.02,E40*EXP(-$C$26*$F$26)*$E$26,E40*EXP(-$C$26*$F$26))</f>
        <v>8.48156744383922</v>
      </c>
      <c r="F41" s="17" t="n">
        <f aca="false">IF((D40+(F40-$B$26*$F$26)*EXP(-$C$26*$F$26)*$F$26)&lt;0.02,-(F40-$B$26*$F$26)*EXP(-$C$26*$F$26)*$D$26,(F40-$B$26*$F$26)*EXP(-$C$26*$F$26))</f>
        <v>-0.932687908845314</v>
      </c>
    </row>
    <row r="42" customFormat="false" ht="15" hidden="false" customHeight="false" outlineLevel="0" collapsed="false">
      <c r="A42" s="7" t="n">
        <v>14</v>
      </c>
      <c r="B42" s="17" t="n">
        <f aca="false">B41+$F$26</f>
        <v>0.7</v>
      </c>
      <c r="C42" s="17" t="n">
        <f aca="false">C41+E41*EXP(-$C$26*$F$26)*$F$26</f>
        <v>6.64901150227912</v>
      </c>
      <c r="D42" s="17" t="n">
        <f aca="false">MAX(0.02,(D41+(F41-$B$26*$F$26)*EXP(-$C$26*$F$26)*$F$26))</f>
        <v>2.30686107806974</v>
      </c>
      <c r="E42" s="17" t="n">
        <f aca="false">IF((D41+(F41-$B$26*$F$26)*EXP(-$C$26*$F$26)*$F$26)&lt;0.02,E41*EXP(-$C$26*$F$26)*$E$26,E41*EXP(-$C$26*$F$26))</f>
        <v>8.31362115601297</v>
      </c>
      <c r="F42" s="17" t="n">
        <f aca="false">IF((D41+(F41-$B$26*$F$26)*EXP(-$C$26*$F$26)*$F$26)&lt;0.02,-(F41-$B$26*$F$26)*EXP(-$C$26*$F$26)*$D$26,(F41-$B$26*$F$26)*EXP(-$C$26*$F$26))</f>
        <v>-1.39500690011639</v>
      </c>
    </row>
    <row r="43" customFormat="false" ht="15" hidden="false" customHeight="false" outlineLevel="0" collapsed="false">
      <c r="A43" s="7" t="n">
        <v>15</v>
      </c>
      <c r="B43" s="17" t="n">
        <f aca="false">B42+$F$26</f>
        <v>0.75</v>
      </c>
      <c r="C43" s="17" t="n">
        <f aca="false">C42+E42*EXP(-$C$26*$F$26)*$F$26</f>
        <v>7.05646152365407</v>
      </c>
      <c r="D43" s="17" t="n">
        <f aca="false">MAX(0.02,(D42+(F42-$B$26*$F$26)*EXP(-$C$26*$F$26)*$F$26))</f>
        <v>2.2144525099695</v>
      </c>
      <c r="E43" s="17" t="n">
        <f aca="false">IF((D42+(F42-$B$26*$F$26)*EXP(-$C$26*$F$26)*$F$26)&lt;0.02,E42*EXP(-$C$26*$F$26)*$E$26,E42*EXP(-$C$26*$F$26))</f>
        <v>8.14900042749889</v>
      </c>
      <c r="F43" s="17" t="n">
        <f aca="false">IF((D42+(F42-$B$26*$F$26)*EXP(-$C$26*$F$26)*$F$26)&lt;0.02,-(F42-$B$26*$F$26)*EXP(-$C$26*$F$26)*$D$26,(F42-$B$26*$F$26)*EXP(-$C$26*$F$26))</f>
        <v>-1.84817136200482</v>
      </c>
    </row>
    <row r="44" customFormat="false" ht="15" hidden="false" customHeight="false" outlineLevel="0" collapsed="false">
      <c r="A44" s="7" t="n">
        <v>16</v>
      </c>
      <c r="B44" s="17" t="n">
        <f aca="false">B43+$F$26</f>
        <v>0.8</v>
      </c>
      <c r="C44" s="17" t="n">
        <f aca="false">C43+E43*EXP(-$C$26*$F$26)*$F$26</f>
        <v>7.45584349404459</v>
      </c>
      <c r="D44" s="17" t="n">
        <f aca="false">MAX(0.02,(D43+(F43-$B$26*$F$26)*EXP(-$C$26*$F$26)*$F$26))</f>
        <v>2.09983438165262</v>
      </c>
      <c r="E44" s="17" t="n">
        <f aca="false">IF((D43+(F43-$B$26*$F$26)*EXP(-$C$26*$F$26)*$F$26)&lt;0.02,E43*EXP(-$C$26*$F$26)*$E$26,E43*EXP(-$C$26*$F$26))</f>
        <v>7.98763940781059</v>
      </c>
      <c r="F44" s="17" t="n">
        <f aca="false">IF((D43+(F43-$B$26*$F$26)*EXP(-$C$26*$F$26)*$F$26)&lt;0.02,-(F43-$B$26*$F$26)*EXP(-$C$26*$F$26)*$D$26,(F43-$B$26*$F$26)*EXP(-$C$26*$F$26))</f>
        <v>-2.29236256633763</v>
      </c>
    </row>
    <row r="45" customFormat="false" ht="15" hidden="false" customHeight="false" outlineLevel="0" collapsed="false">
      <c r="A45" s="7" t="n">
        <v>17</v>
      </c>
      <c r="B45" s="17" t="n">
        <f aca="false">B44+$F$26</f>
        <v>0.85</v>
      </c>
      <c r="C45" s="17" t="n">
        <f aca="false">C44+E44*EXP(-$C$26*$F$26)*$F$26</f>
        <v>7.84731717156403</v>
      </c>
      <c r="D45" s="17" t="n">
        <f aca="false">MAX(0.02,(D44+(F44-$B$26*$F$26)*EXP(-$C$26*$F$26)*$F$26))</f>
        <v>1.96344647187666</v>
      </c>
      <c r="E45" s="17" t="n">
        <f aca="false">IF((D44+(F44-$B$26*$F$26)*EXP(-$C$26*$F$26)*$F$26)&lt;0.02,E44*EXP(-$C$26*$F$26)*$E$26,E44*EXP(-$C$26*$F$26))</f>
        <v>7.8294735503887</v>
      </c>
      <c r="F45" s="17" t="n">
        <f aca="false">IF((D44+(F44-$B$26*$F$26)*EXP(-$C$26*$F$26)*$F$26)&lt;0.02,-(F44-$B$26*$F$26)*EXP(-$C$26*$F$26)*$D$26,(F44-$B$26*$F$26)*EXP(-$C$26*$F$26))</f>
        <v>-2.72775819551917</v>
      </c>
    </row>
    <row r="46" customFormat="false" ht="15" hidden="false" customHeight="false" outlineLevel="0" collapsed="false">
      <c r="A46" s="7" t="n">
        <v>18</v>
      </c>
      <c r="B46" s="17" t="n">
        <f aca="false">B45+$F$26</f>
        <v>0.9</v>
      </c>
      <c r="C46" s="17" t="n">
        <f aca="false">C45+E45*EXP(-$C$26*$F$26)*$F$26</f>
        <v>8.2310391509031</v>
      </c>
      <c r="D46" s="17" t="n">
        <f aca="false">MAX(0.02,(D45+(F45-$B$26*$F$26)*EXP(-$C$26*$F$26)*$F$26))</f>
        <v>1.80571985119634</v>
      </c>
      <c r="E46" s="17" t="n">
        <f aca="false">IF((D45+(F45-$B$26*$F$26)*EXP(-$C$26*$F$26)*$F$26)&lt;0.02,E45*EXP(-$C$26*$F$26)*$E$26,E45*EXP(-$C$26*$F$26))</f>
        <v>7.67443958678133</v>
      </c>
      <c r="F46" s="17" t="n">
        <f aca="false">IF((D45+(F45-$B$26*$F$26)*EXP(-$C$26*$F$26)*$F$26)&lt;0.02,-(F45-$B$26*$F$26)*EXP(-$C$26*$F$26)*$D$26,(F45-$B$26*$F$26)*EXP(-$C$26*$F$26))</f>
        <v>-3.15453241360649</v>
      </c>
    </row>
    <row r="47" customFormat="false" ht="15" hidden="false" customHeight="false" outlineLevel="0" collapsed="false">
      <c r="A47" s="7" t="n">
        <v>19</v>
      </c>
      <c r="B47" s="17" t="n">
        <f aca="false">B46+$F$26</f>
        <v>0.95</v>
      </c>
      <c r="C47" s="17" t="n">
        <f aca="false">C46+E46*EXP(-$C$26*$F$26)*$F$26</f>
        <v>8.60716292596989</v>
      </c>
      <c r="D47" s="17" t="n">
        <f aca="false">MAX(0.02,(D46+(F46-$B$26*$F$26)*EXP(-$C$26*$F$26)*$F$26))</f>
        <v>1.62707705439748</v>
      </c>
      <c r="E47" s="17" t="n">
        <f aca="false">IF((D46+(F46-$B$26*$F$26)*EXP(-$C$26*$F$26)*$F$26)&lt;0.02,E46*EXP(-$C$26*$F$26)*$E$26,E46*EXP(-$C$26*$F$26))</f>
        <v>7.52247550133591</v>
      </c>
      <c r="F47" s="17" t="n">
        <f aca="false">IF((D46+(F46-$B$26*$F$26)*EXP(-$C$26*$F$26)*$F$26)&lt;0.02,-(F46-$B$26*$F$26)*EXP(-$C$26*$F$26)*$D$26,(F46-$B$26*$F$26)*EXP(-$C$26*$F$26))</f>
        <v>-3.5728559359772</v>
      </c>
    </row>
    <row r="48" customFormat="false" ht="15" hidden="false" customHeight="false" outlineLevel="0" collapsed="false">
      <c r="A48" s="7" t="n">
        <v>20</v>
      </c>
      <c r="B48" s="17" t="n">
        <f aca="false">B47+$F$26</f>
        <v>1</v>
      </c>
      <c r="C48" s="17" t="n">
        <f aca="false">C47+E47*EXP(-$C$26*$F$26)*$F$26</f>
        <v>8.97583895128949</v>
      </c>
      <c r="D48" s="17" t="n">
        <f aca="false">MAX(0.02,(D47+(F47-$B$26*$F$26)*EXP(-$C$26*$F$26)*$F$26))</f>
        <v>1.42793224951658</v>
      </c>
      <c r="E48" s="17" t="n">
        <f aca="false">IF((D47+(F47-$B$26*$F$26)*EXP(-$C$26*$F$26)*$F$26)&lt;0.02,E47*EXP(-$C$26*$F$26)*$E$26,E47*EXP(-$C$26*$F$26))</f>
        <v>7.37352050639202</v>
      </c>
      <c r="F48" s="17" t="n">
        <f aca="false">IF((D47+(F47-$B$26*$F$26)*EXP(-$C$26*$F$26)*$F$26)&lt;0.02,-(F47-$B$26*$F$26)*EXP(-$C$26*$F$26)*$D$26,(F47-$B$26*$F$26)*EXP(-$C$26*$F$26))</f>
        <v>-3.98289609761798</v>
      </c>
    </row>
    <row r="49" customFormat="false" ht="15" hidden="false" customHeight="false" outlineLevel="0" collapsed="false">
      <c r="A49" s="7" t="n">
        <v>21</v>
      </c>
      <c r="B49" s="17" t="n">
        <f aca="false">B48+$F$26</f>
        <v>1.05</v>
      </c>
      <c r="C49" s="17" t="n">
        <f aca="false">C48+E48*EXP(-$C$26*$F$26)*$F$26</f>
        <v>9.33721470218777</v>
      </c>
      <c r="D49" s="17" t="n">
        <f aca="false">MAX(0.02,(D48+(F48-$B$26*$F$26)*EXP(-$C$26*$F$26)*$F$26))</f>
        <v>1.20869140351354</v>
      </c>
      <c r="E49" s="17" t="n">
        <f aca="false">IF((D48+(F48-$B$26*$F$26)*EXP(-$C$26*$F$26)*$F$26)&lt;0.02,E48*EXP(-$C$26*$F$26)*$E$26,E48*EXP(-$C$26*$F$26))</f>
        <v>7.22751501796562</v>
      </c>
      <c r="F49" s="17" t="n">
        <f aca="false">IF((D48+(F48-$B$26*$F$26)*EXP(-$C$26*$F$26)*$F$26)&lt;0.02,-(F48-$B$26*$F$26)*EXP(-$C$26*$F$26)*$D$26,(F48-$B$26*$F$26)*EXP(-$C$26*$F$26))</f>
        <v>-4.38481692006076</v>
      </c>
    </row>
    <row r="50" customFormat="false" ht="15" hidden="false" customHeight="false" outlineLevel="0" collapsed="false">
      <c r="A50" s="7" t="n">
        <v>22</v>
      </c>
      <c r="B50" s="17" t="n">
        <f aca="false">B49+$F$26</f>
        <v>1.1</v>
      </c>
      <c r="C50" s="17" t="n">
        <f aca="false">C49+E49*EXP(-$C$26*$F$26)*$F$26</f>
        <v>9.6914347337835</v>
      </c>
      <c r="D50" s="17" t="n">
        <f aca="false">MAX(0.02,(D49+(F49-$B$26*$F$26)*EXP(-$C$26*$F$26)*$F$26))</f>
        <v>0.969752444663863</v>
      </c>
      <c r="E50" s="17" t="n">
        <f aca="false">IF((D49+(F49-$B$26*$F$26)*EXP(-$C$26*$F$26)*$F$26)&lt;0.02,E49*EXP(-$C$26*$F$26)*$E$26,E49*EXP(-$C$26*$F$26))</f>
        <v>7.08440063191455</v>
      </c>
      <c r="F50" s="17" t="n">
        <f aca="false">IF((D49+(F49-$B$26*$F$26)*EXP(-$C$26*$F$26)*$F$26)&lt;0.02,-(F49-$B$26*$F$26)*EXP(-$C$26*$F$26)*$D$26,(F49-$B$26*$F$26)*EXP(-$C$26*$F$26))</f>
        <v>-4.77877917699353</v>
      </c>
    </row>
    <row r="51" customFormat="false" ht="15" hidden="false" customHeight="false" outlineLevel="0" collapsed="false">
      <c r="A51" s="7" t="n">
        <v>23</v>
      </c>
      <c r="B51" s="17" t="n">
        <f aca="false">B50+$F$26</f>
        <v>1.15</v>
      </c>
      <c r="C51" s="17" t="n">
        <f aca="false">C50+E50*EXP(-$C$26*$F$26)*$F$26</f>
        <v>10.0386407388123</v>
      </c>
      <c r="D51" s="17" t="n">
        <f aca="false">MAX(0.02,(D50+(F50-$B$26*$F$26)*EXP(-$C$26*$F$26)*$F$26))</f>
        <v>0.711505421735265</v>
      </c>
      <c r="E51" s="17" t="n">
        <f aca="false">IF((D50+(F50-$B$26*$F$26)*EXP(-$C$26*$F$26)*$F$26)&lt;0.02,E50*EXP(-$C$26*$F$26)*$E$26,E50*EXP(-$C$26*$F$26))</f>
        <v>6.94412010057618</v>
      </c>
      <c r="F51" s="17" t="n">
        <f aca="false">IF((D50+(F50-$B$26*$F$26)*EXP(-$C$26*$F$26)*$F$26)&lt;0.02,-(F50-$B$26*$F$26)*EXP(-$C$26*$F$26)*$D$26,(F50-$B$26*$F$26)*EXP(-$C$26*$F$26))</f>
        <v>-5.16494045857197</v>
      </c>
    </row>
    <row r="52" customFormat="false" ht="15" hidden="false" customHeight="false" outlineLevel="0" collapsed="false">
      <c r="A52" s="7" t="n">
        <v>24</v>
      </c>
      <c r="B52" s="17" t="n">
        <f aca="false">B51+$F$26</f>
        <v>1.2</v>
      </c>
      <c r="C52" s="17" t="n">
        <f aca="false">C51+E51*EXP(-$C$26*$F$26)*$F$26</f>
        <v>10.3789716043057</v>
      </c>
      <c r="D52" s="17" t="n">
        <f aca="false">MAX(0.02,(D51+(F51-$B$26*$F$26)*EXP(-$C$26*$F$26)*$F$26))</f>
        <v>0.434332660012385</v>
      </c>
      <c r="E52" s="17" t="n">
        <f aca="false">IF((D51+(F51-$B$26*$F$26)*EXP(-$C$26*$F$26)*$F$26)&lt;0.02,E51*EXP(-$C$26*$F$26)*$E$26,E51*EXP(-$C$26*$F$26))</f>
        <v>6.80661730986754</v>
      </c>
      <c r="F52" s="17" t="n">
        <f aca="false">IF((D51+(F51-$B$26*$F$26)*EXP(-$C$26*$F$26)*$F$26)&lt;0.02,-(F51-$B$26*$F$26)*EXP(-$C$26*$F$26)*$D$26,(F51-$B$26*$F$26)*EXP(-$C$26*$F$26))</f>
        <v>-5.54345523445759</v>
      </c>
    </row>
    <row r="53" customFormat="false" ht="15" hidden="false" customHeight="false" outlineLevel="0" collapsed="false">
      <c r="A53" s="7" t="n">
        <v>25</v>
      </c>
      <c r="B53" s="17" t="n">
        <f aca="false">B52+$F$26</f>
        <v>1.25</v>
      </c>
      <c r="C53" s="17" t="n">
        <f aca="false">C52+E52*EXP(-$C$26*$F$26)*$F$26</f>
        <v>10.7125634671476</v>
      </c>
      <c r="D53" s="17" t="n">
        <f aca="false">MAX(0.02,(D52+(F52-$B$26*$F$26)*EXP(-$C$26*$F$26)*$F$26))</f>
        <v>0.138608914232001</v>
      </c>
      <c r="E53" s="17" t="n">
        <f aca="false">IF((D52+(F52-$B$26*$F$26)*EXP(-$C$26*$F$26)*$F$26)&lt;0.02,E52*EXP(-$C$26*$F$26)*$E$26,E52*EXP(-$C$26*$F$26))</f>
        <v>6.67183725683896</v>
      </c>
      <c r="F53" s="17" t="n">
        <f aca="false">IF((D52+(F52-$B$26*$F$26)*EXP(-$C$26*$F$26)*$F$26)&lt;0.02,-(F52-$B$26*$F$26)*EXP(-$C$26*$F$26)*$D$26,(F52-$B$26*$F$26)*EXP(-$C$26*$F$26))</f>
        <v>-5.91447491560768</v>
      </c>
    </row>
    <row r="54" customFormat="false" ht="15" hidden="false" customHeight="false" outlineLevel="0" collapsed="false">
      <c r="A54" s="7" t="n">
        <v>26</v>
      </c>
      <c r="B54" s="17" t="n">
        <f aca="false">B53+$F$26</f>
        <v>1.3</v>
      </c>
      <c r="C54" s="17" t="n">
        <f aca="false">C53+E53*EXP(-$C$26*$F$26)*$F$26</f>
        <v>11.0395497685312</v>
      </c>
      <c r="D54" s="17" t="n">
        <f aca="false">MAX(0.02,(D53+(F53-$B$26*$F$26)*EXP(-$C$26*$F$26)*$F$26))</f>
        <v>0.02</v>
      </c>
      <c r="E54" s="17" t="n">
        <f aca="false">IF((D53+(F53-$B$26*$F$26)*EXP(-$C$26*$F$26)*$F$26)&lt;0.02,E53*EXP(-$C$26*$F$26)*$E$26,E53*EXP(-$C$26*$F$26))</f>
        <v>3.92383561660328</v>
      </c>
      <c r="F54" s="17" t="n">
        <f aca="false">IF((D53+(F53-$B$26*$F$26)*EXP(-$C$26*$F$26)*$F$26)&lt;0.02,-(F53-$B$26*$F$26)*EXP(-$C$26*$F$26)*$D$26,(F53-$B$26*$F$26)*EXP(-$C$26*$F$26))</f>
        <v>1.56953697871042</v>
      </c>
    </row>
    <row r="55" customFormat="false" ht="15" hidden="false" customHeight="false" outlineLevel="0" collapsed="false">
      <c r="A55" s="7" t="n">
        <v>27</v>
      </c>
      <c r="B55" s="17" t="n">
        <f aca="false">B54+$F$26</f>
        <v>1.35</v>
      </c>
      <c r="C55" s="17" t="n">
        <f aca="false">C54+E54*EXP(-$C$26*$F$26)*$F$26</f>
        <v>11.2318566918147</v>
      </c>
      <c r="D55" s="17" t="n">
        <f aca="false">MAX(0.02,(D54+(F54-$B$26*$F$26)*EXP(-$C$26*$F$26)*$F$26))</f>
        <v>0.0728835307490444</v>
      </c>
      <c r="E55" s="17" t="n">
        <f aca="false">IF((D54+(F54-$B$26*$F$26)*EXP(-$C$26*$F$26)*$F$26)&lt;0.02,E54*EXP(-$C$26*$F$26)*$E$26,E54*EXP(-$C$26*$F$26))</f>
        <v>3.84613846566833</v>
      </c>
      <c r="F55" s="17" t="n">
        <f aca="false">IF((D54+(F54-$B$26*$F$26)*EXP(-$C$26*$F$26)*$F$26)&lt;0.02,-(F54-$B$26*$F$26)*EXP(-$C$26*$F$26)*$D$26,(F54-$B$26*$F$26)*EXP(-$C$26*$F$26))</f>
        <v>1.05767061498089</v>
      </c>
    </row>
    <row r="56" customFormat="false" ht="15" hidden="false" customHeight="false" outlineLevel="0" collapsed="false">
      <c r="A56" s="7" t="n">
        <v>28</v>
      </c>
      <c r="B56" s="17" t="n">
        <f aca="false">B55+$F$26</f>
        <v>1.4</v>
      </c>
      <c r="C56" s="17" t="n">
        <f aca="false">C55+E55*EXP(-$C$26*$F$26)*$F$26</f>
        <v>11.4203556828848</v>
      </c>
      <c r="D56" s="17" t="n">
        <f aca="false">MAX(0.02,(D55+(F55-$B$26*$F$26)*EXP(-$C$26*$F$26)*$F$26))</f>
        <v>0.100680524966187</v>
      </c>
      <c r="E56" s="17" t="n">
        <f aca="false">IF((D55+(F55-$B$26*$F$26)*EXP(-$C$26*$F$26)*$F$26)&lt;0.02,E55*EXP(-$C$26*$F$26)*$E$26,E55*EXP(-$C$26*$F$26))</f>
        <v>3.76997982140217</v>
      </c>
      <c r="F56" s="17" t="n">
        <f aca="false">IF((D55+(F55-$B$26*$F$26)*EXP(-$C$26*$F$26)*$F$26)&lt;0.02,-(F55-$B$26*$F$26)*EXP(-$C$26*$F$26)*$D$26,(F55-$B$26*$F$26)*EXP(-$C$26*$F$26))</f>
        <v>0.555939884342843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26" min="3" style="0" width="5.6"/>
  </cols>
  <sheetData>
    <row r="1" customFormat="false" ht="16.15" hidden="false" customHeight="false" outlineLevel="0" collapsed="false">
      <c r="A1" s="1" t="s">
        <v>1143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1144</v>
      </c>
    </row>
    <row r="5" customFormat="false" ht="15" hidden="false" customHeight="false" outlineLevel="0" collapsed="false">
      <c r="B5" s="4" t="s">
        <v>1145</v>
      </c>
      <c r="C5" s="4"/>
      <c r="D5" s="43" t="n">
        <v>6.4</v>
      </c>
      <c r="F5" s="4" t="s">
        <v>1146</v>
      </c>
      <c r="G5" s="4"/>
      <c r="H5" s="43" t="n">
        <v>17.6</v>
      </c>
      <c r="J5" s="4" t="s">
        <v>1147</v>
      </c>
      <c r="K5" s="4"/>
      <c r="L5" s="12" t="str">
        <f aca="false">TEXT($D$5/24,"hh:mm")&amp;"-"&amp;TEXT($H$5/24,"hh:mm")</f>
        <v>06:24-17:36</v>
      </c>
      <c r="M5" s="12"/>
      <c r="N5" s="12"/>
      <c r="O5" s="4" t="s">
        <v>1148</v>
      </c>
      <c r="P5" s="4"/>
      <c r="Q5" s="47" t="n">
        <f aca="false">$H$5-$D$5</f>
        <v>11.2</v>
      </c>
      <c r="S5" s="4" t="s">
        <v>1149</v>
      </c>
      <c r="T5" s="4"/>
      <c r="U5" s="47" t="n">
        <f aca="false">24-($H$5-$D$5)</f>
        <v>12.8</v>
      </c>
      <c r="W5" s="4" t="s">
        <v>1150</v>
      </c>
      <c r="X5" s="4"/>
      <c r="Y5" s="43" t="n">
        <v>6.45</v>
      </c>
      <c r="Z5" s="43" t="n">
        <v>17.6</v>
      </c>
    </row>
    <row r="7" customFormat="false" ht="15" hidden="false" customHeight="true" outlineLevel="0" collapsed="false">
      <c r="A7" s="3" t="s">
        <v>1151</v>
      </c>
      <c r="B7" s="3" t="s">
        <v>1152</v>
      </c>
      <c r="C7" s="3" t="s">
        <v>1153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1154</v>
      </c>
      <c r="P7" s="3"/>
      <c r="Q7" s="3"/>
      <c r="R7" s="3"/>
      <c r="S7" s="3"/>
      <c r="T7" s="3"/>
      <c r="U7" s="3"/>
      <c r="V7" s="3"/>
      <c r="W7" s="3"/>
      <c r="X7" s="3"/>
      <c r="Y7" s="3" t="s">
        <v>1155</v>
      </c>
      <c r="Z7" s="3" t="s">
        <v>1156</v>
      </c>
    </row>
    <row r="8" customFormat="false" ht="15" hidden="false" customHeight="false" outlineLevel="0" collapsed="false">
      <c r="A8" s="34" t="n">
        <v>1</v>
      </c>
      <c r="B8" s="5" t="s">
        <v>1157</v>
      </c>
      <c r="C8" s="48" t="s">
        <v>1158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 t="s">
        <v>1159</v>
      </c>
      <c r="P8" s="48"/>
      <c r="Q8" s="48"/>
      <c r="R8" s="48"/>
      <c r="S8" s="48"/>
      <c r="T8" s="48"/>
      <c r="U8" s="48"/>
      <c r="V8" s="48"/>
      <c r="W8" s="48"/>
      <c r="X8" s="48"/>
      <c r="Y8" s="12" t="str">
        <f aca="false">IF(LEFT(C8,FIND(":",C8)-1)="off duty","off",LEFT(C8,FIND(":",C8)-1))</f>
        <v>guard</v>
      </c>
      <c r="Z8" s="12" t="str">
        <f aca="false">IF(LEFT(O8,FIND(":",O8)-1)="off duty","off",LEFT(O8,FIND(":",O8)-1))</f>
        <v>guard</v>
      </c>
    </row>
    <row r="9" customFormat="false" ht="15" hidden="false" customHeight="false" outlineLevel="0" collapsed="false">
      <c r="A9" s="34" t="n">
        <v>2</v>
      </c>
      <c r="B9" s="5" t="s">
        <v>1160</v>
      </c>
      <c r="C9" s="48" t="s">
        <v>1161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 t="s">
        <v>1162</v>
      </c>
      <c r="P9" s="48"/>
      <c r="Q9" s="48"/>
      <c r="R9" s="48"/>
      <c r="S9" s="48"/>
      <c r="T9" s="48"/>
      <c r="U9" s="48"/>
      <c r="V9" s="48"/>
      <c r="W9" s="48"/>
      <c r="X9" s="48"/>
      <c r="Y9" s="12" t="str">
        <f aca="false">IF(LEFT(C9,FIND(":",C9)-1)="off duty","off",LEFT(C9,FIND(":",C9)-1))</f>
        <v>guard</v>
      </c>
      <c r="Z9" s="12" t="str">
        <f aca="false">IF(LEFT(O9,FIND(":",O9)-1)="off duty","off",LEFT(O9,FIND(":",O9)-1))</f>
        <v>guard</v>
      </c>
    </row>
    <row r="10" customFormat="false" ht="15" hidden="false" customHeight="false" outlineLevel="0" collapsed="false">
      <c r="A10" s="34" t="n">
        <v>3</v>
      </c>
      <c r="B10" s="5" t="s">
        <v>1163</v>
      </c>
      <c r="C10" s="48" t="s">
        <v>1164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 t="s">
        <v>1165</v>
      </c>
      <c r="P10" s="48"/>
      <c r="Q10" s="48"/>
      <c r="R10" s="48"/>
      <c r="S10" s="48"/>
      <c r="T10" s="48"/>
      <c r="U10" s="48"/>
      <c r="V10" s="48"/>
      <c r="W10" s="48"/>
      <c r="X10" s="48"/>
      <c r="Y10" s="12" t="str">
        <f aca="false">IF(LEFT(C10,FIND(":",C10)-1)="off duty","off",LEFT(C10,FIND(":",C10)-1))</f>
        <v>walk</v>
      </c>
      <c r="Z10" s="12" t="str">
        <f aca="false">IF(LEFT(O10,FIND(":",O10)-1)="off duty","off",LEFT(O10,FIND(":",O10)-1))</f>
        <v>guard</v>
      </c>
    </row>
    <row r="11" customFormat="false" ht="15" hidden="false" customHeight="false" outlineLevel="0" collapsed="false">
      <c r="A11" s="34" t="n">
        <v>4</v>
      </c>
      <c r="B11" s="5" t="s">
        <v>1166</v>
      </c>
      <c r="C11" s="48" t="s">
        <v>1167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 t="s">
        <v>1168</v>
      </c>
      <c r="P11" s="48"/>
      <c r="Q11" s="48"/>
      <c r="R11" s="48"/>
      <c r="S11" s="48"/>
      <c r="T11" s="48"/>
      <c r="U11" s="48"/>
      <c r="V11" s="48"/>
      <c r="W11" s="48"/>
      <c r="X11" s="48"/>
      <c r="Y11" s="12" t="str">
        <f aca="false">IF(LEFT(C11,FIND(":",C11)-1)="off duty","off",LEFT(C11,FIND(":",C11)-1))</f>
        <v>work</v>
      </c>
      <c r="Z11" s="12" t="str">
        <f aca="false">IF(LEFT(O11,FIND(":",O11)-1)="off duty","off",LEFT(O11,FIND(":",O11)-1))</f>
        <v>off</v>
      </c>
    </row>
    <row r="12" customFormat="false" ht="15" hidden="false" customHeight="false" outlineLevel="0" collapsed="false">
      <c r="A12" s="34" t="n">
        <v>5</v>
      </c>
      <c r="B12" s="5" t="s">
        <v>1169</v>
      </c>
      <c r="C12" s="48" t="s">
        <v>1170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 t="s">
        <v>1171</v>
      </c>
      <c r="P12" s="48"/>
      <c r="Q12" s="48"/>
      <c r="R12" s="48"/>
      <c r="S12" s="48"/>
      <c r="T12" s="48"/>
      <c r="U12" s="48"/>
      <c r="V12" s="48"/>
      <c r="W12" s="48"/>
      <c r="X12" s="48"/>
      <c r="Y12" s="12" t="str">
        <f aca="false">IF(LEFT(C12,FIND(":",C12)-1)="off duty","off",LEFT(C12,FIND(":",C12)-1))</f>
        <v>work</v>
      </c>
      <c r="Z12" s="12" t="str">
        <f aca="false">IF(LEFT(O12,FIND(":",O12)-1)="off duty","off",LEFT(O12,FIND(":",O12)-1))</f>
        <v>off</v>
      </c>
    </row>
    <row r="13" customFormat="false" ht="15" hidden="false" customHeight="false" outlineLevel="0" collapsed="false">
      <c r="A13" s="34" t="n">
        <v>6</v>
      </c>
      <c r="B13" s="5" t="s">
        <v>1172</v>
      </c>
      <c r="C13" s="48" t="s">
        <v>1173</v>
      </c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 t="s">
        <v>1174</v>
      </c>
      <c r="P13" s="48"/>
      <c r="Q13" s="48"/>
      <c r="R13" s="48"/>
      <c r="S13" s="48"/>
      <c r="T13" s="48"/>
      <c r="U13" s="48"/>
      <c r="V13" s="48"/>
      <c r="W13" s="48"/>
      <c r="X13" s="48"/>
      <c r="Y13" s="12" t="str">
        <f aca="false">IF(LEFT(C13,FIND(":",C13)-1)="off duty","off",LEFT(C13,FIND(":",C13)-1))</f>
        <v>work</v>
      </c>
      <c r="Z13" s="12" t="str">
        <f aca="false">IF(LEFT(O13,FIND(":",O13)-1)="off duty","off",LEFT(O13,FIND(":",O13)-1))</f>
        <v>work</v>
      </c>
    </row>
    <row r="14" customFormat="false" ht="15" hidden="false" customHeight="false" outlineLevel="0" collapsed="false">
      <c r="A14" s="34" t="n">
        <v>7</v>
      </c>
      <c r="B14" s="5" t="s">
        <v>1175</v>
      </c>
      <c r="C14" s="48" t="s">
        <v>1176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 t="s">
        <v>1177</v>
      </c>
      <c r="P14" s="48"/>
      <c r="Q14" s="48"/>
      <c r="R14" s="48"/>
      <c r="S14" s="48"/>
      <c r="T14" s="48"/>
      <c r="U14" s="48"/>
      <c r="V14" s="48"/>
      <c r="W14" s="48"/>
      <c r="X14" s="48"/>
      <c r="Y14" s="12" t="str">
        <f aca="false">IF(LEFT(C14,FIND(":",C14)-1)="off duty","off",LEFT(C14,FIND(":",C14)-1))</f>
        <v>walk</v>
      </c>
      <c r="Z14" s="12" t="str">
        <f aca="false">IF(LEFT(O14,FIND(":",O14)-1)="off duty","off",LEFT(O14,FIND(":",O14)-1))</f>
        <v>guard</v>
      </c>
    </row>
    <row r="15" customFormat="false" ht="15" hidden="false" customHeight="false" outlineLevel="0" collapsed="false">
      <c r="A15" s="34" t="n">
        <v>8</v>
      </c>
      <c r="B15" s="5" t="s">
        <v>1178</v>
      </c>
      <c r="C15" s="48" t="s">
        <v>1179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 t="s">
        <v>1180</v>
      </c>
      <c r="P15" s="48"/>
      <c r="Q15" s="48"/>
      <c r="R15" s="48"/>
      <c r="S15" s="48"/>
      <c r="T15" s="48"/>
      <c r="U15" s="48"/>
      <c r="V15" s="48"/>
      <c r="W15" s="48"/>
      <c r="X15" s="48"/>
      <c r="Y15" s="12" t="str">
        <f aca="false">IF(LEFT(C15,FIND(":",C15)-1)="off duty","off",LEFT(C15,FIND(":",C15)-1))</f>
        <v>run</v>
      </c>
      <c r="Z15" s="12" t="str">
        <f aca="false">IF(LEFT(O15,FIND(":",O15)-1)="off duty","off",LEFT(O15,FIND(":",O15)-1))</f>
        <v>off</v>
      </c>
    </row>
    <row r="17" customFormat="false" ht="15" hidden="false" customHeight="false" outlineLevel="0" collapsed="false">
      <c r="A17" s="10" t="s">
        <v>1181</v>
      </c>
    </row>
    <row r="18" customFormat="false" ht="15" hidden="false" customHeight="false" outlineLevel="0" collapsed="false">
      <c r="A18" s="3" t="s">
        <v>1151</v>
      </c>
      <c r="B18" s="3" t="s">
        <v>1152</v>
      </c>
      <c r="C18" s="49" t="n">
        <v>0</v>
      </c>
      <c r="D18" s="49" t="n">
        <v>1</v>
      </c>
      <c r="E18" s="49" t="n">
        <v>2</v>
      </c>
      <c r="F18" s="49" t="n">
        <v>3</v>
      </c>
      <c r="G18" s="49" t="n">
        <v>4</v>
      </c>
      <c r="H18" s="49" t="n">
        <v>5</v>
      </c>
      <c r="I18" s="49" t="n">
        <v>6</v>
      </c>
      <c r="J18" s="49" t="n">
        <v>7</v>
      </c>
      <c r="K18" s="49" t="n">
        <v>8</v>
      </c>
      <c r="L18" s="49" t="n">
        <v>9</v>
      </c>
      <c r="M18" s="49" t="n">
        <v>10</v>
      </c>
      <c r="N18" s="49" t="n">
        <v>11</v>
      </c>
      <c r="O18" s="49" t="n">
        <v>12</v>
      </c>
      <c r="P18" s="49" t="n">
        <v>13</v>
      </c>
      <c r="Q18" s="49" t="n">
        <v>14</v>
      </c>
      <c r="R18" s="49" t="n">
        <v>15</v>
      </c>
      <c r="S18" s="49" t="n">
        <v>16</v>
      </c>
      <c r="T18" s="49" t="n">
        <v>17</v>
      </c>
      <c r="U18" s="49" t="n">
        <v>18</v>
      </c>
      <c r="V18" s="49" t="n">
        <v>19</v>
      </c>
      <c r="W18" s="49" t="n">
        <v>20</v>
      </c>
      <c r="X18" s="49" t="n">
        <v>21</v>
      </c>
      <c r="Y18" s="49" t="n">
        <v>22</v>
      </c>
      <c r="Z18" s="49" t="n">
        <v>23</v>
      </c>
    </row>
    <row r="19" customFormat="false" ht="15" hidden="false" customHeight="false" outlineLevel="0" collapsed="false">
      <c r="A19" s="34" t="n">
        <v>1</v>
      </c>
      <c r="B19" s="17" t="str">
        <f aca="false">B8</f>
        <v>SENTRY</v>
      </c>
      <c r="C19" s="50" t="str">
        <f aca="false">IF(AND(C$18+0.5&gt;=$D$5,C$18+0.5&lt;$H$5),$Y$8,$Z$8)</f>
        <v>guard</v>
      </c>
      <c r="D19" s="50" t="str">
        <f aca="false">IF(AND(D$18+0.5&gt;=$D$5,D$18+0.5&lt;$H$5),$Y$8,$Z$8)</f>
        <v>guard</v>
      </c>
      <c r="E19" s="50" t="str">
        <f aca="false">IF(AND(E$18+0.5&gt;=$D$5,E$18+0.5&lt;$H$5),$Y$8,$Z$8)</f>
        <v>guard</v>
      </c>
      <c r="F19" s="50" t="str">
        <f aca="false">IF(AND(F$18+0.5&gt;=$D$5,F$18+0.5&lt;$H$5),$Y$8,$Z$8)</f>
        <v>guard</v>
      </c>
      <c r="G19" s="50" t="str">
        <f aca="false">IF(AND(G$18+0.5&gt;=$D$5,G$18+0.5&lt;$H$5),$Y$8,$Z$8)</f>
        <v>guard</v>
      </c>
      <c r="H19" s="50" t="str">
        <f aca="false">IF(AND(H$18+0.5&gt;=$D$5,H$18+0.5&lt;$H$5),$Y$8,$Z$8)</f>
        <v>guard</v>
      </c>
      <c r="I19" s="50" t="str">
        <f aca="false">IF(AND(I$18+0.5&gt;=$D$5,I$18+0.5&lt;$H$5),$Y$8,$Z$8)</f>
        <v>guard</v>
      </c>
      <c r="J19" s="50" t="str">
        <f aca="false">IF(AND(J$18+0.5&gt;=$D$5,J$18+0.5&lt;$H$5),$Y$8,$Z$8)</f>
        <v>guard</v>
      </c>
      <c r="K19" s="50" t="str">
        <f aca="false">IF(AND(K$18+0.5&gt;=$D$5,K$18+0.5&lt;$H$5),$Y$8,$Z$8)</f>
        <v>guard</v>
      </c>
      <c r="L19" s="50" t="str">
        <f aca="false">IF(AND(L$18+0.5&gt;=$D$5,L$18+0.5&lt;$H$5),$Y$8,$Z$8)</f>
        <v>guard</v>
      </c>
      <c r="M19" s="50" t="str">
        <f aca="false">IF(AND(M$18+0.5&gt;=$D$5,M$18+0.5&lt;$H$5),$Y$8,$Z$8)</f>
        <v>guard</v>
      </c>
      <c r="N19" s="50" t="str">
        <f aca="false">IF(AND(N$18+0.5&gt;=$D$5,N$18+0.5&lt;$H$5),$Y$8,$Z$8)</f>
        <v>guard</v>
      </c>
      <c r="O19" s="50" t="str">
        <f aca="false">IF(AND(O$18+0.5&gt;=$D$5,O$18+0.5&lt;$H$5),$Y$8,$Z$8)</f>
        <v>guard</v>
      </c>
      <c r="P19" s="50" t="str">
        <f aca="false">IF(AND(P$18+0.5&gt;=$D$5,P$18+0.5&lt;$H$5),$Y$8,$Z$8)</f>
        <v>guard</v>
      </c>
      <c r="Q19" s="50" t="str">
        <f aca="false">IF(AND(Q$18+0.5&gt;=$D$5,Q$18+0.5&lt;$H$5),$Y$8,$Z$8)</f>
        <v>guard</v>
      </c>
      <c r="R19" s="50" t="str">
        <f aca="false">IF(AND(R$18+0.5&gt;=$D$5,R$18+0.5&lt;$H$5),$Y$8,$Z$8)</f>
        <v>guard</v>
      </c>
      <c r="S19" s="50" t="str">
        <f aca="false">IF(AND(S$18+0.5&gt;=$D$5,S$18+0.5&lt;$H$5),$Y$8,$Z$8)</f>
        <v>guard</v>
      </c>
      <c r="T19" s="50" t="str">
        <f aca="false">IF(AND(T$18+0.5&gt;=$D$5,T$18+0.5&lt;$H$5),$Y$8,$Z$8)</f>
        <v>guard</v>
      </c>
      <c r="U19" s="50" t="str">
        <f aca="false">IF(AND(U$18+0.5&gt;=$D$5,U$18+0.5&lt;$H$5),$Y$8,$Z$8)</f>
        <v>guard</v>
      </c>
      <c r="V19" s="50" t="str">
        <f aca="false">IF(AND(V$18+0.5&gt;=$D$5,V$18+0.5&lt;$H$5),$Y$8,$Z$8)</f>
        <v>guard</v>
      </c>
      <c r="W19" s="50" t="str">
        <f aca="false">IF(AND(W$18+0.5&gt;=$D$5,W$18+0.5&lt;$H$5),$Y$8,$Z$8)</f>
        <v>guard</v>
      </c>
      <c r="X19" s="50" t="str">
        <f aca="false">IF(AND(X$18+0.5&gt;=$D$5,X$18+0.5&lt;$H$5),$Y$8,$Z$8)</f>
        <v>guard</v>
      </c>
      <c r="Y19" s="50" t="str">
        <f aca="false">IF(AND(Y$18+0.5&gt;=$D$5,Y$18+0.5&lt;$H$5),$Y$8,$Z$8)</f>
        <v>guard</v>
      </c>
      <c r="Z19" s="50" t="str">
        <f aca="false">IF(AND(Z$18+0.5&gt;=$D$5,Z$18+0.5&lt;$H$5),$Y$8,$Z$8)</f>
        <v>guard</v>
      </c>
    </row>
    <row r="20" customFormat="false" ht="15" hidden="false" customHeight="false" outlineLevel="0" collapsed="false">
      <c r="A20" s="34" t="n">
        <v>2</v>
      </c>
      <c r="B20" s="17" t="str">
        <f aca="false">B9</f>
        <v>WATCH</v>
      </c>
      <c r="C20" s="50" t="str">
        <f aca="false">IF(AND(C$18+0.5&gt;=$D$5,C$18+0.5&lt;$H$5),$Y$9,$Z$9)</f>
        <v>guard</v>
      </c>
      <c r="D20" s="50" t="str">
        <f aca="false">IF(AND(D$18+0.5&gt;=$D$5,D$18+0.5&lt;$H$5),$Y$9,$Z$9)</f>
        <v>guard</v>
      </c>
      <c r="E20" s="50" t="str">
        <f aca="false">IF(AND(E$18+0.5&gt;=$D$5,E$18+0.5&lt;$H$5),$Y$9,$Z$9)</f>
        <v>guard</v>
      </c>
      <c r="F20" s="50" t="str">
        <f aca="false">IF(AND(F$18+0.5&gt;=$D$5,F$18+0.5&lt;$H$5),$Y$9,$Z$9)</f>
        <v>guard</v>
      </c>
      <c r="G20" s="50" t="str">
        <f aca="false">IF(AND(G$18+0.5&gt;=$D$5,G$18+0.5&lt;$H$5),$Y$9,$Z$9)</f>
        <v>guard</v>
      </c>
      <c r="H20" s="50" t="str">
        <f aca="false">IF(AND(H$18+0.5&gt;=$D$5,H$18+0.5&lt;$H$5),$Y$9,$Z$9)</f>
        <v>guard</v>
      </c>
      <c r="I20" s="50" t="str">
        <f aca="false">IF(AND(I$18+0.5&gt;=$D$5,I$18+0.5&lt;$H$5),$Y$9,$Z$9)</f>
        <v>guard</v>
      </c>
      <c r="J20" s="50" t="str">
        <f aca="false">IF(AND(J$18+0.5&gt;=$D$5,J$18+0.5&lt;$H$5),$Y$9,$Z$9)</f>
        <v>guard</v>
      </c>
      <c r="K20" s="50" t="str">
        <f aca="false">IF(AND(K$18+0.5&gt;=$D$5,K$18+0.5&lt;$H$5),$Y$9,$Z$9)</f>
        <v>guard</v>
      </c>
      <c r="L20" s="50" t="str">
        <f aca="false">IF(AND(L$18+0.5&gt;=$D$5,L$18+0.5&lt;$H$5),$Y$9,$Z$9)</f>
        <v>guard</v>
      </c>
      <c r="M20" s="50" t="str">
        <f aca="false">IF(AND(M$18+0.5&gt;=$D$5,M$18+0.5&lt;$H$5),$Y$9,$Z$9)</f>
        <v>guard</v>
      </c>
      <c r="N20" s="50" t="str">
        <f aca="false">IF(AND(N$18+0.5&gt;=$D$5,N$18+0.5&lt;$H$5),$Y$9,$Z$9)</f>
        <v>guard</v>
      </c>
      <c r="O20" s="50" t="str">
        <f aca="false">IF(AND(O$18+0.5&gt;=$D$5,O$18+0.5&lt;$H$5),$Y$9,$Z$9)</f>
        <v>guard</v>
      </c>
      <c r="P20" s="50" t="str">
        <f aca="false">IF(AND(P$18+0.5&gt;=$D$5,P$18+0.5&lt;$H$5),$Y$9,$Z$9)</f>
        <v>guard</v>
      </c>
      <c r="Q20" s="50" t="str">
        <f aca="false">IF(AND(Q$18+0.5&gt;=$D$5,Q$18+0.5&lt;$H$5),$Y$9,$Z$9)</f>
        <v>guard</v>
      </c>
      <c r="R20" s="50" t="str">
        <f aca="false">IF(AND(R$18+0.5&gt;=$D$5,R$18+0.5&lt;$H$5),$Y$9,$Z$9)</f>
        <v>guard</v>
      </c>
      <c r="S20" s="50" t="str">
        <f aca="false">IF(AND(S$18+0.5&gt;=$D$5,S$18+0.5&lt;$H$5),$Y$9,$Z$9)</f>
        <v>guard</v>
      </c>
      <c r="T20" s="50" t="str">
        <f aca="false">IF(AND(T$18+0.5&gt;=$D$5,T$18+0.5&lt;$H$5),$Y$9,$Z$9)</f>
        <v>guard</v>
      </c>
      <c r="U20" s="50" t="str">
        <f aca="false">IF(AND(U$18+0.5&gt;=$D$5,U$18+0.5&lt;$H$5),$Y$9,$Z$9)</f>
        <v>guard</v>
      </c>
      <c r="V20" s="50" t="str">
        <f aca="false">IF(AND(V$18+0.5&gt;=$D$5,V$18+0.5&lt;$H$5),$Y$9,$Z$9)</f>
        <v>guard</v>
      </c>
      <c r="W20" s="50" t="str">
        <f aca="false">IF(AND(W$18+0.5&gt;=$D$5,W$18+0.5&lt;$H$5),$Y$9,$Z$9)</f>
        <v>guard</v>
      </c>
      <c r="X20" s="50" t="str">
        <f aca="false">IF(AND(X$18+0.5&gt;=$D$5,X$18+0.5&lt;$H$5),$Y$9,$Z$9)</f>
        <v>guard</v>
      </c>
      <c r="Y20" s="50" t="str">
        <f aca="false">IF(AND(Y$18+0.5&gt;=$D$5,Y$18+0.5&lt;$H$5),$Y$9,$Z$9)</f>
        <v>guard</v>
      </c>
      <c r="Z20" s="50" t="str">
        <f aca="false">IF(AND(Z$18+0.5&gt;=$D$5,Z$18+0.5&lt;$H$5),$Y$9,$Z$9)</f>
        <v>guard</v>
      </c>
    </row>
    <row r="21" customFormat="false" ht="15" hidden="false" customHeight="false" outlineLevel="0" collapsed="false">
      <c r="A21" s="34" t="n">
        <v>3</v>
      </c>
      <c r="B21" s="17" t="str">
        <f aca="false">B10</f>
        <v>GUNNER</v>
      </c>
      <c r="C21" s="50" t="str">
        <f aca="false">IF(AND(C$18+0.5&gt;=$D$5,C$18+0.5&lt;$H$5),$Y$10,$Z$10)</f>
        <v>guard</v>
      </c>
      <c r="D21" s="50" t="str">
        <f aca="false">IF(AND(D$18+0.5&gt;=$D$5,D$18+0.5&lt;$H$5),$Y$10,$Z$10)</f>
        <v>guard</v>
      </c>
      <c r="E21" s="50" t="str">
        <f aca="false">IF(AND(E$18+0.5&gt;=$D$5,E$18+0.5&lt;$H$5),$Y$10,$Z$10)</f>
        <v>guard</v>
      </c>
      <c r="F21" s="50" t="str">
        <f aca="false">IF(AND(F$18+0.5&gt;=$D$5,F$18+0.5&lt;$H$5),$Y$10,$Z$10)</f>
        <v>guard</v>
      </c>
      <c r="G21" s="50" t="str">
        <f aca="false">IF(AND(G$18+0.5&gt;=$D$5,G$18+0.5&lt;$H$5),$Y$10,$Z$10)</f>
        <v>guard</v>
      </c>
      <c r="H21" s="50" t="str">
        <f aca="false">IF(AND(H$18+0.5&gt;=$D$5,H$18+0.5&lt;$H$5),$Y$10,$Z$10)</f>
        <v>guard</v>
      </c>
      <c r="I21" s="50" t="str">
        <f aca="false">IF(AND(I$18+0.5&gt;=$D$5,I$18+0.5&lt;$H$5),$Y$10,$Z$10)</f>
        <v>walk</v>
      </c>
      <c r="J21" s="50" t="str">
        <f aca="false">IF(AND(J$18+0.5&gt;=$D$5,J$18+0.5&lt;$H$5),$Y$10,$Z$10)</f>
        <v>walk</v>
      </c>
      <c r="K21" s="50" t="str">
        <f aca="false">IF(AND(K$18+0.5&gt;=$D$5,K$18+0.5&lt;$H$5),$Y$10,$Z$10)</f>
        <v>walk</v>
      </c>
      <c r="L21" s="50" t="str">
        <f aca="false">IF(AND(L$18+0.5&gt;=$D$5,L$18+0.5&lt;$H$5),$Y$10,$Z$10)</f>
        <v>walk</v>
      </c>
      <c r="M21" s="50" t="str">
        <f aca="false">IF(AND(M$18+0.5&gt;=$D$5,M$18+0.5&lt;$H$5),$Y$10,$Z$10)</f>
        <v>walk</v>
      </c>
      <c r="N21" s="50" t="str">
        <f aca="false">IF(AND(N$18+0.5&gt;=$D$5,N$18+0.5&lt;$H$5),$Y$10,$Z$10)</f>
        <v>walk</v>
      </c>
      <c r="O21" s="50" t="str">
        <f aca="false">IF(AND(O$18+0.5&gt;=$D$5,O$18+0.5&lt;$H$5),$Y$10,$Z$10)</f>
        <v>walk</v>
      </c>
      <c r="P21" s="50" t="str">
        <f aca="false">IF(AND(P$18+0.5&gt;=$D$5,P$18+0.5&lt;$H$5),$Y$10,$Z$10)</f>
        <v>walk</v>
      </c>
      <c r="Q21" s="50" t="str">
        <f aca="false">IF(AND(Q$18+0.5&gt;=$D$5,Q$18+0.5&lt;$H$5),$Y$10,$Z$10)</f>
        <v>walk</v>
      </c>
      <c r="R21" s="50" t="str">
        <f aca="false">IF(AND(R$18+0.5&gt;=$D$5,R$18+0.5&lt;$H$5),$Y$10,$Z$10)</f>
        <v>walk</v>
      </c>
      <c r="S21" s="50" t="str">
        <f aca="false">IF(AND(S$18+0.5&gt;=$D$5,S$18+0.5&lt;$H$5),$Y$10,$Z$10)</f>
        <v>walk</v>
      </c>
      <c r="T21" s="50" t="str">
        <f aca="false">IF(AND(T$18+0.5&gt;=$D$5,T$18+0.5&lt;$H$5),$Y$10,$Z$10)</f>
        <v>walk</v>
      </c>
      <c r="U21" s="50" t="str">
        <f aca="false">IF(AND(U$18+0.5&gt;=$D$5,U$18+0.5&lt;$H$5),$Y$10,$Z$10)</f>
        <v>guard</v>
      </c>
      <c r="V21" s="50" t="str">
        <f aca="false">IF(AND(V$18+0.5&gt;=$D$5,V$18+0.5&lt;$H$5),$Y$10,$Z$10)</f>
        <v>guard</v>
      </c>
      <c r="W21" s="50" t="str">
        <f aca="false">IF(AND(W$18+0.5&gt;=$D$5,W$18+0.5&lt;$H$5),$Y$10,$Z$10)</f>
        <v>guard</v>
      </c>
      <c r="X21" s="50" t="str">
        <f aca="false">IF(AND(X$18+0.5&gt;=$D$5,X$18+0.5&lt;$H$5),$Y$10,$Z$10)</f>
        <v>guard</v>
      </c>
      <c r="Y21" s="50" t="str">
        <f aca="false">IF(AND(Y$18+0.5&gt;=$D$5,Y$18+0.5&lt;$H$5),$Y$10,$Z$10)</f>
        <v>guard</v>
      </c>
      <c r="Z21" s="50" t="str">
        <f aca="false">IF(AND(Z$18+0.5&gt;=$D$5,Z$18+0.5&lt;$H$5),$Y$10,$Z$10)</f>
        <v>guard</v>
      </c>
    </row>
    <row r="22" customFormat="false" ht="15" hidden="false" customHeight="false" outlineLevel="0" collapsed="false">
      <c r="A22" s="34" t="n">
        <v>4</v>
      </c>
      <c r="B22" s="17" t="str">
        <f aca="false">B11</f>
        <v>MECHANIC</v>
      </c>
      <c r="C22" s="50" t="str">
        <f aca="false">IF(AND(C$18+0.5&gt;=$D$5,C$18+0.5&lt;$H$5),$Y$11,$Z$11)</f>
        <v>off</v>
      </c>
      <c r="D22" s="50" t="str">
        <f aca="false">IF(AND(D$18+0.5&gt;=$D$5,D$18+0.5&lt;$H$5),$Y$11,$Z$11)</f>
        <v>off</v>
      </c>
      <c r="E22" s="50" t="str">
        <f aca="false">IF(AND(E$18+0.5&gt;=$D$5,E$18+0.5&lt;$H$5),$Y$11,$Z$11)</f>
        <v>off</v>
      </c>
      <c r="F22" s="50" t="str">
        <f aca="false">IF(AND(F$18+0.5&gt;=$D$5,F$18+0.5&lt;$H$5),$Y$11,$Z$11)</f>
        <v>off</v>
      </c>
      <c r="G22" s="50" t="str">
        <f aca="false">IF(AND(G$18+0.5&gt;=$D$5,G$18+0.5&lt;$H$5),$Y$11,$Z$11)</f>
        <v>off</v>
      </c>
      <c r="H22" s="50" t="str">
        <f aca="false">IF(AND(H$18+0.5&gt;=$D$5,H$18+0.5&lt;$H$5),$Y$11,$Z$11)</f>
        <v>off</v>
      </c>
      <c r="I22" s="50" t="str">
        <f aca="false">IF(AND(I$18+0.5&gt;=$D$5,I$18+0.5&lt;$H$5),$Y$11,$Z$11)</f>
        <v>work</v>
      </c>
      <c r="J22" s="50" t="str">
        <f aca="false">IF(AND(J$18+0.5&gt;=$D$5,J$18+0.5&lt;$H$5),$Y$11,$Z$11)</f>
        <v>work</v>
      </c>
      <c r="K22" s="50" t="str">
        <f aca="false">IF(AND(K$18+0.5&gt;=$D$5,K$18+0.5&lt;$H$5),$Y$11,$Z$11)</f>
        <v>work</v>
      </c>
      <c r="L22" s="50" t="str">
        <f aca="false">IF(AND(L$18+0.5&gt;=$D$5,L$18+0.5&lt;$H$5),$Y$11,$Z$11)</f>
        <v>work</v>
      </c>
      <c r="M22" s="50" t="str">
        <f aca="false">IF(AND(M$18+0.5&gt;=$D$5,M$18+0.5&lt;$H$5),$Y$11,$Z$11)</f>
        <v>work</v>
      </c>
      <c r="N22" s="50" t="str">
        <f aca="false">IF(AND(N$18+0.5&gt;=$D$5,N$18+0.5&lt;$H$5),$Y$11,$Z$11)</f>
        <v>work</v>
      </c>
      <c r="O22" s="50" t="str">
        <f aca="false">IF(AND(O$18+0.5&gt;=$D$5,O$18+0.5&lt;$H$5),$Y$11,$Z$11)</f>
        <v>work</v>
      </c>
      <c r="P22" s="50" t="str">
        <f aca="false">IF(AND(P$18+0.5&gt;=$D$5,P$18+0.5&lt;$H$5),$Y$11,$Z$11)</f>
        <v>work</v>
      </c>
      <c r="Q22" s="50" t="str">
        <f aca="false">IF(AND(Q$18+0.5&gt;=$D$5,Q$18+0.5&lt;$H$5),$Y$11,$Z$11)</f>
        <v>work</v>
      </c>
      <c r="R22" s="50" t="str">
        <f aca="false">IF(AND(R$18+0.5&gt;=$D$5,R$18+0.5&lt;$H$5),$Y$11,$Z$11)</f>
        <v>work</v>
      </c>
      <c r="S22" s="50" t="str">
        <f aca="false">IF(AND(S$18+0.5&gt;=$D$5,S$18+0.5&lt;$H$5),$Y$11,$Z$11)</f>
        <v>work</v>
      </c>
      <c r="T22" s="50" t="str">
        <f aca="false">IF(AND(T$18+0.5&gt;=$D$5,T$18+0.5&lt;$H$5),$Y$11,$Z$11)</f>
        <v>work</v>
      </c>
      <c r="U22" s="50" t="str">
        <f aca="false">IF(AND(U$18+0.5&gt;=$D$5,U$18+0.5&lt;$H$5),$Y$11,$Z$11)</f>
        <v>off</v>
      </c>
      <c r="V22" s="50" t="str">
        <f aca="false">IF(AND(V$18+0.5&gt;=$D$5,V$18+0.5&lt;$H$5),$Y$11,$Z$11)</f>
        <v>off</v>
      </c>
      <c r="W22" s="50" t="str">
        <f aca="false">IF(AND(W$18+0.5&gt;=$D$5,W$18+0.5&lt;$H$5),$Y$11,$Z$11)</f>
        <v>off</v>
      </c>
      <c r="X22" s="50" t="str">
        <f aca="false">IF(AND(X$18+0.5&gt;=$D$5,X$18+0.5&lt;$H$5),$Y$11,$Z$11)</f>
        <v>off</v>
      </c>
      <c r="Y22" s="50" t="str">
        <f aca="false">IF(AND(Y$18+0.5&gt;=$D$5,Y$18+0.5&lt;$H$5),$Y$11,$Z$11)</f>
        <v>off</v>
      </c>
      <c r="Z22" s="50" t="str">
        <f aca="false">IF(AND(Z$18+0.5&gt;=$D$5,Z$18+0.5&lt;$H$5),$Y$11,$Z$11)</f>
        <v>off</v>
      </c>
    </row>
    <row r="23" customFormat="false" ht="15" hidden="false" customHeight="false" outlineLevel="0" collapsed="false">
      <c r="A23" s="34" t="n">
        <v>5</v>
      </c>
      <c r="B23" s="17" t="str">
        <f aca="false">B12</f>
        <v>LOGISTICS</v>
      </c>
      <c r="C23" s="50" t="str">
        <f aca="false">IF(AND(C$18+0.5&gt;=$D$5,C$18+0.5&lt;$H$5),$Y$12,$Z$12)</f>
        <v>off</v>
      </c>
      <c r="D23" s="50" t="str">
        <f aca="false">IF(AND(D$18+0.5&gt;=$D$5,D$18+0.5&lt;$H$5),$Y$12,$Z$12)</f>
        <v>off</v>
      </c>
      <c r="E23" s="50" t="str">
        <f aca="false">IF(AND(E$18+0.5&gt;=$D$5,E$18+0.5&lt;$H$5),$Y$12,$Z$12)</f>
        <v>off</v>
      </c>
      <c r="F23" s="50" t="str">
        <f aca="false">IF(AND(F$18+0.5&gt;=$D$5,F$18+0.5&lt;$H$5),$Y$12,$Z$12)</f>
        <v>off</v>
      </c>
      <c r="G23" s="50" t="str">
        <f aca="false">IF(AND(G$18+0.5&gt;=$D$5,G$18+0.5&lt;$H$5),$Y$12,$Z$12)</f>
        <v>off</v>
      </c>
      <c r="H23" s="50" t="str">
        <f aca="false">IF(AND(H$18+0.5&gt;=$D$5,H$18+0.5&lt;$H$5),$Y$12,$Z$12)</f>
        <v>off</v>
      </c>
      <c r="I23" s="50" t="str">
        <f aca="false">IF(AND(I$18+0.5&gt;=$D$5,I$18+0.5&lt;$H$5),$Y$12,$Z$12)</f>
        <v>work</v>
      </c>
      <c r="J23" s="50" t="str">
        <f aca="false">IF(AND(J$18+0.5&gt;=$D$5,J$18+0.5&lt;$H$5),$Y$12,$Z$12)</f>
        <v>work</v>
      </c>
      <c r="K23" s="50" t="str">
        <f aca="false">IF(AND(K$18+0.5&gt;=$D$5,K$18+0.5&lt;$H$5),$Y$12,$Z$12)</f>
        <v>work</v>
      </c>
      <c r="L23" s="50" t="str">
        <f aca="false">IF(AND(L$18+0.5&gt;=$D$5,L$18+0.5&lt;$H$5),$Y$12,$Z$12)</f>
        <v>work</v>
      </c>
      <c r="M23" s="50" t="str">
        <f aca="false">IF(AND(M$18+0.5&gt;=$D$5,M$18+0.5&lt;$H$5),$Y$12,$Z$12)</f>
        <v>work</v>
      </c>
      <c r="N23" s="50" t="str">
        <f aca="false">IF(AND(N$18+0.5&gt;=$D$5,N$18+0.5&lt;$H$5),$Y$12,$Z$12)</f>
        <v>work</v>
      </c>
      <c r="O23" s="50" t="str">
        <f aca="false">IF(AND(O$18+0.5&gt;=$D$5,O$18+0.5&lt;$H$5),$Y$12,$Z$12)</f>
        <v>work</v>
      </c>
      <c r="P23" s="50" t="str">
        <f aca="false">IF(AND(P$18+0.5&gt;=$D$5,P$18+0.5&lt;$H$5),$Y$12,$Z$12)</f>
        <v>work</v>
      </c>
      <c r="Q23" s="50" t="str">
        <f aca="false">IF(AND(Q$18+0.5&gt;=$D$5,Q$18+0.5&lt;$H$5),$Y$12,$Z$12)</f>
        <v>work</v>
      </c>
      <c r="R23" s="50" t="str">
        <f aca="false">IF(AND(R$18+0.5&gt;=$D$5,R$18+0.5&lt;$H$5),$Y$12,$Z$12)</f>
        <v>work</v>
      </c>
      <c r="S23" s="50" t="str">
        <f aca="false">IF(AND(S$18+0.5&gt;=$D$5,S$18+0.5&lt;$H$5),$Y$12,$Z$12)</f>
        <v>work</v>
      </c>
      <c r="T23" s="50" t="str">
        <f aca="false">IF(AND(T$18+0.5&gt;=$D$5,T$18+0.5&lt;$H$5),$Y$12,$Z$12)</f>
        <v>work</v>
      </c>
      <c r="U23" s="50" t="str">
        <f aca="false">IF(AND(U$18+0.5&gt;=$D$5,U$18+0.5&lt;$H$5),$Y$12,$Z$12)</f>
        <v>off</v>
      </c>
      <c r="V23" s="50" t="str">
        <f aca="false">IF(AND(V$18+0.5&gt;=$D$5,V$18+0.5&lt;$H$5),$Y$12,$Z$12)</f>
        <v>off</v>
      </c>
      <c r="W23" s="50" t="str">
        <f aca="false">IF(AND(W$18+0.5&gt;=$D$5,W$18+0.5&lt;$H$5),$Y$12,$Z$12)</f>
        <v>off</v>
      </c>
      <c r="X23" s="50" t="str">
        <f aca="false">IF(AND(X$18+0.5&gt;=$D$5,X$18+0.5&lt;$H$5),$Y$12,$Z$12)</f>
        <v>off</v>
      </c>
      <c r="Y23" s="50" t="str">
        <f aca="false">IF(AND(Y$18+0.5&gt;=$D$5,Y$18+0.5&lt;$H$5),$Y$12,$Z$12)</f>
        <v>off</v>
      </c>
      <c r="Z23" s="50" t="str">
        <f aca="false">IF(AND(Z$18+0.5&gt;=$D$5,Z$18+0.5&lt;$H$5),$Y$12,$Z$12)</f>
        <v>off</v>
      </c>
    </row>
    <row r="24" customFormat="false" ht="15" hidden="false" customHeight="false" outlineLevel="0" collapsed="false">
      <c r="A24" s="34" t="n">
        <v>6</v>
      </c>
      <c r="B24" s="17" t="str">
        <f aca="false">B13</f>
        <v>TECHNICIAN</v>
      </c>
      <c r="C24" s="50" t="str">
        <f aca="false">IF(AND(C$18+0.5&gt;=$D$5,C$18+0.5&lt;$H$5),$Y$13,$Z$13)</f>
        <v>work</v>
      </c>
      <c r="D24" s="50" t="str">
        <f aca="false">IF(AND(D$18+0.5&gt;=$D$5,D$18+0.5&lt;$H$5),$Y$13,$Z$13)</f>
        <v>work</v>
      </c>
      <c r="E24" s="50" t="str">
        <f aca="false">IF(AND(E$18+0.5&gt;=$D$5,E$18+0.5&lt;$H$5),$Y$13,$Z$13)</f>
        <v>work</v>
      </c>
      <c r="F24" s="50" t="str">
        <f aca="false">IF(AND(F$18+0.5&gt;=$D$5,F$18+0.5&lt;$H$5),$Y$13,$Z$13)</f>
        <v>work</v>
      </c>
      <c r="G24" s="50" t="str">
        <f aca="false">IF(AND(G$18+0.5&gt;=$D$5,G$18+0.5&lt;$H$5),$Y$13,$Z$13)</f>
        <v>work</v>
      </c>
      <c r="H24" s="50" t="str">
        <f aca="false">IF(AND(H$18+0.5&gt;=$D$5,H$18+0.5&lt;$H$5),$Y$13,$Z$13)</f>
        <v>work</v>
      </c>
      <c r="I24" s="50" t="str">
        <f aca="false">IF(AND(I$18+0.5&gt;=$D$5,I$18+0.5&lt;$H$5),$Y$13,$Z$13)</f>
        <v>work</v>
      </c>
      <c r="J24" s="50" t="str">
        <f aca="false">IF(AND(J$18+0.5&gt;=$D$5,J$18+0.5&lt;$H$5),$Y$13,$Z$13)</f>
        <v>work</v>
      </c>
      <c r="K24" s="50" t="str">
        <f aca="false">IF(AND(K$18+0.5&gt;=$D$5,K$18+0.5&lt;$H$5),$Y$13,$Z$13)</f>
        <v>work</v>
      </c>
      <c r="L24" s="50" t="str">
        <f aca="false">IF(AND(L$18+0.5&gt;=$D$5,L$18+0.5&lt;$H$5),$Y$13,$Z$13)</f>
        <v>work</v>
      </c>
      <c r="M24" s="50" t="str">
        <f aca="false">IF(AND(M$18+0.5&gt;=$D$5,M$18+0.5&lt;$H$5),$Y$13,$Z$13)</f>
        <v>work</v>
      </c>
      <c r="N24" s="50" t="str">
        <f aca="false">IF(AND(N$18+0.5&gt;=$D$5,N$18+0.5&lt;$H$5),$Y$13,$Z$13)</f>
        <v>work</v>
      </c>
      <c r="O24" s="50" t="str">
        <f aca="false">IF(AND(O$18+0.5&gt;=$D$5,O$18+0.5&lt;$H$5),$Y$13,$Z$13)</f>
        <v>work</v>
      </c>
      <c r="P24" s="50" t="str">
        <f aca="false">IF(AND(P$18+0.5&gt;=$D$5,P$18+0.5&lt;$H$5),$Y$13,$Z$13)</f>
        <v>work</v>
      </c>
      <c r="Q24" s="50" t="str">
        <f aca="false">IF(AND(Q$18+0.5&gt;=$D$5,Q$18+0.5&lt;$H$5),$Y$13,$Z$13)</f>
        <v>work</v>
      </c>
      <c r="R24" s="50" t="str">
        <f aca="false">IF(AND(R$18+0.5&gt;=$D$5,R$18+0.5&lt;$H$5),$Y$13,$Z$13)</f>
        <v>work</v>
      </c>
      <c r="S24" s="50" t="str">
        <f aca="false">IF(AND(S$18+0.5&gt;=$D$5,S$18+0.5&lt;$H$5),$Y$13,$Z$13)</f>
        <v>work</v>
      </c>
      <c r="T24" s="50" t="str">
        <f aca="false">IF(AND(T$18+0.5&gt;=$D$5,T$18+0.5&lt;$H$5),$Y$13,$Z$13)</f>
        <v>work</v>
      </c>
      <c r="U24" s="50" t="str">
        <f aca="false">IF(AND(U$18+0.5&gt;=$D$5,U$18+0.5&lt;$H$5),$Y$13,$Z$13)</f>
        <v>work</v>
      </c>
      <c r="V24" s="50" t="str">
        <f aca="false">IF(AND(V$18+0.5&gt;=$D$5,V$18+0.5&lt;$H$5),$Y$13,$Z$13)</f>
        <v>work</v>
      </c>
      <c r="W24" s="50" t="str">
        <f aca="false">IF(AND(W$18+0.5&gt;=$D$5,W$18+0.5&lt;$H$5),$Y$13,$Z$13)</f>
        <v>work</v>
      </c>
      <c r="X24" s="50" t="str">
        <f aca="false">IF(AND(X$18+0.5&gt;=$D$5,X$18+0.5&lt;$H$5),$Y$13,$Z$13)</f>
        <v>work</v>
      </c>
      <c r="Y24" s="50" t="str">
        <f aca="false">IF(AND(Y$18+0.5&gt;=$D$5,Y$18+0.5&lt;$H$5),$Y$13,$Z$13)</f>
        <v>work</v>
      </c>
      <c r="Z24" s="50" t="str">
        <f aca="false">IF(AND(Z$18+0.5&gt;=$D$5,Z$18+0.5&lt;$H$5),$Y$13,$Z$13)</f>
        <v>work</v>
      </c>
    </row>
    <row r="25" customFormat="false" ht="15" hidden="false" customHeight="false" outlineLevel="0" collapsed="false">
      <c r="A25" s="34" t="n">
        <v>7</v>
      </c>
      <c r="B25" s="17" t="str">
        <f aca="false">B14</f>
        <v>PATROL</v>
      </c>
      <c r="C25" s="50" t="str">
        <f aca="false">IF(AND(C$18+0.5&gt;=$D$5,C$18+0.5&lt;$H$5),$Y$14,$Z$14)</f>
        <v>guard</v>
      </c>
      <c r="D25" s="50" t="str">
        <f aca="false">IF(AND(D$18+0.5&gt;=$D$5,D$18+0.5&lt;$H$5),$Y$14,$Z$14)</f>
        <v>guard</v>
      </c>
      <c r="E25" s="50" t="str">
        <f aca="false">IF(AND(E$18+0.5&gt;=$D$5,E$18+0.5&lt;$H$5),$Y$14,$Z$14)</f>
        <v>guard</v>
      </c>
      <c r="F25" s="50" t="str">
        <f aca="false">IF(AND(F$18+0.5&gt;=$D$5,F$18+0.5&lt;$H$5),$Y$14,$Z$14)</f>
        <v>guard</v>
      </c>
      <c r="G25" s="50" t="str">
        <f aca="false">IF(AND(G$18+0.5&gt;=$D$5,G$18+0.5&lt;$H$5),$Y$14,$Z$14)</f>
        <v>guard</v>
      </c>
      <c r="H25" s="50" t="str">
        <f aca="false">IF(AND(H$18+0.5&gt;=$D$5,H$18+0.5&lt;$H$5),$Y$14,$Z$14)</f>
        <v>guard</v>
      </c>
      <c r="I25" s="50" t="str">
        <f aca="false">IF(AND(I$18+0.5&gt;=$D$5,I$18+0.5&lt;$H$5),$Y$14,$Z$14)</f>
        <v>walk</v>
      </c>
      <c r="J25" s="50" t="str">
        <f aca="false">IF(AND(J$18+0.5&gt;=$D$5,J$18+0.5&lt;$H$5),$Y$14,$Z$14)</f>
        <v>walk</v>
      </c>
      <c r="K25" s="50" t="str">
        <f aca="false">IF(AND(K$18+0.5&gt;=$D$5,K$18+0.5&lt;$H$5),$Y$14,$Z$14)</f>
        <v>walk</v>
      </c>
      <c r="L25" s="50" t="str">
        <f aca="false">IF(AND(L$18+0.5&gt;=$D$5,L$18+0.5&lt;$H$5),$Y$14,$Z$14)</f>
        <v>walk</v>
      </c>
      <c r="M25" s="50" t="str">
        <f aca="false">IF(AND(M$18+0.5&gt;=$D$5,M$18+0.5&lt;$H$5),$Y$14,$Z$14)</f>
        <v>walk</v>
      </c>
      <c r="N25" s="50" t="str">
        <f aca="false">IF(AND(N$18+0.5&gt;=$D$5,N$18+0.5&lt;$H$5),$Y$14,$Z$14)</f>
        <v>walk</v>
      </c>
      <c r="O25" s="50" t="str">
        <f aca="false">IF(AND(O$18+0.5&gt;=$D$5,O$18+0.5&lt;$H$5),$Y$14,$Z$14)</f>
        <v>walk</v>
      </c>
      <c r="P25" s="50" t="str">
        <f aca="false">IF(AND(P$18+0.5&gt;=$D$5,P$18+0.5&lt;$H$5),$Y$14,$Z$14)</f>
        <v>walk</v>
      </c>
      <c r="Q25" s="50" t="str">
        <f aca="false">IF(AND(Q$18+0.5&gt;=$D$5,Q$18+0.5&lt;$H$5),$Y$14,$Z$14)</f>
        <v>walk</v>
      </c>
      <c r="R25" s="50" t="str">
        <f aca="false">IF(AND(R$18+0.5&gt;=$D$5,R$18+0.5&lt;$H$5),$Y$14,$Z$14)</f>
        <v>walk</v>
      </c>
      <c r="S25" s="50" t="str">
        <f aca="false">IF(AND(S$18+0.5&gt;=$D$5,S$18+0.5&lt;$H$5),$Y$14,$Z$14)</f>
        <v>walk</v>
      </c>
      <c r="T25" s="50" t="str">
        <f aca="false">IF(AND(T$18+0.5&gt;=$D$5,T$18+0.5&lt;$H$5),$Y$14,$Z$14)</f>
        <v>walk</v>
      </c>
      <c r="U25" s="50" t="str">
        <f aca="false">IF(AND(U$18+0.5&gt;=$D$5,U$18+0.5&lt;$H$5),$Y$14,$Z$14)</f>
        <v>guard</v>
      </c>
      <c r="V25" s="50" t="str">
        <f aca="false">IF(AND(V$18+0.5&gt;=$D$5,V$18+0.5&lt;$H$5),$Y$14,$Z$14)</f>
        <v>guard</v>
      </c>
      <c r="W25" s="50" t="str">
        <f aca="false">IF(AND(W$18+0.5&gt;=$D$5,W$18+0.5&lt;$H$5),$Y$14,$Z$14)</f>
        <v>guard</v>
      </c>
      <c r="X25" s="50" t="str">
        <f aca="false">IF(AND(X$18+0.5&gt;=$D$5,X$18+0.5&lt;$H$5),$Y$14,$Z$14)</f>
        <v>guard</v>
      </c>
      <c r="Y25" s="50" t="str">
        <f aca="false">IF(AND(Y$18+0.5&gt;=$D$5,Y$18+0.5&lt;$H$5),$Y$14,$Z$14)</f>
        <v>guard</v>
      </c>
      <c r="Z25" s="50" t="str">
        <f aca="false">IF(AND(Z$18+0.5&gt;=$D$5,Z$18+0.5&lt;$H$5),$Y$14,$Z$14)</f>
        <v>guard</v>
      </c>
    </row>
    <row r="26" customFormat="false" ht="15" hidden="false" customHeight="false" outlineLevel="0" collapsed="false">
      <c r="A26" s="34" t="n">
        <v>8</v>
      </c>
      <c r="B26" s="17" t="str">
        <f aca="false">B15</f>
        <v>RUNNER</v>
      </c>
      <c r="C26" s="50" t="str">
        <f aca="false">IF(AND(C$18+0.5&gt;=$D$5,C$18+0.5&lt;$H$5),$Y$15,$Z$15)</f>
        <v>off</v>
      </c>
      <c r="D26" s="50" t="str">
        <f aca="false">IF(AND(D$18+0.5&gt;=$D$5,D$18+0.5&lt;$H$5),$Y$15,$Z$15)</f>
        <v>off</v>
      </c>
      <c r="E26" s="50" t="str">
        <f aca="false">IF(AND(E$18+0.5&gt;=$D$5,E$18+0.5&lt;$H$5),$Y$15,$Z$15)</f>
        <v>off</v>
      </c>
      <c r="F26" s="50" t="str">
        <f aca="false">IF(AND(F$18+0.5&gt;=$D$5,F$18+0.5&lt;$H$5),$Y$15,$Z$15)</f>
        <v>off</v>
      </c>
      <c r="G26" s="50" t="str">
        <f aca="false">IF(AND(G$18+0.5&gt;=$D$5,G$18+0.5&lt;$H$5),$Y$15,$Z$15)</f>
        <v>off</v>
      </c>
      <c r="H26" s="50" t="str">
        <f aca="false">IF(AND(H$18+0.5&gt;=$D$5,H$18+0.5&lt;$H$5),$Y$15,$Z$15)</f>
        <v>off</v>
      </c>
      <c r="I26" s="50" t="str">
        <f aca="false">IF(AND(I$18+0.5&gt;=$D$5,I$18+0.5&lt;$H$5),$Y$15,$Z$15)</f>
        <v>run</v>
      </c>
      <c r="J26" s="50" t="str">
        <f aca="false">IF(AND(J$18+0.5&gt;=$D$5,J$18+0.5&lt;$H$5),$Y$15,$Z$15)</f>
        <v>run</v>
      </c>
      <c r="K26" s="50" t="str">
        <f aca="false">IF(AND(K$18+0.5&gt;=$D$5,K$18+0.5&lt;$H$5),$Y$15,$Z$15)</f>
        <v>run</v>
      </c>
      <c r="L26" s="50" t="str">
        <f aca="false">IF(AND(L$18+0.5&gt;=$D$5,L$18+0.5&lt;$H$5),$Y$15,$Z$15)</f>
        <v>run</v>
      </c>
      <c r="M26" s="50" t="str">
        <f aca="false">IF(AND(M$18+0.5&gt;=$D$5,M$18+0.5&lt;$H$5),$Y$15,$Z$15)</f>
        <v>run</v>
      </c>
      <c r="N26" s="50" t="str">
        <f aca="false">IF(AND(N$18+0.5&gt;=$D$5,N$18+0.5&lt;$H$5),$Y$15,$Z$15)</f>
        <v>run</v>
      </c>
      <c r="O26" s="50" t="str">
        <f aca="false">IF(AND(O$18+0.5&gt;=$D$5,O$18+0.5&lt;$H$5),$Y$15,$Z$15)</f>
        <v>run</v>
      </c>
      <c r="P26" s="50" t="str">
        <f aca="false">IF(AND(P$18+0.5&gt;=$D$5,P$18+0.5&lt;$H$5),$Y$15,$Z$15)</f>
        <v>run</v>
      </c>
      <c r="Q26" s="50" t="str">
        <f aca="false">IF(AND(Q$18+0.5&gt;=$D$5,Q$18+0.5&lt;$H$5),$Y$15,$Z$15)</f>
        <v>run</v>
      </c>
      <c r="R26" s="50" t="str">
        <f aca="false">IF(AND(R$18+0.5&gt;=$D$5,R$18+0.5&lt;$H$5),$Y$15,$Z$15)</f>
        <v>run</v>
      </c>
      <c r="S26" s="50" t="str">
        <f aca="false">IF(AND(S$18+0.5&gt;=$D$5,S$18+0.5&lt;$H$5),$Y$15,$Z$15)</f>
        <v>run</v>
      </c>
      <c r="T26" s="50" t="str">
        <f aca="false">IF(AND(T$18+0.5&gt;=$D$5,T$18+0.5&lt;$H$5),$Y$15,$Z$15)</f>
        <v>run</v>
      </c>
      <c r="U26" s="50" t="str">
        <f aca="false">IF(AND(U$18+0.5&gt;=$D$5,U$18+0.5&lt;$H$5),$Y$15,$Z$15)</f>
        <v>off</v>
      </c>
      <c r="V26" s="50" t="str">
        <f aca="false">IF(AND(V$18+0.5&gt;=$D$5,V$18+0.5&lt;$H$5),$Y$15,$Z$15)</f>
        <v>off</v>
      </c>
      <c r="W26" s="50" t="str">
        <f aca="false">IF(AND(W$18+0.5&gt;=$D$5,W$18+0.5&lt;$H$5),$Y$15,$Z$15)</f>
        <v>off</v>
      </c>
      <c r="X26" s="50" t="str">
        <f aca="false">IF(AND(X$18+0.5&gt;=$D$5,X$18+0.5&lt;$H$5),$Y$15,$Z$15)</f>
        <v>off</v>
      </c>
      <c r="Y26" s="50" t="str">
        <f aca="false">IF(AND(Y$18+0.5&gt;=$D$5,Y$18+0.5&lt;$H$5),$Y$15,$Z$15)</f>
        <v>off</v>
      </c>
      <c r="Z26" s="50" t="str">
        <f aca="false">IF(AND(Z$18+0.5&gt;=$D$5,Z$18+0.5&lt;$H$5),$Y$15,$Z$15)</f>
        <v>off</v>
      </c>
    </row>
    <row r="27" customFormat="false" ht="15" hidden="false" customHeight="false" outlineLevel="0" collapsed="false">
      <c r="A27" s="4" t="s">
        <v>1182</v>
      </c>
      <c r="B27" s="4"/>
      <c r="C27" s="34" t="n">
        <f aca="false">COUNTIF(C19:C26,"&lt;&gt;off")</f>
        <v>5</v>
      </c>
      <c r="D27" s="34" t="n">
        <f aca="false">COUNTIF(D19:D26,"&lt;&gt;off")</f>
        <v>5</v>
      </c>
      <c r="E27" s="34" t="n">
        <f aca="false">COUNTIF(E19:E26,"&lt;&gt;off")</f>
        <v>5</v>
      </c>
      <c r="F27" s="34" t="n">
        <f aca="false">COUNTIF(F19:F26,"&lt;&gt;off")</f>
        <v>5</v>
      </c>
      <c r="G27" s="34" t="n">
        <f aca="false">COUNTIF(G19:G26,"&lt;&gt;off")</f>
        <v>5</v>
      </c>
      <c r="H27" s="34" t="n">
        <f aca="false">COUNTIF(H19:H26,"&lt;&gt;off")</f>
        <v>5</v>
      </c>
      <c r="I27" s="34" t="n">
        <f aca="false">COUNTIF(I19:I26,"&lt;&gt;off")</f>
        <v>8</v>
      </c>
      <c r="J27" s="34" t="n">
        <f aca="false">COUNTIF(J19:J26,"&lt;&gt;off")</f>
        <v>8</v>
      </c>
      <c r="K27" s="34" t="n">
        <f aca="false">COUNTIF(K19:K26,"&lt;&gt;off")</f>
        <v>8</v>
      </c>
      <c r="L27" s="34" t="n">
        <f aca="false">COUNTIF(L19:L26,"&lt;&gt;off")</f>
        <v>8</v>
      </c>
      <c r="M27" s="34" t="n">
        <f aca="false">COUNTIF(M19:M26,"&lt;&gt;off")</f>
        <v>8</v>
      </c>
      <c r="N27" s="34" t="n">
        <f aca="false">COUNTIF(N19:N26,"&lt;&gt;off")</f>
        <v>8</v>
      </c>
      <c r="O27" s="34" t="n">
        <f aca="false">COUNTIF(O19:O26,"&lt;&gt;off")</f>
        <v>8</v>
      </c>
      <c r="P27" s="34" t="n">
        <f aca="false">COUNTIF(P19:P26,"&lt;&gt;off")</f>
        <v>8</v>
      </c>
      <c r="Q27" s="34" t="n">
        <f aca="false">COUNTIF(Q19:Q26,"&lt;&gt;off")</f>
        <v>8</v>
      </c>
      <c r="R27" s="34" t="n">
        <f aca="false">COUNTIF(R19:R26,"&lt;&gt;off")</f>
        <v>8</v>
      </c>
      <c r="S27" s="34" t="n">
        <f aca="false">COUNTIF(S19:S26,"&lt;&gt;off")</f>
        <v>8</v>
      </c>
      <c r="T27" s="34" t="n">
        <f aca="false">COUNTIF(T19:T26,"&lt;&gt;off")</f>
        <v>8</v>
      </c>
      <c r="U27" s="34" t="n">
        <f aca="false">COUNTIF(U19:U26,"&lt;&gt;off")</f>
        <v>5</v>
      </c>
      <c r="V27" s="34" t="n">
        <f aca="false">COUNTIF(V19:V26,"&lt;&gt;off")</f>
        <v>5</v>
      </c>
      <c r="W27" s="34" t="n">
        <f aca="false">COUNTIF(W19:W26,"&lt;&gt;off")</f>
        <v>5</v>
      </c>
      <c r="X27" s="34" t="n">
        <f aca="false">COUNTIF(X19:X26,"&lt;&gt;off")</f>
        <v>5</v>
      </c>
      <c r="Y27" s="34" t="n">
        <f aca="false">COUNTIF(Y19:Y26,"&lt;&gt;off")</f>
        <v>5</v>
      </c>
      <c r="Z27" s="34" t="n">
        <f aca="false">COUNTIF(Z19:Z26,"&lt;&gt;off")</f>
        <v>5</v>
      </c>
    </row>
    <row r="28" customFormat="false" ht="15" hidden="false" customHeight="false" outlineLevel="0" collapsed="false">
      <c r="A28" s="4" t="s">
        <v>1183</v>
      </c>
      <c r="B28" s="4"/>
      <c r="C28" s="51" t="str">
        <f aca="false">IF(AND(C$18+0.5&gt;=$D$5,C$18+0.5&lt;$H$5),"DAY","NIGHT")</f>
        <v>NIGHT</v>
      </c>
      <c r="D28" s="51" t="str">
        <f aca="false">IF(AND(D$18+0.5&gt;=$D$5,D$18+0.5&lt;$H$5),"DAY","NIGHT")</f>
        <v>NIGHT</v>
      </c>
      <c r="E28" s="51" t="str">
        <f aca="false">IF(AND(E$18+0.5&gt;=$D$5,E$18+0.5&lt;$H$5),"DAY","NIGHT")</f>
        <v>NIGHT</v>
      </c>
      <c r="F28" s="51" t="str">
        <f aca="false">IF(AND(F$18+0.5&gt;=$D$5,F$18+0.5&lt;$H$5),"DAY","NIGHT")</f>
        <v>NIGHT</v>
      </c>
      <c r="G28" s="51" t="str">
        <f aca="false">IF(AND(G$18+0.5&gt;=$D$5,G$18+0.5&lt;$H$5),"DAY","NIGHT")</f>
        <v>NIGHT</v>
      </c>
      <c r="H28" s="51" t="str">
        <f aca="false">IF(AND(H$18+0.5&gt;=$D$5,H$18+0.5&lt;$H$5),"DAY","NIGHT")</f>
        <v>NIGHT</v>
      </c>
      <c r="I28" s="51" t="str">
        <f aca="false">IF(AND(I$18+0.5&gt;=$D$5,I$18+0.5&lt;$H$5),"DAY","NIGHT")</f>
        <v>DAY</v>
      </c>
      <c r="J28" s="51" t="str">
        <f aca="false">IF(AND(J$18+0.5&gt;=$D$5,J$18+0.5&lt;$H$5),"DAY","NIGHT")</f>
        <v>DAY</v>
      </c>
      <c r="K28" s="51" t="str">
        <f aca="false">IF(AND(K$18+0.5&gt;=$D$5,K$18+0.5&lt;$H$5),"DAY","NIGHT")</f>
        <v>DAY</v>
      </c>
      <c r="L28" s="51" t="str">
        <f aca="false">IF(AND(L$18+0.5&gt;=$D$5,L$18+0.5&lt;$H$5),"DAY","NIGHT")</f>
        <v>DAY</v>
      </c>
      <c r="M28" s="51" t="str">
        <f aca="false">IF(AND(M$18+0.5&gt;=$D$5,M$18+0.5&lt;$H$5),"DAY","NIGHT")</f>
        <v>DAY</v>
      </c>
      <c r="N28" s="51" t="str">
        <f aca="false">IF(AND(N$18+0.5&gt;=$D$5,N$18+0.5&lt;$H$5),"DAY","NIGHT")</f>
        <v>DAY</v>
      </c>
      <c r="O28" s="51" t="str">
        <f aca="false">IF(AND(O$18+0.5&gt;=$D$5,O$18+0.5&lt;$H$5),"DAY","NIGHT")</f>
        <v>DAY</v>
      </c>
      <c r="P28" s="51" t="str">
        <f aca="false">IF(AND(P$18+0.5&gt;=$D$5,P$18+0.5&lt;$H$5),"DAY","NIGHT")</f>
        <v>DAY</v>
      </c>
      <c r="Q28" s="51" t="str">
        <f aca="false">IF(AND(Q$18+0.5&gt;=$D$5,Q$18+0.5&lt;$H$5),"DAY","NIGHT")</f>
        <v>DAY</v>
      </c>
      <c r="R28" s="51" t="str">
        <f aca="false">IF(AND(R$18+0.5&gt;=$D$5,R$18+0.5&lt;$H$5),"DAY","NIGHT")</f>
        <v>DAY</v>
      </c>
      <c r="S28" s="51" t="str">
        <f aca="false">IF(AND(S$18+0.5&gt;=$D$5,S$18+0.5&lt;$H$5),"DAY","NIGHT")</f>
        <v>DAY</v>
      </c>
      <c r="T28" s="51" t="str">
        <f aca="false">IF(AND(T$18+0.5&gt;=$D$5,T$18+0.5&lt;$H$5),"DAY","NIGHT")</f>
        <v>DAY</v>
      </c>
      <c r="U28" s="51" t="str">
        <f aca="false">IF(AND(U$18+0.5&gt;=$D$5,U$18+0.5&lt;$H$5),"DAY","NIGHT")</f>
        <v>NIGHT</v>
      </c>
      <c r="V28" s="51" t="str">
        <f aca="false">IF(AND(V$18+0.5&gt;=$D$5,V$18+0.5&lt;$H$5),"DAY","NIGHT")</f>
        <v>NIGHT</v>
      </c>
      <c r="W28" s="51" t="str">
        <f aca="false">IF(AND(W$18+0.5&gt;=$D$5,W$18+0.5&lt;$H$5),"DAY","NIGHT")</f>
        <v>NIGHT</v>
      </c>
      <c r="X28" s="51" t="str">
        <f aca="false">IF(AND(X$18+0.5&gt;=$D$5,X$18+0.5&lt;$H$5),"DAY","NIGHT")</f>
        <v>NIGHT</v>
      </c>
      <c r="Y28" s="51" t="str">
        <f aca="false">IF(AND(Y$18+0.5&gt;=$D$5,Y$18+0.5&lt;$H$5),"DAY","NIGHT")</f>
        <v>NIGHT</v>
      </c>
      <c r="Z28" s="51" t="str">
        <f aca="false">IF(AND(Z$18+0.5&gt;=$D$5,Z$18+0.5&lt;$H$5),"DAY","NIGHT")</f>
        <v>NIGHT</v>
      </c>
    </row>
    <row r="29" customFormat="false" ht="15" hidden="false" customHeight="false" outlineLevel="0" collapsed="false">
      <c r="A29" s="2" t="s">
        <v>1184</v>
      </c>
    </row>
    <row r="31" customFormat="false" ht="15" hidden="false" customHeight="false" outlineLevel="0" collapsed="false">
      <c r="A31" s="10" t="s">
        <v>1185</v>
      </c>
    </row>
    <row r="32" customFormat="false" ht="15" hidden="false" customHeight="true" outlineLevel="0" collapsed="false">
      <c r="A32" s="3" t="s">
        <v>1186</v>
      </c>
      <c r="B32" s="3"/>
      <c r="C32" s="9" t="n">
        <v>0</v>
      </c>
      <c r="D32" s="9"/>
      <c r="E32" s="9" t="n">
        <v>1</v>
      </c>
      <c r="F32" s="9"/>
      <c r="G32" s="9" t="n">
        <v>2</v>
      </c>
      <c r="H32" s="9"/>
      <c r="I32" s="9" t="n">
        <v>3</v>
      </c>
      <c r="J32" s="9"/>
      <c r="K32" s="9" t="n">
        <v>4</v>
      </c>
      <c r="L32" s="9"/>
      <c r="M32" s="9" t="n">
        <v>5</v>
      </c>
      <c r="N32" s="9"/>
      <c r="O32" s="9" t="n">
        <v>6</v>
      </c>
      <c r="P32" s="9"/>
      <c r="Q32" s="9" t="n">
        <v>7</v>
      </c>
      <c r="R32" s="9"/>
    </row>
    <row r="33" customFormat="false" ht="15" hidden="false" customHeight="false" outlineLevel="0" collapsed="false">
      <c r="A33" s="4" t="s">
        <v>1187</v>
      </c>
      <c r="B33" s="4"/>
      <c r="C33" s="52" t="n">
        <f aca="false">1+2.5*C32</f>
        <v>1</v>
      </c>
      <c r="D33" s="52"/>
      <c r="E33" s="52" t="n">
        <f aca="false">1+2.5*E32</f>
        <v>3.5</v>
      </c>
      <c r="F33" s="52"/>
      <c r="G33" s="52" t="n">
        <f aca="false">1+2.5*G32</f>
        <v>6</v>
      </c>
      <c r="H33" s="52"/>
      <c r="I33" s="52" t="n">
        <f aca="false">1+2.5*I32</f>
        <v>8.5</v>
      </c>
      <c r="J33" s="52"/>
      <c r="K33" s="52" t="n">
        <f aca="false">1+2.5*K32</f>
        <v>11</v>
      </c>
      <c r="L33" s="52"/>
      <c r="M33" s="52" t="n">
        <f aca="false">1+2.5*M32</f>
        <v>13.5</v>
      </c>
      <c r="N33" s="52"/>
      <c r="O33" s="52" t="n">
        <f aca="false">1+2.5*O32</f>
        <v>16</v>
      </c>
      <c r="P33" s="52"/>
      <c r="Q33" s="52" t="n">
        <f aca="false">1+2.5*Q32</f>
        <v>18.5</v>
      </c>
      <c r="R33" s="52"/>
    </row>
    <row r="34" customFormat="false" ht="15" hidden="false" customHeight="false" outlineLevel="0" collapsed="false">
      <c r="A34" s="2" t="s">
        <v>1188</v>
      </c>
    </row>
  </sheetData>
  <mergeCells count="45">
    <mergeCell ref="B5:C5"/>
    <mergeCell ref="F5:G5"/>
    <mergeCell ref="J5:K5"/>
    <mergeCell ref="L5:N5"/>
    <mergeCell ref="O5:P5"/>
    <mergeCell ref="S5:T5"/>
    <mergeCell ref="W5:X5"/>
    <mergeCell ref="C7:N7"/>
    <mergeCell ref="O7:X7"/>
    <mergeCell ref="C8:N8"/>
    <mergeCell ref="O8:X8"/>
    <mergeCell ref="C9:N9"/>
    <mergeCell ref="O9:X9"/>
    <mergeCell ref="C10:N10"/>
    <mergeCell ref="O10:X10"/>
    <mergeCell ref="C11:N11"/>
    <mergeCell ref="O11:X11"/>
    <mergeCell ref="C12:N12"/>
    <mergeCell ref="O12:X12"/>
    <mergeCell ref="C13:N13"/>
    <mergeCell ref="O13:X13"/>
    <mergeCell ref="C14:N14"/>
    <mergeCell ref="O14:X14"/>
    <mergeCell ref="C15:N15"/>
    <mergeCell ref="O15:X15"/>
    <mergeCell ref="A27:B27"/>
    <mergeCell ref="A28:B28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</mergeCells>
  <conditionalFormatting sqref="C19:Z26">
    <cfRule type="cellIs" priority="2" operator="equal" aboveAverage="0" equalAverage="0" bottom="0" percent="0" rank="0" text="" dxfId="0">
      <formula>"off"</formula>
    </cfRule>
    <cfRule type="cellIs" priority="3" operator="equal" aboveAverage="0" equalAverage="0" bottom="0" percent="0" rank="0" text="" dxfId="1">
      <formula>"guard"</formula>
    </cfRule>
    <cfRule type="cellIs" priority="4" operator="equal" aboveAverage="0" equalAverage="0" bottom="0" percent="0" rank="0" text="" dxfId="2">
      <formula>"work"</formula>
    </cfRule>
    <cfRule type="cellIs" priority="5" operator="equal" aboveAverage="0" equalAverage="0" bottom="0" percent="0" rank="0" text="" dxfId="3">
      <formula>"walk"</formula>
    </cfRule>
    <cfRule type="cellIs" priority="6" operator="equal" aboveAverage="0" equalAverage="0" bottom="0" percent="0" rank="0" text="" dxfId="4">
      <formula>"run"</formula>
    </cfRule>
  </conditionalFormatting>
  <conditionalFormatting sqref="C28:Z28">
    <cfRule type="cellIs" priority="7" operator="equal" aboveAverage="0" equalAverage="0" bottom="0" percent="0" rank="0" text="" dxfId="5">
      <formula>"NIGHT"</formula>
    </cfRule>
    <cfRule type="cellIs" priority="8" operator="equal" aboveAverage="0" equalAverage="0" bottom="0" percent="0" rank="0" text="" dxfId="6">
      <formula>"DAY"</formula>
    </cfRule>
  </conditionalFormatting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9" min="8" style="0" width="14"/>
  </cols>
  <sheetData>
    <row r="1" customFormat="false" ht="16.15" hidden="false" customHeight="false" outlineLevel="0" collapsed="false">
      <c r="A1" s="1" t="s">
        <v>1189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1190</v>
      </c>
    </row>
    <row r="5" customFormat="false" ht="15" hidden="false" customHeight="false" outlineLevel="0" collapsed="false">
      <c r="A5" s="10" t="s">
        <v>1191</v>
      </c>
    </row>
    <row r="6" customFormat="false" ht="30" hidden="false" customHeight="true" outlineLevel="0" collapsed="false">
      <c r="A6" s="3" t="s">
        <v>1192</v>
      </c>
      <c r="B6" s="3" t="s">
        <v>1193</v>
      </c>
      <c r="C6" s="3" t="s">
        <v>1194</v>
      </c>
      <c r="D6" s="3" t="s">
        <v>1195</v>
      </c>
      <c r="E6" s="3" t="s">
        <v>1196</v>
      </c>
      <c r="F6" s="3" t="s">
        <v>1197</v>
      </c>
      <c r="G6" s="3" t="s">
        <v>1198</v>
      </c>
      <c r="H6" s="3" t="s">
        <v>1199</v>
      </c>
      <c r="I6" s="3" t="s">
        <v>1200</v>
      </c>
    </row>
    <row r="7" customFormat="false" ht="15" hidden="false" customHeight="false" outlineLevel="0" collapsed="false">
      <c r="A7" s="5" t="s">
        <v>1201</v>
      </c>
      <c r="B7" s="43" t="n">
        <v>11.8961</v>
      </c>
      <c r="C7" s="43" t="n">
        <v>16.9807</v>
      </c>
      <c r="D7" s="43" t="n">
        <v>84.0609</v>
      </c>
      <c r="E7" s="8" t="n">
        <v>242.385</v>
      </c>
      <c r="F7" s="8" t="n">
        <v>4112850</v>
      </c>
      <c r="G7" s="18" t="n">
        <f aca="false">IF(B7&gt;0,1000/B7,0)</f>
        <v>84.0611629021276</v>
      </c>
      <c r="H7" s="18" t="n">
        <f aca="false">G7-D7</f>
        <v>0.000262902127573739</v>
      </c>
      <c r="I7" s="7" t="n">
        <f aca="false">IF(E7&gt;0,F7/E7,0)</f>
        <v>16968.2529859521</v>
      </c>
    </row>
    <row r="8" customFormat="false" ht="15" hidden="false" customHeight="false" outlineLevel="0" collapsed="false">
      <c r="A8" s="5" t="s">
        <v>1202</v>
      </c>
      <c r="B8" s="43" t="n">
        <v>15.328</v>
      </c>
      <c r="C8" s="43" t="n">
        <v>20.5757</v>
      </c>
      <c r="D8" s="43" t="n">
        <v>65.2399</v>
      </c>
      <c r="E8" s="8" t="n">
        <v>961.927</v>
      </c>
      <c r="F8" s="8" t="n">
        <v>4116830</v>
      </c>
      <c r="G8" s="18" t="n">
        <f aca="false">IF(B8&gt;0,1000/B8,0)</f>
        <v>65.2400835073069</v>
      </c>
      <c r="H8" s="18" t="n">
        <f aca="false">G8-D8</f>
        <v>0.000183507306886099</v>
      </c>
      <c r="I8" s="7" t="n">
        <f aca="false">IF(E8&gt;0,F8/E8,0)</f>
        <v>4279.77382899118</v>
      </c>
    </row>
    <row r="9" customFormat="false" ht="15" hidden="false" customHeight="false" outlineLevel="0" collapsed="false">
      <c r="A9" s="5" t="s">
        <v>1203</v>
      </c>
      <c r="B9" s="43" t="n">
        <v>12.9298</v>
      </c>
      <c r="C9" s="43" t="n">
        <v>17.4494</v>
      </c>
      <c r="D9" s="43" t="n">
        <v>77.3409</v>
      </c>
      <c r="E9" s="8" t="n">
        <v>53.3408</v>
      </c>
      <c r="F9" s="8" t="n">
        <v>1477730</v>
      </c>
      <c r="G9" s="18" t="n">
        <f aca="false">IF(B9&gt;0,1000/B9,0)</f>
        <v>77.3407167937633</v>
      </c>
      <c r="H9" s="18" t="n">
        <f aca="false">G9-D9</f>
        <v>-0.000183206236755495</v>
      </c>
      <c r="I9" s="7" t="n">
        <f aca="false">IF(E9&gt;0,F9/E9,0)</f>
        <v>27703.5590017398</v>
      </c>
    </row>
    <row r="10" customFormat="false" ht="15" hidden="false" customHeight="false" outlineLevel="0" collapsed="false">
      <c r="A10" s="5" t="s">
        <v>1204</v>
      </c>
      <c r="B10" s="43" t="n">
        <v>13.3205</v>
      </c>
      <c r="C10" s="43" t="n">
        <v>17.3572</v>
      </c>
      <c r="D10" s="43" t="n">
        <v>75.0723</v>
      </c>
      <c r="E10" s="8" t="n">
        <v>61.0413</v>
      </c>
      <c r="F10" s="8" t="n">
        <v>1545670</v>
      </c>
      <c r="G10" s="18" t="n">
        <f aca="false">IF(B10&gt;0,1000/B10,0)</f>
        <v>75.0722570474081</v>
      </c>
      <c r="H10" s="18" t="n">
        <f aca="false">G10-D10</f>
        <v>-4.29525918690388E-005</v>
      </c>
      <c r="I10" s="7" t="n">
        <f aca="false">IF(E10&gt;0,F10/E10,0)</f>
        <v>25321.7084170881</v>
      </c>
    </row>
    <row r="11" customFormat="false" ht="15" hidden="false" customHeight="false" outlineLevel="0" collapsed="false">
      <c r="A11" s="5" t="s">
        <v>1205</v>
      </c>
      <c r="B11" s="43" t="n">
        <v>15.4275</v>
      </c>
      <c r="C11" s="43" t="n">
        <v>17.4757</v>
      </c>
      <c r="D11" s="43" t="n">
        <v>64.8193</v>
      </c>
      <c r="E11" s="8" t="n">
        <v>187.354</v>
      </c>
      <c r="F11" s="8" t="n">
        <v>4138570</v>
      </c>
      <c r="G11" s="18" t="n">
        <f aca="false">IF(B11&gt;0,1000/B11,0)</f>
        <v>64.8193161562146</v>
      </c>
      <c r="H11" s="18" t="n">
        <f aca="false">G11-D11</f>
        <v>1.61562145564176E-005</v>
      </c>
      <c r="I11" s="7" t="n">
        <f aca="false">IF(E11&gt;0,F11/E11,0)</f>
        <v>22089.5737480918</v>
      </c>
    </row>
    <row r="12" customFormat="false" ht="15" hidden="false" customHeight="false" outlineLevel="0" collapsed="false">
      <c r="A12" s="5" t="s">
        <v>1206</v>
      </c>
      <c r="B12" s="43" t="n">
        <v>16.7837</v>
      </c>
      <c r="C12" s="43" t="n">
        <v>24.0234</v>
      </c>
      <c r="D12" s="43" t="n">
        <v>59.5816</v>
      </c>
      <c r="E12" s="8" t="n">
        <v>886.196</v>
      </c>
      <c r="F12" s="8" t="n">
        <v>4170890</v>
      </c>
      <c r="G12" s="18" t="n">
        <f aca="false">IF(B12&gt;0,1000/B12,0)</f>
        <v>59.5816178792519</v>
      </c>
      <c r="H12" s="18" t="n">
        <f aca="false">G12-D12</f>
        <v>1.78792518923387E-005</v>
      </c>
      <c r="I12" s="7" t="n">
        <f aca="false">IF(E12&gt;0,F12/E12,0)</f>
        <v>4706.50962089651</v>
      </c>
    </row>
    <row r="13" customFormat="false" ht="15" hidden="false" customHeight="false" outlineLevel="0" collapsed="false">
      <c r="A13" s="5" t="s">
        <v>1207</v>
      </c>
      <c r="B13" s="43" t="n">
        <v>52.9678</v>
      </c>
      <c r="C13" s="43" t="n">
        <v>62.0608</v>
      </c>
      <c r="D13" s="43" t="n">
        <v>18.8794</v>
      </c>
      <c r="E13" s="8" t="n">
        <v>3827.73</v>
      </c>
      <c r="F13" s="8" t="n">
        <v>4133000</v>
      </c>
      <c r="G13" s="18" t="n">
        <f aca="false">IF(B13&gt;0,1000/B13,0)</f>
        <v>18.8793946510899</v>
      </c>
      <c r="H13" s="18" t="n">
        <f aca="false">G13-D13</f>
        <v>-5.34891009351668E-006</v>
      </c>
      <c r="I13" s="7" t="n">
        <f aca="false">IF(E13&gt;0,F13/E13,0)</f>
        <v>1079.75222912797</v>
      </c>
    </row>
    <row r="14" customFormat="false" ht="15" hidden="false" customHeight="false" outlineLevel="0" collapsed="false">
      <c r="A14" s="5" t="s">
        <v>1208</v>
      </c>
      <c r="B14" s="43" t="n">
        <v>16.686</v>
      </c>
      <c r="C14" s="43" t="n">
        <v>20.5126</v>
      </c>
      <c r="D14" s="43" t="n">
        <v>59.9305</v>
      </c>
      <c r="E14" s="8" t="n">
        <v>245.781</v>
      </c>
      <c r="F14" s="8" t="n">
        <v>2614220</v>
      </c>
      <c r="G14" s="18" t="n">
        <f aca="false">IF(B14&gt;0,1000/B14,0)</f>
        <v>59.9304806424548</v>
      </c>
      <c r="H14" s="18" t="n">
        <f aca="false">G14-D14</f>
        <v>-1.93575452485106E-005</v>
      </c>
      <c r="I14" s="7" t="n">
        <f aca="false">IF(E14&gt;0,F14/E14,0)</f>
        <v>10636.3795411362</v>
      </c>
    </row>
    <row r="15" customFormat="false" ht="15" hidden="false" customHeight="false" outlineLevel="0" collapsed="false">
      <c r="A15" s="5" t="s">
        <v>1209</v>
      </c>
      <c r="B15" s="43" t="n">
        <v>14.9135</v>
      </c>
      <c r="C15" s="43" t="n">
        <v>20.1891</v>
      </c>
      <c r="D15" s="43" t="n">
        <v>67.0533</v>
      </c>
      <c r="E15" s="8" t="n">
        <v>186.921</v>
      </c>
      <c r="F15" s="8" t="n">
        <v>1518500</v>
      </c>
      <c r="G15" s="18" t="n">
        <f aca="false">IF(B15&gt;0,1000/B15,0)</f>
        <v>67.053340932712</v>
      </c>
      <c r="H15" s="18" t="n">
        <f aca="false">G15-D15</f>
        <v>4.09327119683667E-005</v>
      </c>
      <c r="I15" s="7" t="n">
        <f aca="false">IF(E15&gt;0,F15/E15,0)</f>
        <v>8123.7528153605</v>
      </c>
    </row>
    <row r="16" customFormat="false" ht="15" hidden="false" customHeight="false" outlineLevel="0" collapsed="false">
      <c r="A16" s="5" t="s">
        <v>1210</v>
      </c>
      <c r="B16" s="43" t="n">
        <v>12.6165</v>
      </c>
      <c r="C16" s="43" t="n">
        <v>20.0443</v>
      </c>
      <c r="D16" s="43" t="n">
        <v>79.2615</v>
      </c>
      <c r="E16" s="8" t="n">
        <v>177.751</v>
      </c>
      <c r="F16" s="8" t="n">
        <v>1385390</v>
      </c>
      <c r="G16" s="18" t="n">
        <f aca="false">IF(B16&gt;0,1000/B16,0)</f>
        <v>79.261284825427</v>
      </c>
      <c r="H16" s="18" t="n">
        <f aca="false">G16-D16</f>
        <v>-0.000215174572986143</v>
      </c>
      <c r="I16" s="7" t="n">
        <f aca="false">IF(E16&gt;0,F16/E16,0)</f>
        <v>7793.99272015347</v>
      </c>
    </row>
    <row r="17" customFormat="false" ht="15" hidden="false" customHeight="false" outlineLevel="0" collapsed="false">
      <c r="A17" s="5" t="s">
        <v>1211</v>
      </c>
      <c r="B17" s="43" t="n">
        <v>11.6958</v>
      </c>
      <c r="C17" s="43" t="n">
        <v>19.0796</v>
      </c>
      <c r="D17" s="43" t="n">
        <v>85.5011</v>
      </c>
      <c r="E17" s="8" t="n">
        <v>154.075</v>
      </c>
      <c r="F17" s="8" t="n">
        <v>1441730</v>
      </c>
      <c r="G17" s="18" t="n">
        <f aca="false">IF(B17&gt;0,1000/B17,0)</f>
        <v>85.5007780570803</v>
      </c>
      <c r="H17" s="18" t="n">
        <f aca="false">G17-D17</f>
        <v>-0.000321942919669027</v>
      </c>
      <c r="I17" s="7" t="n">
        <f aca="false">IF(E17&gt;0,F17/E17,0)</f>
        <v>9357.32597760831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2026-10-10T20:10:05Z</dcterms:created>
  <dc:creator>openpyxl</dc:creator>
  <dc:description/>
  <dc:language>en-US</dc:language>
  <cp:lastModifiedBy/>
  <dcterms:modified xsi:type="dcterms:W3CDTF">2026-10-10T20:10:06Z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