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Transform_Trace" sheetId="3" state="visible" r:id="rId3"/>
    <sheet name="View_Projection" sheetId="4" state="visible" r:id="rId4"/>
    <sheet name="Clipping" sheetId="5" state="visible" r:id="rId5"/>
    <sheet name="Illumination" sheetId="6" state="visible" r:id="rId6"/>
    <sheet name="Color_Interp" sheetId="7" state="visible" r:id="rId7"/>
    <sheet name="Ray_Tracing" sheetId="8" state="visible" r:id="rId8"/>
    <sheet name="Thermal_Kernels" sheetId="9" state="visible" r:id="rId9"/>
    <sheet name="Duty_Cycle" sheetId="10" state="visible" r:id="rId10"/>
    <sheet name="Performance" sheetId="11" state="visible" r:id="rId11"/>
  </sheets>
  <definedNames>
    <definedName name="_xlnm.Print_Area" localSheetId="0">'Primitives'!$A$1:$Q$31</definedName>
    <definedName name="_xlnm.Print_Area" localSheetId="1">'Decomposition'!$A$1:$T$202</definedName>
    <definedName name="_xlnm.Print_Area" localSheetId="2">'Transform_Trace'!$A$1:$T$44</definedName>
    <definedName name="_xlnm.Print_Area" localSheetId="3">'View_Projection'!$A$1:$M$40</definedName>
    <definedName name="_xlnm.Print_Area" localSheetId="4">'Clipping'!$A$1:$U$42</definedName>
    <definedName name="_xlnm.Print_Area" localSheetId="5">'Illumination'!$A$1:$K$54</definedName>
    <definedName name="_xlnm.Print_Area" localSheetId="6">'Color_Interp'!$A$1:$U$36</definedName>
    <definedName name="_xlnm.Print_Area" localSheetId="7">'Ray_Tracing'!$A$1:$J$39</definedName>
    <definedName name="_xlnm.Print_Area" localSheetId="8">'Thermal_Kernels'!$A$1:$Z$28</definedName>
    <definedName name="_xlnm.Print_Area" localSheetId="9">'Duty_Cycle'!$A$1:$Z$34</definedName>
    <definedName name="_xlnm.Print_Area" localSheetId="10">'Performance'!$A$1:$I$7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4" fillId="0" borderId="1" pivotButton="0" quotePrefix="0" xfId="0"/>
    <xf numFmtId="11" fontId="4" fillId="0" borderId="1" applyAlignment="1" pivotButton="0" quotePrefix="0" xfId="0">
      <alignment horizontal="center"/>
    </xf>
    <xf numFmtId="11" fontId="4" fillId="0" borderId="1" pivotButton="0" quotePrefix="0" xfId="0"/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4" fillId="3" borderId="1" applyAlignment="1" pivotButton="0" quotePrefix="0" xfId="0">
      <alignment horizontal="center"/>
    </xf>
    <xf numFmtId="165" fontId="4" fillId="3" borderId="1" pivotButton="0" quotePrefix="0" xfId="0"/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31"/>
  <sheetViews>
    <sheetView showGridLines="0" workbookViewId="0">
      <selection activeCell="A1" sqref="A1"/>
    </sheetView>
  </sheetViews>
  <sheetFormatPr baseColWidth="8" defaultRowHeight="15"/>
  <cols>
    <col width="19" customWidth="1" min="1" max="1"/>
    <col width="33" customWidth="1" min="2" max="2"/>
    <col width="7" customWidth="1" min="3" max="3"/>
    <col width="8" customWidth="1" min="4" max="4"/>
    <col width="12" customWidth="1" min="5" max="5"/>
    <col width="8" customWidth="1" min="6" max="6"/>
    <col width="11" customWidth="1" min="7" max="7"/>
    <col width="8" customWidth="1" min="8" max="8"/>
    <col width="8" customWidth="1" min="9" max="9"/>
    <col width="11" customWidth="1" min="10" max="10"/>
    <col width="11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real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src/primitives/{Cube,Sphere,Cylinder}.cpp, objects/Terrain.cpp createTerrainDisc, rendering/Grass.cpp; exported counts: ts --export-docs 'primitives'.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slices s</t>
        </is>
      </c>
      <c r="D5" s="3" t="inlineStr">
        <is>
          <t>stacks / rings k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faces x 4</t>
        </is>
      </c>
      <c r="F6" s="7">
        <f>6*4</f>
        <v/>
      </c>
      <c r="G6" s="6" t="inlineStr">
        <is>
          <t>6 faces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2478</v>
      </c>
      <c r="Q6" s="7">
        <f>M6*P6</f>
        <v/>
      </c>
    </row>
    <row r="7">
      <c r="A7" s="4" t="inlineStr">
        <is>
          <t>Sphere</t>
        </is>
      </c>
      <c r="B7" s="5" t="inlineStr">
        <is>
          <t>createSphere(36, 18)</t>
        </is>
      </c>
      <c r="C7" s="9" t="n">
        <v>36</v>
      </c>
      <c r="D7" s="9" t="n">
        <v>18</v>
      </c>
      <c r="E7" s="6" t="inlineStr">
        <is>
          <t>(k-1)s + 2</t>
        </is>
      </c>
      <c r="F7" s="7">
        <f>(D7-1)*C7+2</f>
        <v/>
      </c>
      <c r="G7" s="6" t="inlineStr">
        <is>
          <t>2s(k-1)</t>
        </is>
      </c>
      <c r="H7" s="7">
        <f>2*C7*(D7-1)</f>
        <v/>
      </c>
      <c r="I7" s="7">
        <f>3*H7</f>
        <v/>
      </c>
      <c r="J7" s="7">
        <f>24*F7+4*I7</f>
        <v/>
      </c>
      <c r="K7" s="7">
        <f>72*H7</f>
        <v/>
      </c>
      <c r="L7" s="8" t="n">
        <v>614</v>
      </c>
      <c r="M7" s="8" t="n">
        <v>1224</v>
      </c>
      <c r="N7" s="7">
        <f>F7-L7</f>
        <v/>
      </c>
      <c r="O7" s="7">
        <f>H7-M7</f>
        <v/>
      </c>
      <c r="P7" s="8" t="n">
        <v>826</v>
      </c>
      <c r="Q7" s="7">
        <f>M7*P7</f>
        <v/>
      </c>
    </row>
    <row r="8">
      <c r="A8" s="4" t="inlineStr">
        <is>
          <t>Cylinder</t>
        </is>
      </c>
      <c r="B8" s="5" t="inlineStr">
        <is>
          <t>createCylinder(36) (capped)</t>
        </is>
      </c>
      <c r="C8" s="9" t="n">
        <v>36</v>
      </c>
      <c r="D8" s="6" t="inlineStr">
        <is>
          <t>-</t>
        </is>
      </c>
      <c r="E8" s="6" t="inlineStr">
        <is>
          <t>4s + 2</t>
        </is>
      </c>
      <c r="F8" s="7">
        <f>4*C8+2</f>
        <v/>
      </c>
      <c r="G8" s="6" t="inlineStr">
        <is>
          <t>4s</t>
        </is>
      </c>
      <c r="H8" s="7">
        <f>4*C8</f>
        <v/>
      </c>
      <c r="I8" s="7">
        <f>3*H8</f>
        <v/>
      </c>
      <c r="J8" s="7">
        <f>24*F8+4*I8</f>
        <v/>
      </c>
      <c r="K8" s="7">
        <f>72*H8</f>
        <v/>
      </c>
      <c r="L8" s="8" t="n">
        <v>146</v>
      </c>
      <c r="M8" s="8" t="n">
        <v>144</v>
      </c>
      <c r="N8" s="7">
        <f>F8-L8</f>
        <v/>
      </c>
      <c r="O8" s="7">
        <f>H8-M8</f>
        <v/>
      </c>
      <c r="P8" s="8" t="n">
        <v>2133</v>
      </c>
      <c r="Q8" s="7">
        <f>M8*P8</f>
        <v/>
      </c>
    </row>
    <row r="9">
      <c r="A9" s="4" t="inlineStr">
        <is>
          <t>Cylinder (frustum)</t>
        </is>
      </c>
      <c r="B9" s="5" t="inlineStr">
        <is>
          <t>createCylinder(36, 0.03, 0.5, false)</t>
        </is>
      </c>
      <c r="C9" s="9" t="n">
        <v>36</v>
      </c>
      <c r="D9" s="6" t="inlineStr">
        <is>
          <t>-</t>
        </is>
      </c>
      <c r="E9" s="6" t="inlineStr">
        <is>
          <t>2s</t>
        </is>
      </c>
      <c r="F9" s="7">
        <f>2*C9</f>
        <v/>
      </c>
      <c r="G9" s="6" t="inlineStr">
        <is>
          <t>2s</t>
        </is>
      </c>
      <c r="H9" s="7">
        <f>2*C9</f>
        <v/>
      </c>
      <c r="I9" s="7">
        <f>3*H9</f>
        <v/>
      </c>
      <c r="J9" s="7">
        <f>24*F9+4*I9</f>
        <v/>
      </c>
      <c r="K9" s="7">
        <f>72*H9</f>
        <v/>
      </c>
      <c r="L9" s="8" t="n">
        <v>72</v>
      </c>
      <c r="M9" s="8" t="n">
        <v>72</v>
      </c>
      <c r="N9" s="7">
        <f>F9-L9</f>
        <v/>
      </c>
      <c r="O9" s="7">
        <f>H9-M9</f>
        <v/>
      </c>
      <c r="P9" s="8" t="n">
        <v>3</v>
      </c>
      <c r="Q9" s="7">
        <f>M9*P9</f>
        <v/>
      </c>
    </row>
    <row r="10">
      <c r="A10" s="4" t="inlineStr">
        <is>
          <t>Cone</t>
        </is>
      </c>
      <c r="B10" s="5" t="inlineStr">
        <is>
          <t>createCylinder(36, 0.5, 0, true)</t>
        </is>
      </c>
      <c r="C10" s="9" t="n">
        <v>36</v>
      </c>
      <c r="D10" s="6" t="inlineStr">
        <is>
          <t>-</t>
        </is>
      </c>
      <c r="E10" s="6" t="inlineStr">
        <is>
          <t>3s + 1</t>
        </is>
      </c>
      <c r="F10" s="7">
        <f>3*C10+1</f>
        <v/>
      </c>
      <c r="G10" s="6" t="inlineStr">
        <is>
          <t>2s</t>
        </is>
      </c>
      <c r="H10" s="7">
        <f>2*C10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109</v>
      </c>
      <c r="M10" s="8" t="n">
        <v>72</v>
      </c>
      <c r="N10" s="7">
        <f>F10-L10</f>
        <v/>
      </c>
      <c r="O10" s="7">
        <f>H10-M10</f>
        <v/>
      </c>
      <c r="P10" s="8" t="n">
        <v>295</v>
      </c>
      <c r="Q10" s="7">
        <f>M10*P10</f>
        <v/>
      </c>
    </row>
    <row r="11">
      <c r="A11" s="4" t="inlineStr">
        <is>
          <t>Terrain disc</t>
        </is>
      </c>
      <c r="B11" s="5" t="inlineStr">
        <is>
          <t>createTerrainDisc(130, 384, 36)</t>
        </is>
      </c>
      <c r="C11" s="9" t="n">
        <v>384</v>
      </c>
      <c r="D11" s="9" t="n">
        <v>130</v>
      </c>
      <c r="E11" s="6" t="inlineStr">
        <is>
          <t>1 + k s</t>
        </is>
      </c>
      <c r="F11" s="7">
        <f>1+D11*C11</f>
        <v/>
      </c>
      <c r="G11" s="6" t="inlineStr">
        <is>
          <t>s(2k-1)</t>
        </is>
      </c>
      <c r="H11" s="7">
        <f>C11*(2*D11-1)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49921</v>
      </c>
      <c r="M11" s="8" t="n">
        <v>97440</v>
      </c>
      <c r="N11" s="7">
        <f>F11-L11</f>
        <v/>
      </c>
      <c r="O11" s="7">
        <f>H11-M11</f>
        <v/>
      </c>
      <c r="P11" s="8" t="n">
        <v>1</v>
      </c>
      <c r="Q11" s="7">
        <f>M11*P11</f>
        <v/>
      </c>
    </row>
    <row r="12">
      <c r="A12" s="4" t="inlineStr">
        <is>
          <t>Grass blade</t>
        </is>
      </c>
      <c r="B12" s="5" t="inlineStr">
        <is>
          <t>Grass.cpp instanced strip (3 segments)</t>
        </is>
      </c>
      <c r="C12" s="6" t="inlineStr">
        <is>
          <t>-</t>
        </is>
      </c>
      <c r="D12" s="9" t="n">
        <v>3</v>
      </c>
      <c r="E12" s="6" t="inlineStr">
        <is>
          <t>2k + 1</t>
        </is>
      </c>
      <c r="F12" s="7">
        <f>2*D12+1</f>
        <v/>
      </c>
      <c r="G12" s="6" t="inlineStr">
        <is>
          <t>2k - 1</t>
        </is>
      </c>
      <c r="H12" s="7">
        <f>2*D12-1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7</v>
      </c>
      <c r="M12" s="8" t="n">
        <v>5</v>
      </c>
      <c r="N12" s="7">
        <f>F12-L12</f>
        <v/>
      </c>
      <c r="O12" s="7">
        <f>H12-M12</f>
        <v/>
      </c>
      <c r="P12" s="6" t="inlineStr">
        <is>
          <t>-</t>
        </is>
      </c>
      <c r="Q12" s="6" t="inlineStr">
        <is>
          <t>-</t>
        </is>
      </c>
    </row>
    <row r="13">
      <c r="A13" s="4" t="inlineStr">
        <is>
          <t>Scene total (library)</t>
        </is>
      </c>
      <c r="P13" s="7">
        <f>SUM(P6:P11)</f>
        <v/>
      </c>
      <c r="Q13" s="7">
        <f>SUM(Q6:Q11)</f>
        <v/>
      </c>
    </row>
    <row r="14">
      <c r="A14" s="2" t="inlineStr">
        <is>
          <t>dV = dT = 0: the closed-form counts match the exported meshes. Terrain dT = triangles whose centroid lies in the entrance-trench hole (dropped by createTerrainDisc).</t>
        </is>
      </c>
    </row>
    <row r="15">
      <c r="A15" s="2" t="inlineStr">
        <is>
          <t>Bytes: 24-byte vertex (position + normal, 6 floats), 4-byte indices; non-indexed = 3 vertices per triangle (72 bytes). Exported bytes_indexed / bytes_non_indexed agree.</t>
        </is>
      </c>
    </row>
    <row r="17">
      <c r="A17" s="10" t="inlineStr">
        <is>
          <t>Not primitives in this code (docs/audit.md section 2)</t>
        </is>
      </c>
    </row>
    <row r="18">
      <c r="A18" s="3" t="inlineStr">
        <is>
          <t>Shape</t>
        </is>
      </c>
      <c r="B18" s="3" t="inlineStr">
        <is>
          <t>Status in the code</t>
        </is>
      </c>
    </row>
    <row r="19">
      <c r="A19" s="4" t="inlineStr">
        <is>
          <t>Cuboid</t>
        </is>
      </c>
      <c r="B19" s="11" t="inlineStr">
        <is>
          <t>a scaled createCube() (S per part); not a separate generator</t>
        </is>
      </c>
      <c r="C19" s="12" t="n"/>
      <c r="D19" s="12" t="n"/>
      <c r="E19" s="12" t="n"/>
      <c r="F19" s="12" t="n"/>
      <c r="G19" s="12" t="n"/>
      <c r="H19" s="13" t="n"/>
    </row>
    <row r="20">
      <c r="A20" s="4" t="inlineStr">
        <is>
          <t>Hemisphere</t>
        </is>
      </c>
      <c r="B20" s="11" t="inlineStr">
        <is>
          <t>NOT a primitive (only scaled / clipped spheres in places)</t>
        </is>
      </c>
      <c r="C20" s="12" t="n"/>
      <c r="D20" s="12" t="n"/>
      <c r="E20" s="12" t="n"/>
      <c r="F20" s="12" t="n"/>
      <c r="G20" s="12" t="n"/>
      <c r="H20" s="13" t="n"/>
    </row>
    <row r="21">
      <c r="A21" s="4" t="inlineStr">
        <is>
          <t>Torus</t>
        </is>
      </c>
      <c r="B21" s="11" t="inlineStr">
        <is>
          <t>NOT a primitive: no generator exists</t>
        </is>
      </c>
      <c r="C21" s="12" t="n"/>
      <c r="D21" s="12" t="n"/>
      <c r="E21" s="12" t="n"/>
      <c r="F21" s="12" t="n"/>
      <c r="G21" s="12" t="n"/>
      <c r="H21" s="13" t="n"/>
    </row>
    <row r="22">
      <c r="A22" s="4" t="inlineStr">
        <is>
          <t>Wedge / prism</t>
        </is>
      </c>
      <c r="B22" s="11" t="inlineStr">
        <is>
          <t>NOT a primitive: no generator exists</t>
        </is>
      </c>
      <c r="C22" s="12" t="n"/>
      <c r="D22" s="12" t="n"/>
      <c r="E22" s="12" t="n"/>
      <c r="F22" s="12" t="n"/>
      <c r="G22" s="12" t="n"/>
      <c r="H22" s="13" t="n"/>
    </row>
    <row r="23">
      <c r="A23" s="4" t="inlineStr">
        <is>
          <t>Helix</t>
        </is>
      </c>
      <c r="B23" s="11" t="inlineStr">
        <is>
          <t>NOT a primitive: no generator exists</t>
        </is>
      </c>
      <c r="C23" s="12" t="n"/>
      <c r="D23" s="12" t="n"/>
      <c r="E23" s="12" t="n"/>
      <c r="F23" s="12" t="n"/>
      <c r="G23" s="12" t="n"/>
      <c r="H23" s="13" t="n"/>
    </row>
    <row r="25">
      <c r="A25" s="10" t="inlineStr">
        <is>
          <t>Parametric equations (local space, unit size)</t>
        </is>
      </c>
    </row>
    <row r="26">
      <c r="A26" s="3" t="inlineStr">
        <is>
          <t>Primitive</t>
        </is>
      </c>
      <c r="B26" s="3" t="inlineStr">
        <is>
          <t>Point p(parameters)</t>
        </is>
      </c>
      <c r="C26" s="12" t="n"/>
      <c r="D26" s="12" t="n"/>
      <c r="E26" s="12" t="n"/>
      <c r="F26" s="12" t="n"/>
      <c r="G26" s="12" t="n"/>
      <c r="H26" s="12" t="n"/>
      <c r="I26" s="13" t="n"/>
      <c r="J26" s="3" t="inlineStr">
        <is>
          <t>Parameter ranges</t>
        </is>
      </c>
      <c r="K26" s="12" t="n"/>
      <c r="L26" s="12" t="n"/>
      <c r="M26" s="12" t="n"/>
      <c r="N26" s="12" t="n"/>
      <c r="O26" s="12" t="n"/>
      <c r="P26" s="12" t="n"/>
      <c r="Q26" s="13" t="n"/>
    </row>
    <row r="27">
      <c r="A27" s="4" t="inlineStr">
        <is>
          <t>Cube</t>
        </is>
      </c>
      <c r="B27" s="11" t="inlineStr">
        <is>
          <t>p = 0.5 n + 0.5 (a u + b v), face frame (n, u, v) with u x v = n</t>
        </is>
      </c>
      <c r="C27" s="14" t="n"/>
      <c r="D27" s="14" t="n"/>
      <c r="E27" s="14" t="n"/>
      <c r="F27" s="14" t="n"/>
      <c r="G27" s="14" t="n"/>
      <c r="H27" s="14" t="n"/>
      <c r="I27" s="14" t="n"/>
      <c r="J27" s="11" t="inlineStr">
        <is>
          <t>6 faces, a, b in {-1, +1}; 2 CCW triangles (0,1,2), (0,2,3) per face</t>
        </is>
      </c>
      <c r="K27" s="14" t="n"/>
      <c r="L27" s="14" t="n"/>
      <c r="M27" s="14" t="n"/>
      <c r="N27" s="14" t="n"/>
      <c r="O27" s="14" t="n"/>
      <c r="P27" s="14" t="n"/>
      <c r="Q27" s="14" t="n"/>
    </row>
    <row r="28">
      <c r="A28" s="4" t="inlineStr">
        <is>
          <t>Sphere</t>
        </is>
      </c>
      <c r="B28" s="11" t="inlineStr">
        <is>
          <t>p = 0.5 (sin(th) cos(ph), cos(th), sin(th) sin(ph)), normal = p / 0.5</t>
        </is>
      </c>
      <c r="C28" s="14" t="n"/>
      <c r="D28" s="14" t="n"/>
      <c r="E28" s="14" t="n"/>
      <c r="F28" s="14" t="n"/>
      <c r="G28" s="14" t="n"/>
      <c r="H28" s="14" t="n"/>
      <c r="I28" s="14" t="n"/>
      <c r="J28" s="11" t="inlineStr">
        <is>
          <t>th = pi k / stacks, k = 1..stacks-1; ph = 2 pi j / slices; 2 poles; south half mirrored (y -&gt; -y)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>
      <c r="A29" s="4" t="inlineStr">
        <is>
          <t>Cylinder / frustum / cone</t>
        </is>
      </c>
      <c r="B29" s="11" t="inlineStr">
        <is>
          <t>p = (r(z) cos(ph), r(z) sin(ph), z), r(-0.5) = r_bottom, r(+0.5) = r_top</t>
        </is>
      </c>
      <c r="C29" s="14" t="n"/>
      <c r="D29" s="14" t="n"/>
      <c r="E29" s="14" t="n"/>
      <c r="F29" s="14" t="n"/>
      <c r="G29" s="14" t="n"/>
      <c r="H29" s="14" t="n"/>
      <c r="I29" s="14" t="n"/>
      <c r="J29" s="11" t="inlineStr">
        <is>
          <t>ph = 2 pi j / slices; cylinder r = 0.5 / 0.5, frustum 0.5 / 0.03, cone 0.5 / 0 (apex); caps = fans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>
      <c r="A30" s="4" t="inlineStr">
        <is>
          <t>Terrain disc</t>
        </is>
      </c>
      <c r="B30" s="11" t="inlineStr">
        <is>
          <t>p = (r cos(ph), h(x, z), r sin(ph)), r = 36 k / rings</t>
        </is>
      </c>
      <c r="C30" s="14" t="n"/>
      <c r="D30" s="14" t="n"/>
      <c r="E30" s="14" t="n"/>
      <c r="F30" s="14" t="n"/>
      <c r="G30" s="14" t="n"/>
      <c r="H30" s="14" t="n"/>
      <c r="I30" s="14" t="n"/>
      <c r="J30" s="11" t="inlineStr">
        <is>
          <t>k = 0..130, ph = 2 pi j / 384; h = terrainHeight(x, z); normal by central differences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>
      <c r="A31" s="4" t="inlineStr">
        <is>
          <t>Grass blade</t>
        </is>
      </c>
      <c r="B31" s="11" t="inlineStr">
        <is>
          <t>p = (+-0.625 w(t), t - 0.5, 0), t in {0, 0.38, 0.72}; tip (0, 0.5, 0)</t>
        </is>
      </c>
      <c r="C31" s="14" t="n"/>
      <c r="D31" s="14" t="n"/>
      <c r="E31" s="14" t="n"/>
      <c r="F31" s="14" t="n"/>
      <c r="G31" s="14" t="n"/>
      <c r="H31" s="14" t="n"/>
      <c r="I31" s="14" t="n"/>
      <c r="J31" s="11" t="inlineStr">
        <is>
          <t>bent and scaled per instance in the vertex shader (wind, lean); one-sided strip</t>
        </is>
      </c>
      <c r="K31" s="14" t="n"/>
      <c r="L31" s="14" t="n"/>
      <c r="M31" s="14" t="n"/>
      <c r="N31" s="14" t="n"/>
      <c r="O31" s="14" t="n"/>
      <c r="P31" s="14" t="n"/>
      <c r="Q31" s="14" t="n"/>
    </row>
  </sheetData>
  <mergeCells count="17">
    <mergeCell ref="B22:H22"/>
    <mergeCell ref="B30:I30"/>
    <mergeCell ref="J26:Q26"/>
    <mergeCell ref="B26:I26"/>
    <mergeCell ref="B29:I29"/>
    <mergeCell ref="B31:I31"/>
    <mergeCell ref="B21:H21"/>
    <mergeCell ref="J30:Q30"/>
    <mergeCell ref="J29:Q29"/>
    <mergeCell ref="B28:I28"/>
    <mergeCell ref="J28:Q28"/>
    <mergeCell ref="B27:I27"/>
    <mergeCell ref="B19:H19"/>
    <mergeCell ref="B20:H20"/>
    <mergeCell ref="J27:Q27"/>
    <mergeCell ref="J31:Q31"/>
    <mergeCell ref="B23:H23"/>
  </mergeCells>
  <printOptions gridLines="0"/>
  <pageMargins left="0.4" right="0.4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T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N5" s="10" t="inlineStr">
        <is>
          <t>2. Parts per primitive (COUNTIFS over the part rows)</t>
        </is>
      </c>
    </row>
    <row r="6" ht="30" customHeight="1">
      <c r="A6" s="3" t="inlineStr">
        <is>
          <t>Object</t>
        </is>
      </c>
      <c r="B6" s="3" t="inlineStr">
        <is>
          <t>Cube</t>
        </is>
      </c>
      <c r="C6" s="3" t="inlineStr">
        <is>
          <t>Sphere</t>
        </is>
      </c>
      <c r="D6" s="3" t="inlineStr">
        <is>
          <t>Cylinder</t>
        </is>
      </c>
      <c r="E6" s="3" t="inlineStr">
        <is>
          <t>Cylinder (frustum)</t>
        </is>
      </c>
      <c r="F6" s="3" t="inlineStr">
        <is>
          <t>Cone</t>
        </is>
      </c>
      <c r="G6" s="3" t="inlineStr">
        <is>
          <t>Terrain disc</t>
        </is>
      </c>
      <c r="H6" s="3" t="inlineStr">
        <is>
          <t>parts (sum)</t>
        </is>
      </c>
      <c r="I6" s="3" t="inlineStr">
        <is>
          <t>parts export</t>
        </is>
      </c>
      <c r="J6" s="3" t="inlineStr">
        <is>
          <t>check</t>
        </is>
      </c>
      <c r="K6" s="3" t="inlineStr">
        <is>
          <t>groups</t>
        </is>
      </c>
      <c r="L6" s="3" t="inlineStr">
        <is>
          <t>animated nodes</t>
        </is>
      </c>
      <c r="N6" s="3" t="inlineStr">
        <is>
          <t>Primitive</t>
        </is>
      </c>
      <c r="O6" s="3" t="inlineStr">
        <is>
          <t>UAV-1 COUNTIFS</t>
        </is>
      </c>
      <c r="P6" s="3" t="inlineStr">
        <is>
          <t>UAV-1 export</t>
        </is>
      </c>
      <c r="Q6" s="3" t="inlineStr">
        <is>
          <t>check</t>
        </is>
      </c>
      <c r="R6" s="3" t="inlineStr">
        <is>
          <t>Soldier 1 COUNTIFS</t>
        </is>
      </c>
      <c r="S6" s="3" t="inlineStr">
        <is>
          <t>Soldier 1 export</t>
        </is>
      </c>
      <c r="T6" s="3" t="inlineStr">
        <is>
          <t>check</t>
        </is>
      </c>
    </row>
    <row r="7">
      <c r="A7" s="4" t="inlineStr">
        <is>
          <t>Terrain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>
        <f>SUM(B7:G7)</f>
        <v/>
      </c>
      <c r="I7" s="8" t="n">
        <v>1</v>
      </c>
      <c r="J7" s="15">
        <f>IF(H7=I7,"OK","DIFF")</f>
        <v/>
      </c>
      <c r="K7" s="8" t="n">
        <v>1</v>
      </c>
      <c r="L7" s="8" t="n">
        <v>0</v>
      </c>
      <c r="N7" s="4" t="inlineStr">
        <is>
          <t>Cube</t>
        </is>
      </c>
      <c r="O7" s="7">
        <f>COUNTIFS($C$45:$C$123,N7)</f>
        <v/>
      </c>
      <c r="P7" s="8" t="n">
        <v>34</v>
      </c>
      <c r="Q7" s="15">
        <f>IF(O7=P7,"OK","DIFF")</f>
        <v/>
      </c>
      <c r="R7" s="7">
        <f>COUNTIFS($C$128:$C$202,N7)</f>
        <v/>
      </c>
      <c r="S7" s="8" t="n">
        <v>16</v>
      </c>
      <c r="T7" s="15">
        <f>IF(R7=S7,"OK","DIFF")</f>
        <v/>
      </c>
    </row>
    <row r="8">
      <c r="A8" s="4" t="inlineStr">
        <is>
          <t>Backdrop</t>
        </is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>
        <f>SUM(B8:G8)</f>
        <v/>
      </c>
      <c r="I8" s="8" t="n">
        <v>120</v>
      </c>
      <c r="J8" s="15">
        <f>IF(H8=I8,"OK","DIFF")</f>
        <v/>
      </c>
      <c r="K8" s="8" t="n">
        <v>47</v>
      </c>
      <c r="L8" s="8" t="n">
        <v>3</v>
      </c>
      <c r="N8" s="4" t="inlineStr">
        <is>
          <t>Sphere</t>
        </is>
      </c>
      <c r="O8" s="7">
        <f>COUNTIFS($C$45:$C$123,N8)</f>
        <v/>
      </c>
      <c r="P8" s="8" t="n">
        <v>13</v>
      </c>
      <c r="Q8" s="15">
        <f>IF(O8=P8,"OK","DIFF")</f>
        <v/>
      </c>
      <c r="R8" s="7">
        <f>COUNTIFS($C$128:$C$202,N8)</f>
        <v/>
      </c>
      <c r="S8" s="8" t="n">
        <v>39</v>
      </c>
      <c r="T8" s="15">
        <f>IF(R8=S8,"OK","DIFF")</f>
        <v/>
      </c>
    </row>
    <row r="9">
      <c r="A9" s="4" t="inlineStr">
        <is>
          <t>Environment</t>
        </is>
      </c>
      <c r="B9" s="8" t="n">
        <v>46</v>
      </c>
      <c r="C9" s="8" t="n">
        <v>201</v>
      </c>
      <c r="D9" s="8" t="n">
        <v>237</v>
      </c>
      <c r="E9" s="8" t="n">
        <v>0</v>
      </c>
      <c r="F9" s="8" t="n">
        <v>168</v>
      </c>
      <c r="G9" s="8" t="n">
        <v>0</v>
      </c>
      <c r="H9" s="7">
        <f>SUM(B9:G9)</f>
        <v/>
      </c>
      <c r="I9" s="8" t="n">
        <v>652</v>
      </c>
      <c r="J9" s="15">
        <f>IF(H9=I9,"OK","DIFF")</f>
        <v/>
      </c>
      <c r="K9" s="8" t="n">
        <v>89</v>
      </c>
      <c r="L9" s="8" t="n">
        <v>2</v>
      </c>
      <c r="N9" s="4" t="inlineStr">
        <is>
          <t>Cylinder</t>
        </is>
      </c>
      <c r="O9" s="7">
        <f>COUNTIFS($C$45:$C$123,N9)</f>
        <v/>
      </c>
      <c r="P9" s="8" t="n">
        <v>27</v>
      </c>
      <c r="Q9" s="15">
        <f>IF(O9=P9,"OK","DIFF")</f>
        <v/>
      </c>
      <c r="R9" s="7">
        <f>COUNTIFS($C$128:$C$202,N9)</f>
        <v/>
      </c>
      <c r="S9" s="8" t="n">
        <v>20</v>
      </c>
      <c r="T9" s="15">
        <f>IF(R9=S9,"OK","DIFF")</f>
        <v/>
      </c>
    </row>
    <row r="10">
      <c r="A10" s="4" t="inlineStr">
        <is>
          <t>Command Bunker</t>
        </is>
      </c>
      <c r="B10" s="8" t="n">
        <v>309</v>
      </c>
      <c r="C10" s="8" t="n">
        <v>19</v>
      </c>
      <c r="D10" s="8" t="n">
        <v>99</v>
      </c>
      <c r="E10" s="8" t="n">
        <v>0</v>
      </c>
      <c r="F10" s="8" t="n">
        <v>0</v>
      </c>
      <c r="G10" s="8" t="n">
        <v>0</v>
      </c>
      <c r="H10" s="7">
        <f>SUM(B10:G10)</f>
        <v/>
      </c>
      <c r="I10" s="8" t="n">
        <v>427</v>
      </c>
      <c r="J10" s="15">
        <f>IF(H10=I10,"OK","DIFF")</f>
        <v/>
      </c>
      <c r="K10" s="8" t="n">
        <v>18</v>
      </c>
      <c r="L10" s="8" t="n">
        <v>18</v>
      </c>
      <c r="N10" s="4" t="inlineStr">
        <is>
          <t>Cylinder (frustum)</t>
        </is>
      </c>
      <c r="O10" s="7">
        <f>COUNTIFS($C$45:$C$123,N10)</f>
        <v/>
      </c>
      <c r="P10" s="8" t="n">
        <v>1</v>
      </c>
      <c r="Q10" s="15">
        <f>IF(O10=P10,"OK","DIFF")</f>
        <v/>
      </c>
      <c r="R10" s="7">
        <f>COUNTIFS($C$128:$C$202,N10)</f>
        <v/>
      </c>
      <c r="S10" s="8" t="n">
        <v>0</v>
      </c>
      <c r="T10" s="15">
        <f>IF(R10=S10,"OK","DIFF")</f>
        <v/>
      </c>
    </row>
    <row r="11">
      <c r="A11" s="4" t="inlineStr">
        <is>
          <t>Autonomous UAV</t>
        </is>
      </c>
      <c r="B11" s="8" t="n">
        <v>68</v>
      </c>
      <c r="C11" s="8" t="n">
        <v>26</v>
      </c>
      <c r="D11" s="8" t="n">
        <v>54</v>
      </c>
      <c r="E11" s="8" t="n">
        <v>2</v>
      </c>
      <c r="F11" s="8" t="n">
        <v>8</v>
      </c>
      <c r="G11" s="8" t="n">
        <v>0</v>
      </c>
      <c r="H11" s="7">
        <f>SUM(B11:G11)</f>
        <v/>
      </c>
      <c r="I11" s="8" t="n">
        <v>158</v>
      </c>
      <c r="J11" s="15">
        <f>IF(H11=I11,"OK","DIFF")</f>
        <v/>
      </c>
      <c r="K11" s="8" t="n">
        <v>34</v>
      </c>
      <c r="L11" s="8" t="n">
        <v>26</v>
      </c>
      <c r="N11" s="4" t="inlineStr">
        <is>
          <t>Cone</t>
        </is>
      </c>
      <c r="O11" s="7">
        <f>COUNTIFS($C$45:$C$123,N11)</f>
        <v/>
      </c>
      <c r="P11" s="8" t="n">
        <v>4</v>
      </c>
      <c r="Q11" s="15">
        <f>IF(O11=P11,"OK","DIFF")</f>
        <v/>
      </c>
      <c r="R11" s="7">
        <f>COUNTIFS($C$128:$C$202,N11)</f>
        <v/>
      </c>
      <c r="S11" s="8" t="n">
        <v>0</v>
      </c>
      <c r="T11" s="15">
        <f>IF(R11=S11,"OK","DIFF")</f>
        <v/>
      </c>
    </row>
    <row r="12">
      <c r="A12" s="4" t="inlineStr">
        <is>
          <t>Base</t>
        </is>
      </c>
      <c r="B12" s="8" t="n">
        <v>558</v>
      </c>
      <c r="C12" s="8" t="n">
        <v>41</v>
      </c>
      <c r="D12" s="8" t="n">
        <v>654</v>
      </c>
      <c r="E12" s="8" t="n">
        <v>0</v>
      </c>
      <c r="F12" s="8" t="n">
        <v>0</v>
      </c>
      <c r="G12" s="8" t="n">
        <v>0</v>
      </c>
      <c r="H12" s="7">
        <f>SUM(B12:G12)</f>
        <v/>
      </c>
      <c r="I12" s="8" t="n">
        <v>1253</v>
      </c>
      <c r="J12" s="15">
        <f>IF(H12=I12,"OK","DIFF")</f>
        <v/>
      </c>
      <c r="K12" s="8" t="n">
        <v>33</v>
      </c>
      <c r="L12" s="8" t="n">
        <v>0</v>
      </c>
      <c r="N12" s="4" t="inlineStr">
        <is>
          <t>Total parts</t>
        </is>
      </c>
      <c r="O12" s="7">
        <f>SUM(O7:O11)</f>
        <v/>
      </c>
      <c r="P12" s="7">
        <f>SUM(P7:P11)</f>
        <v/>
      </c>
      <c r="Q12" s="15">
        <f>IF(O12=P12,"OK","DIFF")</f>
        <v/>
      </c>
      <c r="R12" s="7">
        <f>SUM(R7:R11)</f>
        <v/>
      </c>
      <c r="S12" s="7">
        <f>SUM(S7:S11)</f>
        <v/>
      </c>
      <c r="T12" s="15">
        <f>IF(R12=S12,"OK","DIFF")</f>
        <v/>
      </c>
    </row>
    <row r="13">
      <c r="A13" s="4" t="inlineStr">
        <is>
          <t>Barracks hall</t>
        </is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>
        <f>SUM(B13:G13)</f>
        <v/>
      </c>
      <c r="I13" s="8" t="n">
        <v>277</v>
      </c>
      <c r="J13" s="15">
        <f>IF(H13=I13,"OK","DIFF")</f>
        <v/>
      </c>
      <c r="K13" s="8" t="n">
        <v>5</v>
      </c>
      <c r="L13" s="8" t="n">
        <v>1</v>
      </c>
    </row>
    <row r="14">
      <c r="A14" s="4" t="inlineStr">
        <is>
          <t>UAV pads</t>
        </is>
      </c>
      <c r="B14" s="8" t="n">
        <v>4</v>
      </c>
      <c r="C14" s="8" t="n">
        <v>8</v>
      </c>
      <c r="D14" s="8" t="n">
        <v>6</v>
      </c>
      <c r="E14" s="8" t="n">
        <v>0</v>
      </c>
      <c r="F14" s="8" t="n">
        <v>0</v>
      </c>
      <c r="G14" s="8" t="n">
        <v>0</v>
      </c>
      <c r="H14" s="7">
        <f>SUM(B14:G14)</f>
        <v/>
      </c>
      <c r="I14" s="8" t="n">
        <v>18</v>
      </c>
      <c r="J14" s="15">
        <f>IF(H14=I14,"OK","DIFF")</f>
        <v/>
      </c>
      <c r="K14" s="8" t="n">
        <v>3</v>
      </c>
      <c r="L14" s="8" t="n">
        <v>0</v>
      </c>
      <c r="N14" s="2" t="inlineStr">
        <is>
          <t>UAV-1 export = controllable 'UAV-1 DRONE' (root UAV-00);</t>
        </is>
      </c>
    </row>
    <row r="15">
      <c r="A15" s="4" t="inlineStr">
        <is>
          <t>Target Rover</t>
        </is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>
        <f>SUM(B15:G15)</f>
        <v/>
      </c>
      <c r="I15" s="8" t="n">
        <v>156</v>
      </c>
      <c r="J15" s="15">
        <f>IF(H15=I15,"OK","DIFF")</f>
        <v/>
      </c>
      <c r="K15" s="8" t="n">
        <v>12</v>
      </c>
      <c r="L15" s="8" t="n">
        <v>48</v>
      </c>
      <c r="N15" s="2" t="inlineStr">
        <is>
          <t>the object 'Autonomous UAV' below counts both UAVs.</t>
        </is>
      </c>
    </row>
    <row r="16">
      <c r="A16" s="4" t="inlineStr">
        <is>
          <t>Main Battle Tank</t>
        </is>
      </c>
      <c r="B16" s="8" t="n">
        <v>170</v>
      </c>
      <c r="C16" s="8" t="n">
        <v>5</v>
      </c>
      <c r="D16" s="8" t="n">
        <v>80</v>
      </c>
      <c r="E16" s="8" t="n">
        <v>0</v>
      </c>
      <c r="F16" s="8" t="n">
        <v>0</v>
      </c>
      <c r="G16" s="8" t="n">
        <v>0</v>
      </c>
      <c r="H16" s="7">
        <f>SUM(B16:G16)</f>
        <v/>
      </c>
      <c r="I16" s="8" t="n">
        <v>255</v>
      </c>
      <c r="J16" s="15">
        <f>IF(H16=I16,"OK","DIFF")</f>
        <v/>
      </c>
      <c r="K16" s="8" t="n">
        <v>29</v>
      </c>
      <c r="L16" s="8" t="n">
        <v>118</v>
      </c>
    </row>
    <row r="17">
      <c r="A17" s="4" t="inlineStr">
        <is>
          <t>Scout Helicopter</t>
        </is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>
        <f>SUM(B17:G17)</f>
        <v/>
      </c>
      <c r="I17" s="8" t="n">
        <v>91</v>
      </c>
      <c r="J17" s="15">
        <f>IF(H17=I17,"OK","DIFF")</f>
        <v/>
      </c>
      <c r="K17" s="8" t="n">
        <v>19</v>
      </c>
      <c r="L17" s="8" t="n">
        <v>17</v>
      </c>
    </row>
    <row r="18">
      <c r="A18" s="4" t="inlineStr">
        <is>
          <t>AA Gatling Gun</t>
        </is>
      </c>
      <c r="B18" s="8" t="n">
        <v>19</v>
      </c>
      <c r="C18" s="8" t="n">
        <v>5</v>
      </c>
      <c r="D18" s="8" t="n">
        <v>54</v>
      </c>
      <c r="E18" s="8" t="n">
        <v>0</v>
      </c>
      <c r="F18" s="8" t="n">
        <v>0</v>
      </c>
      <c r="G18" s="8" t="n">
        <v>0</v>
      </c>
      <c r="H18" s="7">
        <f>SUM(B18:G18)</f>
        <v/>
      </c>
      <c r="I18" s="8" t="n">
        <v>78</v>
      </c>
      <c r="J18" s="15">
        <f>IF(H18=I18,"OK","DIFF")</f>
        <v/>
      </c>
      <c r="K18" s="8" t="n">
        <v>5</v>
      </c>
      <c r="L18" s="8" t="n">
        <v>26</v>
      </c>
    </row>
    <row r="19">
      <c r="A19" s="4" t="inlineStr">
        <is>
          <t>Air-defence radar</t>
        </is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>
        <f>SUM(B19:G19)</f>
        <v/>
      </c>
      <c r="I19" s="8" t="n">
        <v>108</v>
      </c>
      <c r="J19" s="15">
        <f>IF(H19=I19,"OK","DIFF")</f>
        <v/>
      </c>
      <c r="K19" s="8" t="n">
        <v>4</v>
      </c>
      <c r="L19" s="8" t="n">
        <v>4</v>
      </c>
    </row>
    <row r="20">
      <c r="A20" s="4" t="inlineStr">
        <is>
          <t>SAM launcher</t>
        </is>
      </c>
      <c r="B20" s="8" t="n">
        <v>74</v>
      </c>
      <c r="C20" s="8" t="n">
        <v>5</v>
      </c>
      <c r="D20" s="8" t="n">
        <v>32</v>
      </c>
      <c r="E20" s="8" t="n">
        <v>0</v>
      </c>
      <c r="F20" s="8" t="n">
        <v>1</v>
      </c>
      <c r="G20" s="8" t="n">
        <v>0</v>
      </c>
      <c r="H20" s="7">
        <f>SUM(B20:G20)</f>
        <v/>
      </c>
      <c r="I20" s="8" t="n">
        <v>112</v>
      </c>
      <c r="J20" s="15">
        <f>IF(H20=I20,"OK","DIFF")</f>
        <v/>
      </c>
      <c r="K20" s="8" t="n">
        <v>9</v>
      </c>
      <c r="L20" s="8" t="n">
        <v>10</v>
      </c>
    </row>
    <row r="21">
      <c r="A21" s="4" t="inlineStr">
        <is>
          <t>MLRS rocket truck</t>
        </is>
      </c>
      <c r="B21" s="8" t="n">
        <v>45</v>
      </c>
      <c r="C21" s="8" t="n">
        <v>9</v>
      </c>
      <c r="D21" s="8" t="n">
        <v>76</v>
      </c>
      <c r="E21" s="8" t="n">
        <v>0</v>
      </c>
      <c r="F21" s="8" t="n">
        <v>6</v>
      </c>
      <c r="G21" s="8" t="n">
        <v>0</v>
      </c>
      <c r="H21" s="7">
        <f>SUM(B21:G21)</f>
        <v/>
      </c>
      <c r="I21" s="8" t="n">
        <v>136</v>
      </c>
      <c r="J21" s="15">
        <f>IF(H21=I21,"OK","DIFF")</f>
        <v/>
      </c>
      <c r="K21" s="8" t="n">
        <v>22</v>
      </c>
      <c r="L21" s="8" t="n">
        <v>28</v>
      </c>
    </row>
    <row r="22">
      <c r="A22" s="4" t="inlineStr">
        <is>
          <t>Main Battle Tank 2</t>
        </is>
      </c>
      <c r="B22" s="8" t="n">
        <v>170</v>
      </c>
      <c r="C22" s="8" t="n">
        <v>5</v>
      </c>
      <c r="D22" s="8" t="n">
        <v>80</v>
      </c>
      <c r="E22" s="8" t="n">
        <v>0</v>
      </c>
      <c r="F22" s="8" t="n">
        <v>0</v>
      </c>
      <c r="G22" s="8" t="n">
        <v>0</v>
      </c>
      <c r="H22" s="7">
        <f>SUM(B22:G22)</f>
        <v/>
      </c>
      <c r="I22" s="8" t="n">
        <v>255</v>
      </c>
      <c r="J22" s="15">
        <f>IF(H22=I22,"OK","DIFF")</f>
        <v/>
      </c>
      <c r="K22" s="8" t="n">
        <v>29</v>
      </c>
      <c r="L22" s="8" t="n">
        <v>118</v>
      </c>
    </row>
    <row r="23">
      <c r="A23" s="4" t="inlineStr">
        <is>
          <t>Main Battle Tank 3</t>
        </is>
      </c>
      <c r="B23" s="8" t="n">
        <v>170</v>
      </c>
      <c r="C23" s="8" t="n">
        <v>5</v>
      </c>
      <c r="D23" s="8" t="n">
        <v>80</v>
      </c>
      <c r="E23" s="8" t="n">
        <v>0</v>
      </c>
      <c r="F23" s="8" t="n">
        <v>0</v>
      </c>
      <c r="G23" s="8" t="n">
        <v>0</v>
      </c>
      <c r="H23" s="7">
        <f>SUM(B23:G23)</f>
        <v/>
      </c>
      <c r="I23" s="8" t="n">
        <v>255</v>
      </c>
      <c r="J23" s="15">
        <f>IF(H23=I23,"OK","DIFF")</f>
        <v/>
      </c>
      <c r="K23" s="8" t="n">
        <v>29</v>
      </c>
      <c r="L23" s="8" t="n">
        <v>118</v>
      </c>
    </row>
    <row r="24">
      <c r="A24" s="4" t="inlineStr">
        <is>
          <t>Ammunition bunker</t>
        </is>
      </c>
      <c r="B24" s="8" t="n">
        <v>19</v>
      </c>
      <c r="C24" s="8" t="n">
        <v>10</v>
      </c>
      <c r="D24" s="8" t="n">
        <v>14</v>
      </c>
      <c r="E24" s="8" t="n">
        <v>0</v>
      </c>
      <c r="F24" s="8" t="n">
        <v>0</v>
      </c>
      <c r="G24" s="8" t="n">
        <v>0</v>
      </c>
      <c r="H24" s="7">
        <f>SUM(B24:G24)</f>
        <v/>
      </c>
      <c r="I24" s="8" t="n">
        <v>43</v>
      </c>
      <c r="J24" s="15">
        <f>IF(H24=I24,"OK","DIFF")</f>
        <v/>
      </c>
      <c r="K24" s="8" t="n">
        <v>2</v>
      </c>
      <c r="L24" s="8" t="n">
        <v>0</v>
      </c>
    </row>
    <row r="25">
      <c r="A25" s="4" t="inlineStr">
        <is>
          <t>Camp camouflage</t>
        </is>
      </c>
      <c r="B25" s="8" t="n">
        <v>277</v>
      </c>
      <c r="C25" s="8" t="n">
        <v>48</v>
      </c>
      <c r="D25" s="8" t="n">
        <v>309</v>
      </c>
      <c r="E25" s="8" t="n">
        <v>0</v>
      </c>
      <c r="F25" s="8" t="n">
        <v>24</v>
      </c>
      <c r="G25" s="8" t="n">
        <v>0</v>
      </c>
      <c r="H25" s="7">
        <f>SUM(B25:G25)</f>
        <v/>
      </c>
      <c r="I25" s="8" t="n">
        <v>658</v>
      </c>
      <c r="J25" s="15">
        <f>IF(H25=I25,"OK","DIFF")</f>
        <v/>
      </c>
      <c r="K25" s="8" t="n">
        <v>21</v>
      </c>
      <c r="L25" s="8" t="n">
        <v>0</v>
      </c>
    </row>
    <row r="26">
      <c r="A26" s="4" t="inlineStr">
        <is>
          <t>Boom barrier</t>
        </is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>
        <f>SUM(B26:G26)</f>
        <v/>
      </c>
      <c r="I26" s="8" t="n">
        <v>20</v>
      </c>
      <c r="J26" s="15">
        <f>IF(H26=I26,"OK","DIFF")</f>
        <v/>
      </c>
      <c r="K26" s="8" t="n">
        <v>2</v>
      </c>
      <c r="L26" s="8" t="n">
        <v>2</v>
      </c>
    </row>
    <row r="27">
      <c r="A27" s="4" t="inlineStr">
        <is>
          <t>Windsock</t>
        </is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>
        <f>SUM(B27:G27)</f>
        <v/>
      </c>
      <c r="I27" s="8" t="n">
        <v>15</v>
      </c>
      <c r="J27" s="15">
        <f>IF(H27=I27,"OK","DIFF")</f>
        <v/>
      </c>
      <c r="K27" s="8" t="n">
        <v>7</v>
      </c>
      <c r="L27" s="8" t="n">
        <v>6</v>
      </c>
    </row>
    <row r="28">
      <c r="A28" s="4" t="inlineStr">
        <is>
          <t>Flag</t>
        </is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>
        <f>SUM(B28:G28)</f>
        <v/>
      </c>
      <c r="I28" s="8" t="n">
        <v>47</v>
      </c>
      <c r="J28" s="15">
        <f>IF(H28=I28,"OK","DIFF")</f>
        <v/>
      </c>
      <c r="K28" s="8" t="n">
        <v>14</v>
      </c>
      <c r="L28" s="8" t="n">
        <v>13</v>
      </c>
    </row>
    <row r="29">
      <c r="A29" s="4" t="inlineStr">
        <is>
          <t>Soldier 1</t>
        </is>
      </c>
      <c r="B29" s="8" t="n">
        <v>16</v>
      </c>
      <c r="C29" s="8" t="n">
        <v>39</v>
      </c>
      <c r="D29" s="8" t="n">
        <v>20</v>
      </c>
      <c r="E29" s="8" t="n">
        <v>0</v>
      </c>
      <c r="F29" s="8" t="n">
        <v>0</v>
      </c>
      <c r="G29" s="8" t="n">
        <v>0</v>
      </c>
      <c r="H29" s="7">
        <f>SUM(B29:G29)</f>
        <v/>
      </c>
      <c r="I29" s="8" t="n">
        <v>75</v>
      </c>
      <c r="J29" s="15">
        <f>IF(H29=I29,"OK","DIFF")</f>
        <v/>
      </c>
      <c r="K29" s="8" t="n">
        <v>20</v>
      </c>
      <c r="L29" s="8" t="n">
        <v>15</v>
      </c>
    </row>
    <row r="30">
      <c r="A30" s="4" t="inlineStr">
        <is>
          <t>Soldier 2</t>
        </is>
      </c>
      <c r="B30" s="8" t="n">
        <v>16</v>
      </c>
      <c r="C30" s="8" t="n">
        <v>39</v>
      </c>
      <c r="D30" s="8" t="n">
        <v>20</v>
      </c>
      <c r="E30" s="8" t="n">
        <v>0</v>
      </c>
      <c r="F30" s="8" t="n">
        <v>0</v>
      </c>
      <c r="G30" s="8" t="n">
        <v>0</v>
      </c>
      <c r="H30" s="7">
        <f>SUM(B30:G30)</f>
        <v/>
      </c>
      <c r="I30" s="8" t="n">
        <v>75</v>
      </c>
      <c r="J30" s="15">
        <f>IF(H30=I30,"OK","DIFF")</f>
        <v/>
      </c>
      <c r="K30" s="8" t="n">
        <v>20</v>
      </c>
      <c r="L30" s="8" t="n">
        <v>15</v>
      </c>
    </row>
    <row r="31">
      <c r="A31" s="4" t="inlineStr">
        <is>
          <t>Soldier 3</t>
        </is>
      </c>
      <c r="B31" s="8" t="n">
        <v>16</v>
      </c>
      <c r="C31" s="8" t="n">
        <v>39</v>
      </c>
      <c r="D31" s="8" t="n">
        <v>20</v>
      </c>
      <c r="E31" s="8" t="n">
        <v>0</v>
      </c>
      <c r="F31" s="8" t="n">
        <v>0</v>
      </c>
      <c r="G31" s="8" t="n">
        <v>0</v>
      </c>
      <c r="H31" s="7">
        <f>SUM(B31:G31)</f>
        <v/>
      </c>
      <c r="I31" s="8" t="n">
        <v>75</v>
      </c>
      <c r="J31" s="15">
        <f>IF(H31=I31,"OK","DIFF")</f>
        <v/>
      </c>
      <c r="K31" s="8" t="n">
        <v>20</v>
      </c>
      <c r="L31" s="8" t="n">
        <v>15</v>
      </c>
    </row>
    <row r="32">
      <c r="A32" s="4" t="inlineStr">
        <is>
          <t>Soldier 4</t>
        </is>
      </c>
      <c r="B32" s="8" t="n">
        <v>16</v>
      </c>
      <c r="C32" s="8" t="n">
        <v>39</v>
      </c>
      <c r="D32" s="8" t="n">
        <v>20</v>
      </c>
      <c r="E32" s="8" t="n">
        <v>0</v>
      </c>
      <c r="F32" s="8" t="n">
        <v>0</v>
      </c>
      <c r="G32" s="8" t="n">
        <v>0</v>
      </c>
      <c r="H32" s="7">
        <f>SUM(B32:G32)</f>
        <v/>
      </c>
      <c r="I32" s="8" t="n">
        <v>75</v>
      </c>
      <c r="J32" s="15">
        <f>IF(H32=I32,"OK","DIFF")</f>
        <v/>
      </c>
      <c r="K32" s="8" t="n">
        <v>20</v>
      </c>
      <c r="L32" s="8" t="n">
        <v>15</v>
      </c>
    </row>
    <row r="33">
      <c r="A33" s="4" t="inlineStr">
        <is>
          <t>Soldier 5</t>
        </is>
      </c>
      <c r="B33" s="8" t="n">
        <v>16</v>
      </c>
      <c r="C33" s="8" t="n">
        <v>39</v>
      </c>
      <c r="D33" s="8" t="n">
        <v>20</v>
      </c>
      <c r="E33" s="8" t="n">
        <v>0</v>
      </c>
      <c r="F33" s="8" t="n">
        <v>0</v>
      </c>
      <c r="G33" s="8" t="n">
        <v>0</v>
      </c>
      <c r="H33" s="7">
        <f>SUM(B33:G33)</f>
        <v/>
      </c>
      <c r="I33" s="8" t="n">
        <v>75</v>
      </c>
      <c r="J33" s="15">
        <f>IF(H33=I33,"OK","DIFF")</f>
        <v/>
      </c>
      <c r="K33" s="8" t="n">
        <v>20</v>
      </c>
      <c r="L33" s="8" t="n">
        <v>15</v>
      </c>
    </row>
    <row r="34">
      <c r="A34" s="4" t="inlineStr">
        <is>
          <t>Soldier 6</t>
        </is>
      </c>
      <c r="B34" s="8" t="n">
        <v>16</v>
      </c>
      <c r="C34" s="8" t="n">
        <v>39</v>
      </c>
      <c r="D34" s="8" t="n">
        <v>20</v>
      </c>
      <c r="E34" s="8" t="n">
        <v>0</v>
      </c>
      <c r="F34" s="8" t="n">
        <v>0</v>
      </c>
      <c r="G34" s="8" t="n">
        <v>0</v>
      </c>
      <c r="H34" s="7">
        <f>SUM(B34:G34)</f>
        <v/>
      </c>
      <c r="I34" s="8" t="n">
        <v>75</v>
      </c>
      <c r="J34" s="15">
        <f>IF(H34=I34,"OK","DIFF")</f>
        <v/>
      </c>
      <c r="K34" s="8" t="n">
        <v>20</v>
      </c>
      <c r="L34" s="8" t="n">
        <v>15</v>
      </c>
    </row>
    <row r="35">
      <c r="A35" s="4" t="inlineStr">
        <is>
          <t>Soldier 7</t>
        </is>
      </c>
      <c r="B35" s="8" t="n">
        <v>16</v>
      </c>
      <c r="C35" s="8" t="n">
        <v>39</v>
      </c>
      <c r="D35" s="8" t="n">
        <v>20</v>
      </c>
      <c r="E35" s="8" t="n">
        <v>0</v>
      </c>
      <c r="F35" s="8" t="n">
        <v>0</v>
      </c>
      <c r="G35" s="8" t="n">
        <v>0</v>
      </c>
      <c r="H35" s="7">
        <f>SUM(B35:G35)</f>
        <v/>
      </c>
      <c r="I35" s="8" t="n">
        <v>75</v>
      </c>
      <c r="J35" s="15">
        <f>IF(H35=I35,"OK","DIFF")</f>
        <v/>
      </c>
      <c r="K35" s="8" t="n">
        <v>20</v>
      </c>
      <c r="L35" s="8" t="n">
        <v>15</v>
      </c>
    </row>
    <row r="36">
      <c r="A36" s="4" t="inlineStr">
        <is>
          <t>Soldier 8</t>
        </is>
      </c>
      <c r="B36" s="8" t="n">
        <v>16</v>
      </c>
      <c r="C36" s="8" t="n">
        <v>39</v>
      </c>
      <c r="D36" s="8" t="n">
        <v>20</v>
      </c>
      <c r="E36" s="8" t="n">
        <v>0</v>
      </c>
      <c r="F36" s="8" t="n">
        <v>0</v>
      </c>
      <c r="G36" s="8" t="n">
        <v>0</v>
      </c>
      <c r="H36" s="7">
        <f>SUM(B36:G36)</f>
        <v/>
      </c>
      <c r="I36" s="8" t="n">
        <v>75</v>
      </c>
      <c r="J36" s="15">
        <f>IF(H36=I36,"OK","DIFF")</f>
        <v/>
      </c>
      <c r="K36" s="8" t="n">
        <v>20</v>
      </c>
      <c r="L36" s="8" t="n">
        <v>15</v>
      </c>
    </row>
    <row r="37">
      <c r="A37" s="4" t="inlineStr">
        <is>
          <t>Sky Clock</t>
        </is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>
        <f>SUM(B37:G37)</f>
        <v/>
      </c>
      <c r="I37" s="8" t="n">
        <v>1</v>
      </c>
      <c r="J37" s="15">
        <f>IF(H37=I37,"OK","DIFF")</f>
        <v/>
      </c>
      <c r="K37" s="8" t="n">
        <v>1</v>
      </c>
      <c r="L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K38" s="7">
        <f>SUM(K7:K37)</f>
        <v/>
      </c>
      <c r="L38" s="7">
        <f>SUM(L7:L37)</f>
        <v/>
      </c>
    </row>
    <row r="39">
      <c r="A39" s="4" t="inlineStr">
        <is>
          <t>Instances (export)</t>
        </is>
      </c>
      <c r="B39" s="8" t="n">
        <v>2478</v>
      </c>
      <c r="C39" s="8" t="n">
        <v>826</v>
      </c>
      <c r="D39" s="8" t="n">
        <v>2133</v>
      </c>
      <c r="E39" s="8" t="n">
        <v>3</v>
      </c>
      <c r="F39" s="8" t="n">
        <v>295</v>
      </c>
      <c r="G39" s="8" t="n">
        <v>1</v>
      </c>
      <c r="H39" s="7">
        <f>SUM(B39:G39)</f>
        <v/>
      </c>
      <c r="I39" s="8" t="n">
        <v>5736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Cylinder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0.01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Cylinder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0.01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Cylinder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0.01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Cylinder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0.01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Sphere</t>
        </is>
      </c>
      <c r="D149" s="5" t="inlineStr">
        <is>
          <t>Chest (SLD1-24)</t>
        </is>
      </c>
      <c r="E149" s="16" t="n">
        <v>0.4408</v>
      </c>
      <c r="F149" s="16" t="n">
        <v>0.35</v>
      </c>
      <c r="G149" s="16" t="n">
        <v>0.26</v>
      </c>
      <c r="H149" s="16" t="n">
        <v>0</v>
      </c>
      <c r="I149" s="16" t="n">
        <v>0</v>
      </c>
      <c r="J149" s="16" t="n">
        <v>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Sphere</t>
        </is>
      </c>
      <c r="D167" s="5" t="inlineStr">
        <is>
          <t>Head (SLD1-39)</t>
        </is>
      </c>
      <c r="E167" s="16" t="n">
        <v>0.245</v>
      </c>
      <c r="F167" s="16" t="n">
        <v>0.19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0.145</v>
      </c>
      <c r="M167" s="16" t="n">
        <v>-0.01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fitToHeight="0" fitToWidth="1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2" t="n"/>
      <c r="D5" s="12" t="n"/>
      <c r="E5" s="12" t="n"/>
      <c r="F5" s="12" t="n"/>
      <c r="G5" s="12" t="n"/>
      <c r="H5" s="12" t="n"/>
      <c r="I5" s="13" t="n"/>
      <c r="K5" s="4" t="inlineStr">
        <is>
          <t>Parent</t>
        </is>
      </c>
      <c r="L5" s="13" t="n"/>
      <c r="M5" s="5" t="inlineStr">
        <is>
          <t>UAV-00 Autonomous UAV (root, R = (0, 180, 0), T = (0, 7.5, 12.5))</t>
        </is>
      </c>
      <c r="N5" s="12" t="n"/>
      <c r="O5" s="12" t="n"/>
      <c r="P5" s="12" t="n"/>
      <c r="Q5" s="12" t="n"/>
      <c r="R5" s="12" t="n"/>
      <c r="S5" s="12" t="n"/>
      <c r="T5" s="13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17" t="n">
        <v>0</v>
      </c>
      <c r="D13" s="17" t="n">
        <v>0</v>
      </c>
      <c r="E13" s="17" t="n">
        <v>0</v>
      </c>
      <c r="G13" s="17" t="n">
        <v>1</v>
      </c>
      <c r="H13" s="17" t="n">
        <v>0</v>
      </c>
      <c r="I13" s="17" t="n">
        <v>0</v>
      </c>
      <c r="J13" s="17" t="n">
        <v>0</v>
      </c>
      <c r="L13" s="15">
        <f>COS(RADIANS($C$8))</f>
        <v/>
      </c>
      <c r="M13" s="17" t="n">
        <v>0</v>
      </c>
      <c r="N13" s="15">
        <f>SIN(RADIANS($C$8))</f>
        <v/>
      </c>
      <c r="O13" s="17" t="n">
        <v>0</v>
      </c>
      <c r="Q13" s="15">
        <f>COS(RADIANS($D$8))</f>
        <v/>
      </c>
      <c r="R13" s="15">
        <f>-SIN(RADIANS($D$8))</f>
        <v/>
      </c>
      <c r="S13" s="17" t="n">
        <v>0</v>
      </c>
      <c r="T13" s="17" t="n">
        <v>0</v>
      </c>
    </row>
    <row r="14">
      <c r="B14" s="17" t="n">
        <v>0</v>
      </c>
      <c r="C14" s="15">
        <f>$C$7</f>
        <v/>
      </c>
      <c r="D14" s="17" t="n">
        <v>0</v>
      </c>
      <c r="E14" s="17" t="n">
        <v>0</v>
      </c>
      <c r="G14" s="17" t="n">
        <v>0</v>
      </c>
      <c r="H14" s="15">
        <f>COS(RADIANS($B$8))</f>
        <v/>
      </c>
      <c r="I14" s="15">
        <f>-SIN(RADIANS($B$8))</f>
        <v/>
      </c>
      <c r="J14" s="17" t="n">
        <v>0</v>
      </c>
      <c r="L14" s="17" t="n">
        <v>0</v>
      </c>
      <c r="M14" s="17" t="n">
        <v>1</v>
      </c>
      <c r="N14" s="17" t="n">
        <v>0</v>
      </c>
      <c r="O14" s="17" t="n">
        <v>0</v>
      </c>
      <c r="Q14" s="15">
        <f>SIN(RADIANS($D$8))</f>
        <v/>
      </c>
      <c r="R14" s="15">
        <f>COS(RADIANS($D$8))</f>
        <v/>
      </c>
      <c r="S14" s="17" t="n">
        <v>0</v>
      </c>
      <c r="T14" s="17" t="n">
        <v>0</v>
      </c>
    </row>
    <row r="15">
      <c r="B15" s="17" t="n">
        <v>0</v>
      </c>
      <c r="C15" s="17" t="n">
        <v>0</v>
      </c>
      <c r="D15" s="15">
        <f>$D$7</f>
        <v/>
      </c>
      <c r="E15" s="17" t="n">
        <v>0</v>
      </c>
      <c r="G15" s="17" t="n">
        <v>0</v>
      </c>
      <c r="H15" s="15">
        <f>SIN(RADIANS($B$8))</f>
        <v/>
      </c>
      <c r="I15" s="15">
        <f>COS(RADIANS($B$8))</f>
        <v/>
      </c>
      <c r="J15" s="17" t="n">
        <v>0</v>
      </c>
      <c r="L15" s="15">
        <f>-SIN(RADIANS($C$8))</f>
        <v/>
      </c>
      <c r="M15" s="17" t="n">
        <v>0</v>
      </c>
      <c r="N15" s="15">
        <f>COS(RADIANS($C$8))</f>
        <v/>
      </c>
      <c r="O15" s="17" t="n">
        <v>0</v>
      </c>
      <c r="Q15" s="17" t="n">
        <v>0</v>
      </c>
      <c r="R15" s="17" t="n">
        <v>0</v>
      </c>
      <c r="S15" s="17" t="n">
        <v>1</v>
      </c>
      <c r="T15" s="17" t="n">
        <v>0</v>
      </c>
    </row>
    <row r="16">
      <c r="B16" s="17" t="n">
        <v>0</v>
      </c>
      <c r="C16" s="17" t="n">
        <v>0</v>
      </c>
      <c r="D16" s="17" t="n">
        <v>0</v>
      </c>
      <c r="E16" s="17" t="n">
        <v>1</v>
      </c>
      <c r="G16" s="17" t="n">
        <v>0</v>
      </c>
      <c r="H16" s="17" t="n">
        <v>0</v>
      </c>
      <c r="I16" s="17" t="n">
        <v>0</v>
      </c>
      <c r="J16" s="17" t="n">
        <v>1</v>
      </c>
      <c r="L16" s="17" t="n">
        <v>0</v>
      </c>
      <c r="M16" s="17" t="n">
        <v>0</v>
      </c>
      <c r="N16" s="17" t="n">
        <v>0</v>
      </c>
      <c r="O16" s="17" t="n">
        <v>1</v>
      </c>
      <c r="Q16" s="17" t="n">
        <v>0</v>
      </c>
      <c r="R16" s="17" t="n">
        <v>0</v>
      </c>
      <c r="S16" s="17" t="n">
        <v>0</v>
      </c>
      <c r="T16" s="1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17" t="n">
        <v>1</v>
      </c>
      <c r="C19" s="17" t="n">
        <v>0</v>
      </c>
      <c r="D19" s="1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17" t="n">
        <v>0</v>
      </c>
      <c r="C20" s="17" t="n">
        <v>1</v>
      </c>
      <c r="D20" s="1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17" t="n">
        <v>0</v>
      </c>
      <c r="C21" s="17" t="n">
        <v>0</v>
      </c>
      <c r="D21" s="1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17" t="n">
        <v>0</v>
      </c>
      <c r="C22" s="17" t="n">
        <v>0</v>
      </c>
      <c r="D22" s="17" t="n">
        <v>0</v>
      </c>
      <c r="E22" s="1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18" t="n">
        <v>0.01767767</v>
      </c>
      <c r="H25" s="9" t="n">
        <v>0</v>
      </c>
      <c r="I25" s="18" t="n">
        <v>-0.155563489</v>
      </c>
      <c r="J25" s="1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1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1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1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18" t="n">
        <v>0.01767767</v>
      </c>
      <c r="H27" s="9" t="n">
        <v>0</v>
      </c>
      <c r="I27" s="18" t="n">
        <v>0.155563489</v>
      </c>
      <c r="J27" s="1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18" t="n">
        <v>8.7e-08</v>
      </c>
      <c r="R27" s="9" t="n">
        <v>0</v>
      </c>
      <c r="S27" s="9" t="n">
        <v>-1</v>
      </c>
      <c r="T27" s="1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18" t="n">
        <v>-0.017677672</v>
      </c>
      <c r="H31" s="9" t="n">
        <v>0</v>
      </c>
      <c r="I31" s="18" t="n">
        <v>0.155563474</v>
      </c>
      <c r="J31" s="1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18" t="n">
        <v>0.017999999</v>
      </c>
      <c r="I32" s="9" t="n">
        <v>0</v>
      </c>
      <c r="J32" s="1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18" t="n">
        <v>-0.017677669</v>
      </c>
      <c r="H33" s="9" t="n">
        <v>0</v>
      </c>
      <c r="I33" s="18" t="n">
        <v>-0.155563504</v>
      </c>
      <c r="J33" s="1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2" t="n"/>
      <c r="I37" s="12" t="n"/>
      <c r="J37" s="13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2" t="n"/>
      <c r="S37" s="13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2" t="n"/>
      <c r="I38" s="12" t="n"/>
      <c r="J38" s="13" t="n"/>
      <c r="L38" s="19">
        <f>B10</f>
        <v/>
      </c>
      <c r="M38" s="19">
        <f>C10</f>
        <v/>
      </c>
      <c r="N38" s="19">
        <f>D10</f>
        <v/>
      </c>
      <c r="O38" s="19">
        <f>E10</f>
        <v/>
      </c>
      <c r="Q38" s="4" t="inlineStr">
        <is>
          <t>max |M - export|</t>
        </is>
      </c>
      <c r="R38" s="12" t="n"/>
      <c r="S38" s="13" t="n"/>
      <c r="T38" s="20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2" t="n"/>
      <c r="I39" s="12" t="n"/>
      <c r="J39" s="13" t="n"/>
      <c r="L39" s="19">
        <f>B31*L38+C31*M38+D31*N38+E31*O38</f>
        <v/>
      </c>
      <c r="M39" s="19">
        <f>B32*L38+C32*M38+D32*N38+E32*O38</f>
        <v/>
      </c>
      <c r="N39" s="19">
        <f>B33*L38+C33*M38+D33*N38+E33*O38</f>
        <v/>
      </c>
      <c r="O39" s="19">
        <f>B34*L38+C34*M38+D34*N38+E34*O38</f>
        <v/>
      </c>
      <c r="Q39" s="4" t="inlineStr">
        <is>
          <t>max |World - export|</t>
        </is>
      </c>
      <c r="R39" s="12" t="n"/>
      <c r="S39" s="13" t="n"/>
      <c r="T39" s="20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2" t="n"/>
      <c r="I40" s="12" t="n"/>
      <c r="J40" s="13" t="n"/>
      <c r="L40" s="19">
        <f>Q31*L39+R31*M39+S31*N39+T31*O39</f>
        <v/>
      </c>
      <c r="M40" s="19">
        <f>Q32*L39+R32*M39+S32*N39+T32*O39</f>
        <v/>
      </c>
      <c r="N40" s="19">
        <f>Q33*L39+R33*M39+S33*N39+T33*O39</f>
        <v/>
      </c>
      <c r="O40" s="19">
        <f>Q34*L39+R34*M39+S34*N39+T34*O39</f>
        <v/>
      </c>
      <c r="Q40" s="4" t="inlineStr">
        <is>
          <t>inside clip volume |x|,|y|,|z| &lt;= w</t>
        </is>
      </c>
      <c r="R40" s="12" t="n"/>
      <c r="S40" s="13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2" t="n"/>
      <c r="I41" s="12" t="n"/>
      <c r="J41" s="13" t="n"/>
      <c r="L41" s="19">
        <f>B37*L40+C37*M40+D37*N40+E37*O40</f>
        <v/>
      </c>
      <c r="M41" s="19">
        <f>B38*L40+C38*M40+D38*N40+E38*O40</f>
        <v/>
      </c>
      <c r="N41" s="19">
        <f>B39*L40+C39*M40+D39*N40+E39*O40</f>
        <v/>
      </c>
      <c r="O41" s="19">
        <f>B40*L40+C40*M40+D40*N40+E40*O40</f>
        <v/>
      </c>
      <c r="Q41" s="4" t="inlineStr">
        <is>
          <t>eye-space distance -z_eye (m)</t>
        </is>
      </c>
      <c r="R41" s="12" t="n"/>
      <c r="S41" s="13" t="n"/>
      <c r="T41" s="15">
        <f>-N40</f>
        <v/>
      </c>
    </row>
    <row r="42">
      <c r="G42" s="4" t="inlineStr">
        <is>
          <t>NDC = clip / w</t>
        </is>
      </c>
      <c r="H42" s="12" t="n"/>
      <c r="I42" s="12" t="n"/>
      <c r="J42" s="13" t="n"/>
      <c r="L42" s="19">
        <f>L41/O41</f>
        <v/>
      </c>
      <c r="M42" s="19">
        <f>M41/O41</f>
        <v/>
      </c>
      <c r="N42" s="19">
        <f>N41/O41</f>
        <v/>
      </c>
      <c r="O42" s="19">
        <f>O41/O41</f>
        <v/>
      </c>
    </row>
    <row r="43">
      <c r="G43" s="4" t="inlineStr">
        <is>
          <t>window (x px, y px top-left, depth, -)</t>
        </is>
      </c>
      <c r="H43" s="12" t="n"/>
      <c r="I43" s="12" t="n"/>
      <c r="J43" s="13" t="n"/>
      <c r="L43" s="19">
        <f>(L42*0.5+0.5)*'View_Projection'!$B$12</f>
        <v/>
      </c>
      <c r="M43" s="19">
        <f>(1-(M42*0.5+0.5))*'View_Projection'!$B$13</f>
        <v/>
      </c>
      <c r="N43" s="19">
        <f>N42*0.5+0.5</f>
        <v/>
      </c>
      <c r="O43" s="11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19">
        <f>((-($B$15+$B$14)/($B$15-$B$14))*G6+(-2*$B$15*$B$14/($B$15-$B$14)))/(-G6)</f>
        <v/>
      </c>
      <c r="I6" s="19">
        <f>0.5*H6+0.5</f>
        <v/>
      </c>
      <c r="J6" s="21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19">
        <f>((-($B$15+$B$14)/($B$15-$B$14))*G7+(-2*$B$15*$B$14/($B$15-$B$14)))/(-G7)</f>
        <v/>
      </c>
      <c r="I7" s="19">
        <f>0.5*H7+0.5</f>
        <v/>
      </c>
      <c r="J7" s="21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19">
        <f>((-($B$15+$B$14)/($B$15-$B$14))*G8+(-2*$B$15*$B$14/($B$15-$B$14)))/(-G8)</f>
        <v/>
      </c>
      <c r="I8" s="19">
        <f>0.5*H8+0.5</f>
        <v/>
      </c>
      <c r="J8" s="21">
        <f>(1/(2^24-1))*($B$15-$B$14)*G8^2/($B$15*$B$14)</f>
        <v/>
      </c>
      <c r="K8" s="19">
        <f>((-($B$15+$B$16)/($B$15-$B$16))*G8+(-2*$B$15*$B$16/($B$15-$B$16)))/(-G8)</f>
        <v/>
      </c>
      <c r="L8" s="19">
        <f>0.5*K8+0.5</f>
        <v/>
      </c>
      <c r="M8" s="21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19">
        <f>((-($B$15+$B$14)/($B$15-$B$14))*G9+(-2*$B$15*$B$14/($B$15-$B$14)))/(-G9)</f>
        <v/>
      </c>
      <c r="I9" s="19">
        <f>0.5*H9+0.5</f>
        <v/>
      </c>
      <c r="J9" s="21">
        <f>(1/(2^24-1))*($B$15-$B$14)*G9^2/($B$15*$B$14)</f>
        <v/>
      </c>
      <c r="K9" s="19">
        <f>((-($B$15+$B$16)/($B$15-$B$16))*G9+(-2*$B$15*$B$16/($B$15-$B$16)))/(-G9)</f>
        <v/>
      </c>
      <c r="L9" s="19">
        <f>0.5*K9+0.5</f>
        <v/>
      </c>
      <c r="M9" s="21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19">
        <f>((-($B$15+$B$14)/($B$15-$B$14))*G10+(-2*$B$15*$B$14/($B$15-$B$14)))/(-G10)</f>
        <v/>
      </c>
      <c r="I10" s="19">
        <f>0.5*H10+0.5</f>
        <v/>
      </c>
      <c r="J10" s="21">
        <f>(1/(2^24-1))*($B$15-$B$14)*G10^2/($B$15*$B$14)</f>
        <v/>
      </c>
      <c r="K10" s="19">
        <f>((-($B$15+$B$16)/($B$15-$B$16))*G10+(-2*$B$15*$B$16/($B$15-$B$16)))/(-G10)</f>
        <v/>
      </c>
      <c r="L10" s="19">
        <f>0.5*K10+0.5</f>
        <v/>
      </c>
      <c r="M10" s="21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19">
        <f>((-($B$15+$B$14)/($B$15-$B$14))*G11+(-2*$B$15*$B$14/($B$15-$B$14)))/(-G11)</f>
        <v/>
      </c>
      <c r="I11" s="19">
        <f>0.5*H11+0.5</f>
        <v/>
      </c>
      <c r="J11" s="21">
        <f>(1/(2^24-1))*($B$15-$B$14)*G11^2/($B$15*$B$14)</f>
        <v/>
      </c>
      <c r="K11" s="19">
        <f>((-($B$15+$B$16)/($B$15-$B$16))*G11+(-2*$B$15*$B$16/($B$15-$B$16)))/(-G11)</f>
        <v/>
      </c>
      <c r="L11" s="19">
        <f>0.5*K11+0.5</f>
        <v/>
      </c>
      <c r="M11" s="21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19">
        <f>((-($B$15+$B$14)/($B$15-$B$14))*G12+(-2*$B$15*$B$14/($B$15-$B$14)))/(-G12)</f>
        <v/>
      </c>
      <c r="I12" s="19">
        <f>0.5*H12+0.5</f>
        <v/>
      </c>
      <c r="J12" s="21">
        <f>(1/(2^24-1))*($B$15-$B$14)*G12^2/($B$15*$B$14)</f>
        <v/>
      </c>
      <c r="K12" s="19">
        <f>((-($B$15+$B$16)/($B$15-$B$16))*G12+(-2*$B$15*$B$16/($B$15-$B$16)))/(-G12)</f>
        <v/>
      </c>
      <c r="L12" s="19">
        <f>0.5*K12+0.5</f>
        <v/>
      </c>
      <c r="M12" s="21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19">
        <f>((-($B$15+$B$14)/($B$15-$B$14))*G13+(-2*$B$15*$B$14/($B$15-$B$14)))/(-G13)</f>
        <v/>
      </c>
      <c r="I13" s="19">
        <f>0.5*H13+0.5</f>
        <v/>
      </c>
      <c r="J13" s="21">
        <f>(1/(2^24-1))*($B$15-$B$14)*G13^2/($B$15*$B$14)</f>
        <v/>
      </c>
      <c r="K13" s="19">
        <f>((-($B$15+$B$16)/($B$15-$B$16))*G13+(-2*$B$15*$B$16/($B$15-$B$16)))/(-G13)</f>
        <v/>
      </c>
      <c r="L13" s="19">
        <f>0.5*K13+0.5</f>
        <v/>
      </c>
      <c r="M13" s="21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19">
        <f>((-($B$15+$B$14)/($B$15-$B$14))*G14+(-2*$B$15*$B$14/($B$15-$B$14)))/(-G14)</f>
        <v/>
      </c>
      <c r="I14" s="19">
        <f>0.5*H14+0.5</f>
        <v/>
      </c>
      <c r="J14" s="21">
        <f>(1/(2^24-1))*($B$15-$B$14)*G14^2/($B$15*$B$14)</f>
        <v/>
      </c>
      <c r="K14" s="19">
        <f>((-($B$15+$B$16)/($B$15-$B$16))*G14+(-2*$B$15*$B$16/($B$15-$B$16)))/(-G14)</f>
        <v/>
      </c>
      <c r="L14" s="19">
        <f>0.5*K14+0.5</f>
        <v/>
      </c>
      <c r="M14" s="21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19">
        <f>((-($B$15+$B$14)/($B$15-$B$14))*G15+(-2*$B$15*$B$14/($B$15-$B$14)))/(-G15)</f>
        <v/>
      </c>
      <c r="I15" s="19">
        <f>0.5*H15+0.5</f>
        <v/>
      </c>
      <c r="J15" s="21">
        <f>(1/(2^24-1))*($B$15-$B$14)*G15^2/($B$15*$B$14)</f>
        <v/>
      </c>
      <c r="K15" s="19">
        <f>((-($B$15+$B$16)/($B$15-$B$16))*G15+(-2*$B$15*$B$16/($B$15-$B$16)))/(-G15)</f>
        <v/>
      </c>
      <c r="L15" s="19">
        <f>0.5*K15+0.5</f>
        <v/>
      </c>
      <c r="M15" s="21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19">
        <f>((-($B$15+$B$14)/($B$15-$B$14))*G16+(-2*$B$15*$B$14/($B$15-$B$14)))/(-G16)</f>
        <v/>
      </c>
      <c r="I16" s="19">
        <f>0.5*H16+0.5</f>
        <v/>
      </c>
      <c r="J16" s="21">
        <f>(1/(2^24-1))*($B$15-$B$14)*G16^2/($B$15*$B$14)</f>
        <v/>
      </c>
      <c r="K16" s="19">
        <f>((-($B$15+$B$16)/($B$15-$B$16))*G16+(-2*$B$15*$B$16/($B$15-$B$16)))/(-G16)</f>
        <v/>
      </c>
      <c r="L16" s="19">
        <f>0.5*K16+0.5</f>
        <v/>
      </c>
      <c r="M16" s="21">
        <f>(1/(2^24-1))*($B$15-$B$16)*G16^2/($B$15*$B$16)</f>
        <v/>
      </c>
    </row>
    <row r="17">
      <c r="A17" s="4" t="inlineStr">
        <is>
          <t>aspect = width / height</t>
        </is>
      </c>
      <c r="B17" s="19">
        <f>B12/B13</f>
        <v/>
      </c>
      <c r="G17" s="16" t="n">
        <v>-400</v>
      </c>
      <c r="H17" s="19">
        <f>((-($B$15+$B$14)/($B$15-$B$14))*G17+(-2*$B$15*$B$14/($B$15-$B$14)))/(-G17)</f>
        <v/>
      </c>
      <c r="I17" s="19">
        <f>0.5*H17+0.5</f>
        <v/>
      </c>
      <c r="J17" s="21">
        <f>(1/(2^24-1))*($B$15-$B$14)*G17^2/($B$15*$B$14)</f>
        <v/>
      </c>
      <c r="K17" s="19">
        <f>((-($B$15+$B$16)/($B$15-$B$16))*G17+(-2*$B$15*$B$16/($B$15-$B$16)))/(-G17)</f>
        <v/>
      </c>
      <c r="L17" s="19">
        <f>0.5*K17+0.5</f>
        <v/>
      </c>
      <c r="M17" s="21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19">
        <f>B6+$B$10*COS(RADIANS($B$9))*SIN(RADIANS($B$8))</f>
        <v/>
      </c>
      <c r="C18" s="19">
        <f>C6+$B$10*SIN(RADIANS($B$9))</f>
        <v/>
      </c>
      <c r="D18" s="19">
        <f>D6+$B$10*COS(RADIANS($B$9))*COS(RADIANS($B$8))</f>
        <v/>
      </c>
      <c r="G18" s="16" t="n">
        <v>-600</v>
      </c>
      <c r="H18" s="19">
        <f>((-($B$15+$B$14)/($B$15-$B$14))*G18+(-2*$B$15*$B$14/($B$15-$B$14)))/(-G18)</f>
        <v/>
      </c>
      <c r="I18" s="19">
        <f>0.5*H18+0.5</f>
        <v/>
      </c>
      <c r="J18" s="21">
        <f>(1/(2^24-1))*($B$15-$B$14)*G18^2/($B$15*$B$14)</f>
        <v/>
      </c>
      <c r="K18" s="19">
        <f>((-($B$15+$B$16)/($B$15-$B$16))*G18+(-2*$B$15*$B$16/($B$15-$B$16)))/(-G18)</f>
        <v/>
      </c>
      <c r="L18" s="19">
        <f>0.5*K18+0.5</f>
        <v/>
      </c>
      <c r="M18" s="21">
        <f>(1/(2^24-1))*($B$15-$B$16)*G18^2/($B$15*$B$16)</f>
        <v/>
      </c>
    </row>
    <row r="19">
      <c r="A19" s="4" t="inlineStr">
        <is>
          <t>eye - target</t>
        </is>
      </c>
      <c r="B19" s="19">
        <f>B18-B6</f>
        <v/>
      </c>
      <c r="C19" s="19">
        <f>C18-C6</f>
        <v/>
      </c>
      <c r="D19" s="19">
        <f>D18-D6</f>
        <v/>
      </c>
    </row>
    <row r="20">
      <c r="A20" s="4" t="inlineStr">
        <is>
          <t>n = normalize(eye - target)</t>
        </is>
      </c>
      <c r="B20" s="19">
        <f>B19/SQRT(B19^2+C19^2+D19^2)</f>
        <v/>
      </c>
      <c r="C20" s="19">
        <f>C19/SQRT(B19^2+C19^2+D19^2)</f>
        <v/>
      </c>
      <c r="D20" s="19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19">
        <f>C7*D20-D7*C20</f>
        <v/>
      </c>
      <c r="C21" s="19">
        <f>D7*B20-B7*D20</f>
        <v/>
      </c>
      <c r="D21" s="19">
        <f>B7*C20-C7*B20</f>
        <v/>
      </c>
      <c r="G21" s="4" t="inlineStr">
        <is>
          <t>depth step at 100 m (m)</t>
        </is>
      </c>
      <c r="H21" s="12" t="n"/>
      <c r="I21" s="13" t="n"/>
      <c r="J21" s="21">
        <f>J15</f>
        <v/>
      </c>
      <c r="M21" s="21">
        <f>M15</f>
        <v/>
      </c>
    </row>
    <row r="22">
      <c r="A22" s="4" t="inlineStr">
        <is>
          <t>u = normalize(up x n)</t>
        </is>
      </c>
      <c r="B22" s="19">
        <f>B21/SQRT(B21^2+C21^2+D21^2)</f>
        <v/>
      </c>
      <c r="C22" s="19">
        <f>C21/SQRT(B21^2+C21^2+D21^2)</f>
        <v/>
      </c>
      <c r="D22" s="19">
        <f>D21/SQRT(B21^2+C21^2+D21^2)</f>
        <v/>
      </c>
      <c r="G22" s="4" t="inlineStr">
        <is>
          <t>ratio near 0.05 / near 0.5 at 100 m</t>
        </is>
      </c>
      <c r="H22" s="12" t="n"/>
      <c r="I22" s="13" t="n"/>
      <c r="J22" s="19">
        <f>J15/M15</f>
        <v/>
      </c>
    </row>
    <row r="23">
      <c r="A23" s="4" t="inlineStr">
        <is>
          <t>v = n x u</t>
        </is>
      </c>
      <c r="B23" s="19">
        <f>C20*D22-D20*C22</f>
        <v/>
      </c>
      <c r="C23" s="19">
        <f>D20*B22-B20*D22</f>
        <v/>
      </c>
      <c r="D23" s="19">
        <f>B20*C22-C20*B22</f>
        <v/>
      </c>
      <c r="G23" s="4" t="inlineStr">
        <is>
          <t>share of [0, 1] depth used by the first 1 m</t>
        </is>
      </c>
      <c r="H23" s="12" t="n"/>
      <c r="I23" s="13" t="n"/>
      <c r="J23" s="19">
        <f>I9</f>
        <v/>
      </c>
      <c r="M23" s="19">
        <f>L9</f>
        <v/>
      </c>
    </row>
    <row r="24">
      <c r="A24" s="4" t="inlineStr">
        <is>
          <t>code: s = normalize(f x up), f = -n; |s - u|</t>
        </is>
      </c>
      <c r="B24" s="19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2" t="n"/>
      <c r="I24" s="13" t="n"/>
      <c r="J24" s="19">
        <f>1-I12</f>
        <v/>
      </c>
      <c r="M24" s="19">
        <f>1-L12</f>
        <v/>
      </c>
    </row>
    <row r="25">
      <c r="A25" s="4" t="inlineStr">
        <is>
          <t>u . v,  u . n,  v . n (orthogonal: 0)</t>
        </is>
      </c>
      <c r="B25" s="19">
        <f>B22*B23+C22*C23+D22*D23</f>
        <v/>
      </c>
      <c r="C25" s="19">
        <f>B22*B20+C22*C20+D22*D20</f>
        <v/>
      </c>
      <c r="D25" s="19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17" t="n">
        <v>0</v>
      </c>
      <c r="C31" s="17" t="n">
        <v>0</v>
      </c>
      <c r="D31" s="17" t="n">
        <v>0</v>
      </c>
      <c r="E31" s="17" t="n">
        <v>1</v>
      </c>
    </row>
    <row r="33">
      <c r="A33" s="4" t="inlineStr">
        <is>
          <t>t = 1 / tan(fov / 2)</t>
        </is>
      </c>
      <c r="B33" s="19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17" t="n">
        <v>0</v>
      </c>
      <c r="D35" s="17" t="n">
        <v>0</v>
      </c>
      <c r="E35" s="17" t="n">
        <v>0</v>
      </c>
    </row>
    <row r="36">
      <c r="A36" s="4" t="inlineStr">
        <is>
          <t>row 1</t>
        </is>
      </c>
      <c r="B36" s="17" t="n">
        <v>0</v>
      </c>
      <c r="C36" s="15">
        <f>$B$33</f>
        <v/>
      </c>
      <c r="D36" s="17" t="n">
        <v>0</v>
      </c>
      <c r="E36" s="17" t="n">
        <v>0</v>
      </c>
    </row>
    <row r="37">
      <c r="A37" s="4" t="inlineStr">
        <is>
          <t>row 2</t>
        </is>
      </c>
      <c r="B37" s="17" t="n">
        <v>0</v>
      </c>
      <c r="C37" s="1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17" t="n">
        <v>0</v>
      </c>
      <c r="C38" s="17" t="n">
        <v>0</v>
      </c>
      <c r="D38" s="17" t="n">
        <v>-1</v>
      </c>
      <c r="E38" s="1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22" t="inlineStr">
        <is>
          <t>xmin</t>
        </is>
      </c>
      <c r="C5" s="8" t="n">
        <v>0</v>
      </c>
      <c r="D5" s="22" t="inlineStr">
        <is>
          <t>xmax</t>
        </is>
      </c>
      <c r="E5" s="8" t="n">
        <v>10</v>
      </c>
      <c r="F5" s="22" t="inlineStr">
        <is>
          <t>ymin</t>
        </is>
      </c>
      <c r="G5" s="8" t="n">
        <v>0</v>
      </c>
      <c r="H5" s="22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22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17">
        <f>IF(C9&gt;$I$5,1,0)</f>
        <v/>
      </c>
      <c r="G9" s="17">
        <f>IF(C9&lt;$G$5,1,0)</f>
        <v/>
      </c>
      <c r="H9" s="17">
        <f>IF(B9&gt;$E$5,1,0)</f>
        <v/>
      </c>
      <c r="I9" s="17">
        <f>IF(B9&lt;$C$5,1,0)</f>
        <v/>
      </c>
      <c r="J9" s="17">
        <f>8*F9+4*G9+2*H9+I9</f>
        <v/>
      </c>
      <c r="K9" s="17">
        <f>IF(E9&gt;$I$5,1,0)</f>
        <v/>
      </c>
      <c r="L9" s="17">
        <f>IF(E9&lt;$G$5,1,0)</f>
        <v/>
      </c>
      <c r="M9" s="17">
        <f>IF(D9&gt;$E$5,1,0)</f>
        <v/>
      </c>
      <c r="N9" s="17">
        <f>IF(D9&lt;$C$5,1,0)</f>
        <v/>
      </c>
      <c r="O9" s="17">
        <f>8*K9+4*L9+2*M9+N9</f>
        <v/>
      </c>
      <c r="P9" s="15">
        <f>F9&amp;G9&amp;H9&amp;I9</f>
        <v/>
      </c>
      <c r="Q9" s="15">
        <f>K9&amp;L9&amp;M9&amp;N9</f>
        <v/>
      </c>
      <c r="R9" s="17">
        <f>F9*K9+G9*L9+H9*M9+I9*N9</f>
        <v/>
      </c>
      <c r="S9" s="19">
        <f>IF(J9+O9=0,"accept (both inside)",IF(R9&gt;0,"reject (same side)","clip (subdivide)"))</f>
        <v/>
      </c>
      <c r="T9" s="12" t="n"/>
      <c r="U9" s="13" t="n"/>
    </row>
    <row r="10">
      <c r="A10" s="22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17">
        <f>IF(C10&gt;$I$5,1,0)</f>
        <v/>
      </c>
      <c r="G10" s="17">
        <f>IF(C10&lt;$G$5,1,0)</f>
        <v/>
      </c>
      <c r="H10" s="17">
        <f>IF(B10&gt;$E$5,1,0)</f>
        <v/>
      </c>
      <c r="I10" s="17">
        <f>IF(B10&lt;$C$5,1,0)</f>
        <v/>
      </c>
      <c r="J10" s="17">
        <f>8*F10+4*G10+2*H10+I10</f>
        <v/>
      </c>
      <c r="K10" s="17">
        <f>IF(E10&gt;$I$5,1,0)</f>
        <v/>
      </c>
      <c r="L10" s="17">
        <f>IF(E10&lt;$G$5,1,0)</f>
        <v/>
      </c>
      <c r="M10" s="17">
        <f>IF(D10&gt;$E$5,1,0)</f>
        <v/>
      </c>
      <c r="N10" s="17">
        <f>IF(D10&lt;$C$5,1,0)</f>
        <v/>
      </c>
      <c r="O10" s="17">
        <f>8*K10+4*L10+2*M10+N10</f>
        <v/>
      </c>
      <c r="P10" s="15">
        <f>F10&amp;G10&amp;H10&amp;I10</f>
        <v/>
      </c>
      <c r="Q10" s="15">
        <f>K10&amp;L10&amp;M10&amp;N10</f>
        <v/>
      </c>
      <c r="R10" s="17">
        <f>F10*K10+G10*L10+H10*M10+I10*N10</f>
        <v/>
      </c>
      <c r="S10" s="19">
        <f>IF(J10+O10=0,"accept (both inside)",IF(R10&gt;0,"reject (same side)","clip (subdivide)"))</f>
        <v/>
      </c>
      <c r="T10" s="12" t="n"/>
      <c r="U10" s="13" t="n"/>
    </row>
    <row r="11">
      <c r="A11" s="22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17">
        <f>IF(C11&gt;$I$5,1,0)</f>
        <v/>
      </c>
      <c r="G11" s="17">
        <f>IF(C11&lt;$G$5,1,0)</f>
        <v/>
      </c>
      <c r="H11" s="17">
        <f>IF(B11&gt;$E$5,1,0)</f>
        <v/>
      </c>
      <c r="I11" s="17">
        <f>IF(B11&lt;$C$5,1,0)</f>
        <v/>
      </c>
      <c r="J11" s="17">
        <f>8*F11+4*G11+2*H11+I11</f>
        <v/>
      </c>
      <c r="K11" s="17">
        <f>IF(E11&gt;$I$5,1,0)</f>
        <v/>
      </c>
      <c r="L11" s="17">
        <f>IF(E11&lt;$G$5,1,0)</f>
        <v/>
      </c>
      <c r="M11" s="17">
        <f>IF(D11&gt;$E$5,1,0)</f>
        <v/>
      </c>
      <c r="N11" s="17">
        <f>IF(D11&lt;$C$5,1,0)</f>
        <v/>
      </c>
      <c r="O11" s="17">
        <f>8*K11+4*L11+2*M11+N11</f>
        <v/>
      </c>
      <c r="P11" s="15">
        <f>F11&amp;G11&amp;H11&amp;I11</f>
        <v/>
      </c>
      <c r="Q11" s="15">
        <f>K11&amp;L11&amp;M11&amp;N11</f>
        <v/>
      </c>
      <c r="R11" s="17">
        <f>F11*K11+G11*L11+H11*M11+I11*N11</f>
        <v/>
      </c>
      <c r="S11" s="19">
        <f>IF(J11+O11=0,"accept (both inside)",IF(R11&gt;0,"reject (same side)","clip (subdivide)"))</f>
        <v/>
      </c>
      <c r="T11" s="12" t="n"/>
      <c r="U11" s="13" t="n"/>
    </row>
    <row r="12">
      <c r="A12" s="22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17">
        <f>IF(C12&gt;$I$5,1,0)</f>
        <v/>
      </c>
      <c r="G12" s="17">
        <f>IF(C12&lt;$G$5,1,0)</f>
        <v/>
      </c>
      <c r="H12" s="17">
        <f>IF(B12&gt;$E$5,1,0)</f>
        <v/>
      </c>
      <c r="I12" s="17">
        <f>IF(B12&lt;$C$5,1,0)</f>
        <v/>
      </c>
      <c r="J12" s="17">
        <f>8*F12+4*G12+2*H12+I12</f>
        <v/>
      </c>
      <c r="K12" s="17">
        <f>IF(E12&gt;$I$5,1,0)</f>
        <v/>
      </c>
      <c r="L12" s="17">
        <f>IF(E12&lt;$G$5,1,0)</f>
        <v/>
      </c>
      <c r="M12" s="17">
        <f>IF(D12&gt;$E$5,1,0)</f>
        <v/>
      </c>
      <c r="N12" s="17">
        <f>IF(D12&lt;$C$5,1,0)</f>
        <v/>
      </c>
      <c r="O12" s="17">
        <f>8*K12+4*L12+2*M12+N12</f>
        <v/>
      </c>
      <c r="P12" s="15">
        <f>F12&amp;G12&amp;H12&amp;I12</f>
        <v/>
      </c>
      <c r="Q12" s="15">
        <f>K12&amp;L12&amp;M12&amp;N12</f>
        <v/>
      </c>
      <c r="R12" s="17">
        <f>F12*K12+G12*L12+H12*M12+I12*N12</f>
        <v/>
      </c>
      <c r="S12" s="19">
        <f>IF(J12+O12=0,"accept (both inside)",IF(R12&gt;0,"reject (same side)","clip (subdivide)"))</f>
        <v/>
      </c>
      <c r="T12" s="12" t="n"/>
      <c r="U12" s="13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23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19">
        <f>MAX(0,IF(D16&lt;0,H16/D16,0),IF(E16&lt;0,I16/E16,0),IF(F16&lt;0,J16/F16,0),IF(G16&lt;0,K16/G16,0))</f>
        <v/>
      </c>
      <c r="M16" s="19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19">
        <f>IF(O16="yes",B9+L16*B16,"-")</f>
        <v/>
      </c>
      <c r="Q16" s="19">
        <f>IF(O16="yes",C9+L16*C16,"-")</f>
        <v/>
      </c>
      <c r="R16" s="19">
        <f>IF(O16="yes",B9+M16*B16,"-")</f>
        <v/>
      </c>
      <c r="S16" s="19">
        <f>IF(O16="yes",C9+M16*C16,"-")</f>
        <v/>
      </c>
    </row>
    <row r="17">
      <c r="A17" s="23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19">
        <f>MAX(0,IF(D17&lt;0,H17/D17,0),IF(E17&lt;0,I17/E17,0),IF(F17&lt;0,J17/F17,0),IF(G17&lt;0,K17/G17,0))</f>
        <v/>
      </c>
      <c r="M17" s="19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19">
        <f>IF(O17="yes",B10+L17*B17,"-")</f>
        <v/>
      </c>
      <c r="Q17" s="19">
        <f>IF(O17="yes",C10+L17*C17,"-")</f>
        <v/>
      </c>
      <c r="R17" s="19">
        <f>IF(O17="yes",B10+M17*B17,"-")</f>
        <v/>
      </c>
      <c r="S17" s="19">
        <f>IF(O17="yes",C10+M17*C17,"-")</f>
        <v/>
      </c>
    </row>
    <row r="18">
      <c r="A18" s="23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19">
        <f>MAX(0,IF(D18&lt;0,H18/D18,0),IF(E18&lt;0,I18/E18,0),IF(F18&lt;0,J18/F18,0),IF(G18&lt;0,K18/G18,0))</f>
        <v/>
      </c>
      <c r="M18" s="19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19">
        <f>IF(O18="yes",B11+L18*B18,"-")</f>
        <v/>
      </c>
      <c r="Q18" s="19">
        <f>IF(O18="yes",C11+L18*C18,"-")</f>
        <v/>
      </c>
      <c r="R18" s="19">
        <f>IF(O18="yes",B11+M18*B18,"-")</f>
        <v/>
      </c>
      <c r="S18" s="19">
        <f>IF(O18="yes",C11+M18*C18,"-")</f>
        <v/>
      </c>
    </row>
    <row r="19">
      <c r="A19" s="23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19">
        <f>MAX(0,IF(D19&lt;0,H19/D19,0),IF(E19&lt;0,I19/E19,0),IF(F19&lt;0,J19/F19,0),IF(G19&lt;0,K19/G19,0))</f>
        <v/>
      </c>
      <c r="M19" s="19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19">
        <f>IF(O19="yes",B12+L19*B19,"-")</f>
        <v/>
      </c>
      <c r="Q19" s="19">
        <f>IF(O19="yes",C12+L19*C19,"-")</f>
        <v/>
      </c>
      <c r="R19" s="19">
        <f>IF(O19="yes",B12+M19*B19,"-")</f>
        <v/>
      </c>
      <c r="S19" s="19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22" t="inlineStr">
        <is>
          <t>A</t>
        </is>
      </c>
      <c r="C22" s="8" t="n">
        <v>-2</v>
      </c>
      <c r="D22" s="8" t="n">
        <v>3</v>
      </c>
      <c r="E22" s="22" t="inlineStr">
        <is>
          <t>B</t>
        </is>
      </c>
      <c r="F22" s="8" t="n">
        <v>7</v>
      </c>
      <c r="G22" s="8" t="n">
        <v>-2</v>
      </c>
      <c r="H22" s="22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19">
        <f>C22</f>
        <v/>
      </c>
      <c r="C25" s="19">
        <f>D22</f>
        <v/>
      </c>
      <c r="D25" s="19">
        <f>F22</f>
        <v/>
      </c>
      <c r="E25" s="19">
        <f>G22</f>
        <v/>
      </c>
      <c r="F25" s="17">
        <f>IF(B25&gt;=$C$5,1,0)</f>
        <v/>
      </c>
      <c r="G25" s="17">
        <f>IF(D25&gt;=$C$5,1,0)</f>
        <v/>
      </c>
      <c r="H25" s="19">
        <f>IF(F25&lt;&gt;G25,$C$5,"-")</f>
        <v/>
      </c>
      <c r="I25" s="19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19">
        <f>H25</f>
        <v/>
      </c>
      <c r="N25" s="19">
        <f>I25</f>
        <v/>
      </c>
      <c r="O25" s="19">
        <f>D25</f>
        <v/>
      </c>
      <c r="P25" s="19">
        <f>E25</f>
        <v/>
      </c>
      <c r="Q25" s="17">
        <f>IF(M25&lt;=$E$5,1,0)</f>
        <v/>
      </c>
      <c r="R25" s="17">
        <f>IF(O25&lt;=$E$5,1,0)</f>
        <v/>
      </c>
      <c r="S25" s="19">
        <f>IF(Q25&lt;&gt;R25,$E$5,"-")</f>
        <v/>
      </c>
      <c r="T25" s="19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19">
        <f>F22</f>
        <v/>
      </c>
      <c r="C26" s="19">
        <f>G22</f>
        <v/>
      </c>
      <c r="D26" s="19">
        <f>I22</f>
        <v/>
      </c>
      <c r="E26" s="19">
        <f>J22</f>
        <v/>
      </c>
      <c r="F26" s="17">
        <f>IF(B26&gt;=$C$5,1,0)</f>
        <v/>
      </c>
      <c r="G26" s="17">
        <f>IF(D26&gt;=$C$5,1,0)</f>
        <v/>
      </c>
      <c r="H26" s="19">
        <f>IF(F26&lt;&gt;G26,$C$5,"-")</f>
        <v/>
      </c>
      <c r="I26" s="19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19">
        <f>D25</f>
        <v/>
      </c>
      <c r="N26" s="19">
        <f>E25</f>
        <v/>
      </c>
      <c r="O26" s="19">
        <f>D26</f>
        <v/>
      </c>
      <c r="P26" s="19">
        <f>E26</f>
        <v/>
      </c>
      <c r="Q26" s="17">
        <f>IF(M26&lt;=$E$5,1,0)</f>
        <v/>
      </c>
      <c r="R26" s="17">
        <f>IF(O26&lt;=$E$5,1,0)</f>
        <v/>
      </c>
      <c r="S26" s="19">
        <f>IF(Q26&lt;&gt;R26,$E$5,"-")</f>
        <v/>
      </c>
      <c r="T26" s="19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19">
        <f>I22</f>
        <v/>
      </c>
      <c r="C27" s="19">
        <f>J22</f>
        <v/>
      </c>
      <c r="D27" s="19">
        <f>C22</f>
        <v/>
      </c>
      <c r="E27" s="19">
        <f>D22</f>
        <v/>
      </c>
      <c r="F27" s="17">
        <f>IF(B27&gt;=$C$5,1,0)</f>
        <v/>
      </c>
      <c r="G27" s="17">
        <f>IF(D27&gt;=$C$5,1,0)</f>
        <v/>
      </c>
      <c r="H27" s="19">
        <f>IF(F27&lt;&gt;G27,$C$5,"-")</f>
        <v/>
      </c>
      <c r="I27" s="19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19">
        <f>D26</f>
        <v/>
      </c>
      <c r="N27" s="19">
        <f>E26</f>
        <v/>
      </c>
      <c r="O27" s="19">
        <f>H27</f>
        <v/>
      </c>
      <c r="P27" s="19">
        <f>I27</f>
        <v/>
      </c>
      <c r="Q27" s="17">
        <f>IF(M27&lt;=$E$5,1,0)</f>
        <v/>
      </c>
      <c r="R27" s="17">
        <f>IF(O27&lt;=$E$5,1,0)</f>
        <v/>
      </c>
      <c r="S27" s="19">
        <f>IF(Q27&lt;&gt;R27,$E$5,"-")</f>
        <v/>
      </c>
      <c r="T27" s="19">
        <f>IF(Q27&lt;&gt;R27,N27+($E$5-M27)*(P27-N27)/(O27-M27),"-")</f>
        <v/>
      </c>
      <c r="U27" s="15">
        <f>IF(Q27+R27=2,"P",IF(R27=1,"I, P",IF(Q27=1,"I","none")))</f>
        <v/>
      </c>
    </row>
    <row r="28">
      <c r="A28" s="22" t="inlineStr">
        <is>
          <t>out</t>
        </is>
      </c>
      <c r="B28" s="19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2" t="n"/>
      <c r="D28" s="12" t="n"/>
      <c r="E28" s="12" t="n"/>
      <c r="F28" s="12" t="n"/>
      <c r="G28" s="12" t="n"/>
      <c r="H28" s="12" t="n"/>
      <c r="I28" s="12" t="n"/>
      <c r="J28" s="13" t="n"/>
      <c r="L28" s="6" t="inlineStr">
        <is>
          <t>4-1</t>
        </is>
      </c>
      <c r="M28" s="19">
        <f>H27</f>
        <v/>
      </c>
      <c r="N28" s="19">
        <f>I27</f>
        <v/>
      </c>
      <c r="O28" s="19">
        <f>H25</f>
        <v/>
      </c>
      <c r="P28" s="19">
        <f>I25</f>
        <v/>
      </c>
      <c r="Q28" s="17">
        <f>IF(M28&lt;=$E$5,1,0)</f>
        <v/>
      </c>
      <c r="R28" s="17">
        <f>IF(O28&lt;=$E$5,1,0)</f>
        <v/>
      </c>
      <c r="S28" s="19">
        <f>IF(Q28&lt;&gt;R28,$E$5,"-")</f>
        <v/>
      </c>
      <c r="T28" s="19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22" t="inlineStr">
        <is>
          <t>out</t>
        </is>
      </c>
      <c r="M29" s="19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2" t="n"/>
      <c r="O29" s="12" t="n"/>
      <c r="P29" s="12" t="n"/>
      <c r="Q29" s="12" t="n"/>
      <c r="R29" s="12" t="n"/>
      <c r="S29" s="12" t="n"/>
      <c r="T29" s="12" t="n"/>
      <c r="U29" s="13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19">
        <f>O25</f>
        <v/>
      </c>
      <c r="C34" s="19">
        <f>P25</f>
        <v/>
      </c>
      <c r="D34" s="19">
        <f>S26</f>
        <v/>
      </c>
      <c r="E34" s="19">
        <f>T26</f>
        <v/>
      </c>
      <c r="F34" s="17">
        <f>IF(C34&gt;=$G$5,1,0)</f>
        <v/>
      </c>
      <c r="G34" s="17">
        <f>IF(E34&gt;=$G$5,1,0)</f>
        <v/>
      </c>
      <c r="H34" s="19">
        <f>IF(F34&lt;&gt;G34,B34+($G$5-C34)*(D34-B34)/(E34-C34),"-")</f>
        <v/>
      </c>
      <c r="I34" s="19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19">
        <f>H34</f>
        <v/>
      </c>
      <c r="N34" s="19">
        <f>I34</f>
        <v/>
      </c>
      <c r="O34" s="19">
        <f>D34</f>
        <v/>
      </c>
      <c r="P34" s="19">
        <f>E34</f>
        <v/>
      </c>
      <c r="Q34" s="17">
        <f>IF(N34&lt;=$I$5,1,0)</f>
        <v/>
      </c>
      <c r="R34" s="17">
        <f>IF(P34&lt;=$I$5,1,0)</f>
        <v/>
      </c>
      <c r="S34" s="19">
        <f>IF(Q34&lt;&gt;R34,M34+($I$5-N34)*(O34-M34)/(P34-N34),"-")</f>
        <v/>
      </c>
      <c r="T34" s="19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19">
        <f>S26</f>
        <v/>
      </c>
      <c r="C35" s="19">
        <f>T26</f>
        <v/>
      </c>
      <c r="D35" s="19">
        <f>S27</f>
        <v/>
      </c>
      <c r="E35" s="19">
        <f>T27</f>
        <v/>
      </c>
      <c r="F35" s="17">
        <f>IF(C35&gt;=$G$5,1,0)</f>
        <v/>
      </c>
      <c r="G35" s="17">
        <f>IF(E35&gt;=$G$5,1,0)</f>
        <v/>
      </c>
      <c r="H35" s="19">
        <f>IF(F35&lt;&gt;G35,B35+($G$5-C35)*(D35-B35)/(E35-C35),"-")</f>
        <v/>
      </c>
      <c r="I35" s="19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19">
        <f>D34</f>
        <v/>
      </c>
      <c r="N35" s="19">
        <f>E34</f>
        <v/>
      </c>
      <c r="O35" s="19">
        <f>D35</f>
        <v/>
      </c>
      <c r="P35" s="19">
        <f>E35</f>
        <v/>
      </c>
      <c r="Q35" s="17">
        <f>IF(N35&lt;=$I$5,1,0)</f>
        <v/>
      </c>
      <c r="R35" s="17">
        <f>IF(P35&lt;=$I$5,1,0)</f>
        <v/>
      </c>
      <c r="S35" s="19">
        <f>IF(Q35&lt;&gt;R35,M35+($I$5-N35)*(O35-M35)/(P35-N35),"-")</f>
        <v/>
      </c>
      <c r="T35" s="19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19">
        <f>S27</f>
        <v/>
      </c>
      <c r="C36" s="19">
        <f>T27</f>
        <v/>
      </c>
      <c r="D36" s="19">
        <f>O27</f>
        <v/>
      </c>
      <c r="E36" s="19">
        <f>P27</f>
        <v/>
      </c>
      <c r="F36" s="17">
        <f>IF(C36&gt;=$G$5,1,0)</f>
        <v/>
      </c>
      <c r="G36" s="17">
        <f>IF(E36&gt;=$G$5,1,0)</f>
        <v/>
      </c>
      <c r="H36" s="19">
        <f>IF(F36&lt;&gt;G36,B36+($G$5-C36)*(D36-B36)/(E36-C36),"-")</f>
        <v/>
      </c>
      <c r="I36" s="19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19">
        <f>D35</f>
        <v/>
      </c>
      <c r="N36" s="19">
        <f>E35</f>
        <v/>
      </c>
      <c r="O36" s="19">
        <f>D36</f>
        <v/>
      </c>
      <c r="P36" s="19">
        <f>E36</f>
        <v/>
      </c>
      <c r="Q36" s="17">
        <f>IF(N36&lt;=$I$5,1,0)</f>
        <v/>
      </c>
      <c r="R36" s="17">
        <f>IF(P36&lt;=$I$5,1,0)</f>
        <v/>
      </c>
      <c r="S36" s="19">
        <f>IF(Q36&lt;&gt;R36,M36+($I$5-N36)*(O36-M36)/(P36-N36),"-")</f>
        <v/>
      </c>
      <c r="T36" s="19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19">
        <f>O27</f>
        <v/>
      </c>
      <c r="C37" s="19">
        <f>P27</f>
        <v/>
      </c>
      <c r="D37" s="19">
        <f>O28</f>
        <v/>
      </c>
      <c r="E37" s="19">
        <f>P28</f>
        <v/>
      </c>
      <c r="F37" s="17">
        <f>IF(C37&gt;=$G$5,1,0)</f>
        <v/>
      </c>
      <c r="G37" s="17">
        <f>IF(E37&gt;=$G$5,1,0)</f>
        <v/>
      </c>
      <c r="H37" s="19">
        <f>IF(F37&lt;&gt;G37,B37+($G$5-C37)*(D37-B37)/(E37-C37),"-")</f>
        <v/>
      </c>
      <c r="I37" s="19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19">
        <f>D36</f>
        <v/>
      </c>
      <c r="N37" s="19">
        <f>E36</f>
        <v/>
      </c>
      <c r="O37" s="19">
        <f>D37</f>
        <v/>
      </c>
      <c r="P37" s="19">
        <f>E37</f>
        <v/>
      </c>
      <c r="Q37" s="17">
        <f>IF(N37&lt;=$I$5,1,0)</f>
        <v/>
      </c>
      <c r="R37" s="17">
        <f>IF(P37&lt;=$I$5,1,0)</f>
        <v/>
      </c>
      <c r="S37" s="19">
        <f>IF(Q37&lt;&gt;R37,M37+($I$5-N37)*(O37-M37)/(P37-N37),"-")</f>
        <v/>
      </c>
      <c r="T37" s="19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19">
        <f>O28</f>
        <v/>
      </c>
      <c r="C38" s="19">
        <f>P28</f>
        <v/>
      </c>
      <c r="D38" s="19">
        <f>O25</f>
        <v/>
      </c>
      <c r="E38" s="19">
        <f>P25</f>
        <v/>
      </c>
      <c r="F38" s="17">
        <f>IF(C38&gt;=$G$5,1,0)</f>
        <v/>
      </c>
      <c r="G38" s="17">
        <f>IF(E38&gt;=$G$5,1,0)</f>
        <v/>
      </c>
      <c r="H38" s="19">
        <f>IF(F38&lt;&gt;G38,B38+($G$5-C38)*(D38-B38)/(E38-C38),"-")</f>
        <v/>
      </c>
      <c r="I38" s="19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19">
        <f>D37</f>
        <v/>
      </c>
      <c r="N38" s="19">
        <f>E37</f>
        <v/>
      </c>
      <c r="O38" s="19">
        <f>H38</f>
        <v/>
      </c>
      <c r="P38" s="19">
        <f>I38</f>
        <v/>
      </c>
      <c r="Q38" s="17">
        <f>IF(N38&lt;=$I$5,1,0)</f>
        <v/>
      </c>
      <c r="R38" s="17">
        <f>IF(P38&lt;=$I$5,1,0)</f>
        <v/>
      </c>
      <c r="S38" s="19">
        <f>IF(Q38&lt;&gt;R38,M38+($I$5-N38)*(O38-M38)/(P38-N38),"-")</f>
        <v/>
      </c>
      <c r="T38" s="19">
        <f>IF(Q38&lt;&gt;R38,$I$5,"-")</f>
        <v/>
      </c>
      <c r="U38" s="15">
        <f>IF(Q38+R38=2,"P",IF(R38=1,"I, P",IF(Q38=1,"I","none")))</f>
        <v/>
      </c>
    </row>
    <row r="39">
      <c r="A39" s="22" t="inlineStr">
        <is>
          <t>out</t>
        </is>
      </c>
      <c r="B39" s="19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2" t="n"/>
      <c r="D39" s="12" t="n"/>
      <c r="E39" s="12" t="n"/>
      <c r="F39" s="12" t="n"/>
      <c r="G39" s="12" t="n"/>
      <c r="H39" s="12" t="n"/>
      <c r="I39" s="12" t="n"/>
      <c r="J39" s="13" t="n"/>
      <c r="L39" s="6" t="inlineStr">
        <is>
          <t>6-1</t>
        </is>
      </c>
      <c r="M39" s="19">
        <f>H38</f>
        <v/>
      </c>
      <c r="N39" s="19">
        <f>I38</f>
        <v/>
      </c>
      <c r="O39" s="19">
        <f>H34</f>
        <v/>
      </c>
      <c r="P39" s="19">
        <f>I34</f>
        <v/>
      </c>
      <c r="Q39" s="17">
        <f>IF(N39&lt;=$I$5,1,0)</f>
        <v/>
      </c>
      <c r="R39" s="17">
        <f>IF(P39&lt;=$I$5,1,0)</f>
        <v/>
      </c>
      <c r="S39" s="19">
        <f>IF(Q39&lt;&gt;R39,M39+($I$5-N39)*(O39-M39)/(P39-N39),"-")</f>
        <v/>
      </c>
      <c r="T39" s="19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22" t="inlineStr">
        <is>
          <t>out</t>
        </is>
      </c>
      <c r="M40" s="19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2" t="n"/>
      <c r="O40" s="12" t="n"/>
      <c r="P40" s="12" t="n"/>
      <c r="Q40" s="12" t="n"/>
      <c r="R40" s="12" t="n"/>
      <c r="S40" s="12" t="n"/>
      <c r="T40" s="12" t="n"/>
      <c r="U40" s="13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BNK-171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24" t="n">
        <v>12</v>
      </c>
      <c r="C6" s="24" t="n">
        <v>17.5</v>
      </c>
      <c r="D6" s="24" t="n">
        <v>23</v>
      </c>
      <c r="E6" s="24" t="n">
        <v>23</v>
      </c>
      <c r="F6" s="24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19">
        <f>15*(B6-12)</f>
        <v/>
      </c>
      <c r="C7" s="19">
        <f>15*(C6-12)</f>
        <v/>
      </c>
      <c r="D7" s="19">
        <f>15*(D6-12)</f>
        <v/>
      </c>
      <c r="E7" s="19">
        <f>15*(E6-12)</f>
        <v/>
      </c>
      <c r="F7" s="19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19">
        <f>SIN(RADIANS($I$6))*SIN(RADIANS($J$6))+COS(RADIANS($I$6))*COS(RADIANS($J$6))*COS(RADIANS(B7))</f>
        <v/>
      </c>
      <c r="C8" s="19">
        <f>SIN(RADIANS($I$6))*SIN(RADIANS($J$6))+COS(RADIANS($I$6))*COS(RADIANS($J$6))*COS(RADIANS(C7))</f>
        <v/>
      </c>
      <c r="D8" s="19">
        <f>SIN(RADIANS($I$6))*SIN(RADIANS($J$6))+COS(RADIANS($I$6))*COS(RADIANS($J$6))*COS(RADIANS(D7))</f>
        <v/>
      </c>
      <c r="E8" s="19">
        <f>SIN(RADIANS($I$6))*SIN(RADIANS($J$6))+COS(RADIANS($I$6))*COS(RADIANS($J$6))*COS(RADIANS(E7))</f>
        <v/>
      </c>
      <c r="F8" s="19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19">
        <f>DEGREES(ASIN(B8))</f>
        <v/>
      </c>
      <c r="C9" s="19">
        <f>DEGREES(ASIN(C8))</f>
        <v/>
      </c>
      <c r="D9" s="19">
        <f>DEGREES(ASIN(D8))</f>
        <v/>
      </c>
      <c r="E9" s="19">
        <f>DEGREES(ASIN(E8))</f>
        <v/>
      </c>
      <c r="F9" s="19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19">
        <f>(MIN(MAX((B9-(-8))/((6)-(-8)),0),1)^2*(3-2*MIN(MAX((B9-(-8))/((6)-(-8)),0),1)))</f>
        <v/>
      </c>
      <c r="C10" s="19">
        <f>(MIN(MAX((C9-(-8))/((6)-(-8)),0),1)^2*(3-2*MIN(MAX((C9-(-8))/((6)-(-8)),0),1)))</f>
        <v/>
      </c>
      <c r="D10" s="19">
        <f>(MIN(MAX((D9-(-8))/((6)-(-8)),0),1)^2*(3-2*MIN(MAX((D9-(-8))/((6)-(-8)),0),1)))</f>
        <v/>
      </c>
      <c r="E10" s="19">
        <f>(MIN(MAX((E9-(-8))/((6)-(-8)),0),1)^2*(3-2*MIN(MAX((E9-(-8))/((6)-(-8)),0),1)))</f>
        <v/>
      </c>
      <c r="F10" s="19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19">
        <f>$I$21</f>
        <v/>
      </c>
      <c r="C11" s="19">
        <f>$I$21</f>
        <v/>
      </c>
      <c r="D11" s="19">
        <f>$I$21</f>
        <v/>
      </c>
      <c r="E11" s="19">
        <f>$I$12+(($J$21-$J$12)/$J$13)*$I$13</f>
        <v/>
      </c>
      <c r="F11" s="19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19">
        <f>$J$21</f>
        <v/>
      </c>
      <c r="C12" s="19">
        <f>$J$21</f>
        <v/>
      </c>
      <c r="D12" s="19">
        <f>$J$21</f>
        <v/>
      </c>
      <c r="E12" s="19">
        <f>$J$21</f>
        <v/>
      </c>
      <c r="F12" s="19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19">
        <f>$K$21</f>
        <v/>
      </c>
      <c r="C13" s="19">
        <f>$K$21</f>
        <v/>
      </c>
      <c r="D13" s="19">
        <f>$K$21</f>
        <v/>
      </c>
      <c r="E13" s="19">
        <f>$K$12+(($J$21-$J$12)/$J$13)*$K$13</f>
        <v/>
      </c>
      <c r="F13" s="19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19">
        <f>-COS(RADIANS($J$6))*SIN(RADIANS(B7))</f>
        <v/>
      </c>
      <c r="C14" s="19">
        <f>-COS(RADIANS($J$6))*SIN(RADIANS(C7))</f>
        <v/>
      </c>
      <c r="D14" s="19">
        <f>-$I$9</f>
        <v/>
      </c>
      <c r="E14" s="19">
        <f>$I$12-E11</f>
        <v/>
      </c>
      <c r="F14" s="19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19">
        <f>B8</f>
        <v/>
      </c>
      <c r="C15" s="19">
        <f>C8</f>
        <v/>
      </c>
      <c r="D15" s="19">
        <f>-$J$9</f>
        <v/>
      </c>
      <c r="E15" s="19">
        <f>$J$12-E12</f>
        <v/>
      </c>
      <c r="F15" s="19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19">
        <f>COS(RADIANS($I$6))*SIN(RADIANS($J$6))-SIN(RADIANS($I$6))*COS(RADIANS($J$6))*COS(RADIANS(B7))</f>
        <v/>
      </c>
      <c r="C16" s="19">
        <f>COS(RADIANS($I$6))*SIN(RADIANS($J$6))-SIN(RADIANS($I$6))*COS(RADIANS($J$6))*COS(RADIANS(C7))</f>
        <v/>
      </c>
      <c r="D16" s="19">
        <f>-$K$9</f>
        <v/>
      </c>
      <c r="E16" s="19">
        <f>$K$12-E13</f>
        <v/>
      </c>
      <c r="F16" s="19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19">
        <f>SQRT(B14^2+B15^2+B16^2)</f>
        <v/>
      </c>
      <c r="C17" s="19">
        <f>SQRT(C14^2+C15^2+C16^2)</f>
        <v/>
      </c>
      <c r="D17" s="19">
        <f>SQRT(D14^2+D15^2+D16^2)</f>
        <v/>
      </c>
      <c r="E17" s="19">
        <f>SQRT(E14^2+E15^2+E16^2)</f>
        <v/>
      </c>
      <c r="F17" s="19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19">
        <f>B14/B17</f>
        <v/>
      </c>
      <c r="C18" s="19">
        <f>C14/C17</f>
        <v/>
      </c>
      <c r="D18" s="19">
        <f>D14/D17</f>
        <v/>
      </c>
      <c r="E18" s="19">
        <f>E14/E17</f>
        <v/>
      </c>
      <c r="F18" s="19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19">
        <f>B15/B17</f>
        <v/>
      </c>
      <c r="C19" s="19">
        <f>C15/C17</f>
        <v/>
      </c>
      <c r="D19" s="19">
        <f>D15/D17</f>
        <v/>
      </c>
      <c r="E19" s="19">
        <f>E15/E17</f>
        <v/>
      </c>
      <c r="F19" s="19">
        <f>F15/F17</f>
        <v/>
      </c>
      <c r="H19" s="4" t="inlineStr">
        <is>
          <t>roof albedo kd (BNK-171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19">
        <f>B16/B17</f>
        <v/>
      </c>
      <c r="C20" s="19">
        <f>C16/C17</f>
        <v/>
      </c>
      <c r="D20" s="19">
        <f>D16/D17</f>
        <v/>
      </c>
      <c r="E20" s="19">
        <f>E16/E17</f>
        <v/>
      </c>
      <c r="F20" s="19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19">
        <f>DEGREES(ACOS(-(E18*$I$13+E19*$J$13+E20*$K$13)))</f>
        <v/>
      </c>
      <c r="F21" s="19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19">
        <f>MIN(MAX((COS(RADIANS(E21))-COS(RADIANS($K$15)))/(COS(RADIANS($J$15))-COS(RADIANS($K$15))),0),1)^2</f>
        <v/>
      </c>
      <c r="F22" s="19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19">
        <f>1/(1+$I$16*E17+$J$16*E17^2)</f>
        <v/>
      </c>
      <c r="F23" s="19">
        <f>1/(1+$I$16*F17+$J$16*F17^2)</f>
        <v/>
      </c>
      <c r="H23" s="4" t="inlineStr">
        <is>
          <t>viewer: orbit eye (View_Projection)</t>
        </is>
      </c>
      <c r="I23" s="19">
        <f>'View_Projection'!$B$18</f>
        <v/>
      </c>
      <c r="J23" s="19">
        <f>'View_Projection'!$C$18</f>
        <v/>
      </c>
      <c r="K23" s="19">
        <f>'View_Projection'!$D$18</f>
        <v/>
      </c>
    </row>
    <row r="24">
      <c r="A24" s="4" t="inlineStr">
        <is>
          <t>air mass m (Kasten-Young)</t>
        </is>
      </c>
      <c r="B24" s="19">
        <f>1/(SIN(RADIANS(MAX(B9,-1)))+0.50572*(MAX(B9,-1)+6.07995)^(-1.6364))</f>
        <v/>
      </c>
      <c r="C24" s="19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19">
        <f>$I$7*(MIN(MAX((B9-($J$7))/((10)-($J$7)),0),1)^2*(3-2*MIN(MAX((B9-($J$7))/((10)-($J$7)),0),1)))</f>
        <v/>
      </c>
      <c r="C25" s="19">
        <f>$I$7*(MIN(MAX((C9-($J$7))/((10)-($J$7)),0),1)^2*(3-2*MIN(MAX((C9-($J$7))/((10)-($J$7)),0),1)))</f>
        <v/>
      </c>
      <c r="D25" s="19">
        <f>$I$11</f>
        <v/>
      </c>
      <c r="E25" s="19">
        <f>$I$15*E22*E23</f>
        <v/>
      </c>
      <c r="F25" s="19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19">
        <f>MAX(0,$I$22*B18+$J$22*B19+$K$22*B20)</f>
        <v/>
      </c>
      <c r="C26" s="19">
        <f>MAX(0,$I$22*C18+$J$22*C19+$K$22*C20)</f>
        <v/>
      </c>
      <c r="D26" s="19">
        <f>MAX(0,$I$22*D18+$J$22*D19+$K$22*D20)</f>
        <v/>
      </c>
      <c r="E26" s="19">
        <f>MAX(0,$I$22*E18+$J$22*E19+$K$22*E20)</f>
        <v/>
      </c>
      <c r="F26" s="19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19">
        <f>B18+($I$23-B11)/SQRT(($I$23-B11)^2+($J$23-B12)^2+($K$23-B13)^2)</f>
        <v/>
      </c>
      <c r="C27" s="19">
        <f>C18+($I$23-C11)/SQRT(($I$23-C11)^2+($J$23-C12)^2+($K$23-C13)^2)</f>
        <v/>
      </c>
      <c r="D27" s="19">
        <f>D18+($I$23-D11)/SQRT(($I$23-D11)^2+($J$23-D12)^2+($K$23-D13)^2)</f>
        <v/>
      </c>
      <c r="E27" s="19">
        <f>E18+($I$23-E11)/SQRT(($I$23-E11)^2+($J$23-E12)^2+($K$23-E13)^2)</f>
        <v/>
      </c>
      <c r="F27" s="19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19">
        <f>B19+($J$23-B12)/SQRT(($I$23-B11)^2+($J$23-B12)^2+($K$23-B13)^2)</f>
        <v/>
      </c>
      <c r="C28" s="19">
        <f>C19+($J$23-C12)/SQRT(($I$23-C11)^2+($J$23-C12)^2+($K$23-C13)^2)</f>
        <v/>
      </c>
      <c r="D28" s="19">
        <f>D19+($J$23-D12)/SQRT(($I$23-D11)^2+($J$23-D12)^2+($K$23-D13)^2)</f>
        <v/>
      </c>
      <c r="E28" s="19">
        <f>E19+($J$23-E12)/SQRT(($I$23-E11)^2+($J$23-E12)^2+($K$23-E13)^2)</f>
        <v/>
      </c>
      <c r="F28" s="19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19">
        <f>B20+($K$23-B13)/SQRT(($I$23-B11)^2+($J$23-B12)^2+($K$23-B13)^2)</f>
        <v/>
      </c>
      <c r="C29" s="19">
        <f>C20+($K$23-C13)/SQRT(($I$23-C11)^2+($J$23-C12)^2+($K$23-C13)^2)</f>
        <v/>
      </c>
      <c r="D29" s="19">
        <f>D20+($K$23-D13)/SQRT(($I$23-D11)^2+($J$23-D12)^2+($K$23-D13)^2)</f>
        <v/>
      </c>
      <c r="E29" s="19">
        <f>E20+($K$23-E13)/SQRT(($I$23-E11)^2+($J$23-E12)^2+($K$23-E13)^2)</f>
        <v/>
      </c>
      <c r="F29" s="19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19">
        <f>MAX(0,($I$22*B27+$J$22*B28+$K$22*B29)/SQRT(B27^2+B28^2+B29^2))</f>
        <v/>
      </c>
      <c r="C30" s="19">
        <f>MAX(0,($I$22*C27+$J$22*C28+$K$22*C29)/SQRT(C27^2+C28^2+C29^2))</f>
        <v/>
      </c>
      <c r="D30" s="19">
        <f>MAX(0,($I$22*D27+$J$22*D28+$K$22*D29)/SQRT(D27^2+D28^2+D29^2))</f>
        <v/>
      </c>
      <c r="E30" s="19">
        <f>MAX(0,($I$22*E27+$J$22*E28+$K$22*E29)/SQRT(E27^2+E28^2+E29^2))</f>
        <v/>
      </c>
      <c r="F30" s="19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19">
        <f>IF(B26&gt;0,B30^$J$20,0)</f>
        <v/>
      </c>
      <c r="C31" s="19">
        <f>IF(C26&gt;0,C30^$J$20,0)</f>
        <v/>
      </c>
      <c r="D31" s="19">
        <f>IF(D26&gt;0,D30^$J$20,0)</f>
        <v/>
      </c>
      <c r="E31" s="19">
        <f>IF(E26&gt;0,E30^$J$20,0)</f>
        <v/>
      </c>
      <c r="F31" s="19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11" t="inlineStr">
        <is>
          <t>Il = light colour x intensity  R</t>
        </is>
      </c>
      <c r="B35" s="19">
        <f>EXP(-$I$8*(B24-1))*B25</f>
        <v/>
      </c>
      <c r="C35" s="19">
        <f>EXP(-$I$8*(C24-1))*C25</f>
        <v/>
      </c>
      <c r="D35" s="19">
        <f>$I$10*D25</f>
        <v/>
      </c>
      <c r="E35" s="19">
        <f>$I$14*E25</f>
        <v/>
      </c>
      <c r="F35" s="19">
        <f>$I$14*F25</f>
        <v/>
      </c>
    </row>
    <row r="36">
      <c r="A36" s="11" t="inlineStr">
        <is>
          <t>Il = light colour x intensity  G</t>
        </is>
      </c>
      <c r="B36" s="19">
        <f>EXP(-$J$8*(B24-1))*B25</f>
        <v/>
      </c>
      <c r="C36" s="19">
        <f>EXP(-$J$8*(C24-1))*C25</f>
        <v/>
      </c>
      <c r="D36" s="19">
        <f>$J$10*D25</f>
        <v/>
      </c>
      <c r="E36" s="19">
        <f>$J$14*E25</f>
        <v/>
      </c>
      <c r="F36" s="19">
        <f>$J$14*F25</f>
        <v/>
      </c>
    </row>
    <row r="37">
      <c r="A37" s="11" t="inlineStr">
        <is>
          <t>Il = light colour x intensity  B</t>
        </is>
      </c>
      <c r="B37" s="19">
        <f>EXP(-$K$8*(B24-1))*B25</f>
        <v/>
      </c>
      <c r="C37" s="19">
        <f>EXP(-$K$8*(C24-1))*C25</f>
        <v/>
      </c>
      <c r="D37" s="19">
        <f>$K$10*D25</f>
        <v/>
      </c>
      <c r="E37" s="19">
        <f>$K$14*E25</f>
        <v/>
      </c>
      <c r="F37" s="19">
        <f>$K$14*F25</f>
        <v/>
      </c>
    </row>
    <row r="38">
      <c r="A38" s="11" t="inlineStr">
        <is>
          <t>ambient Ia  R</t>
        </is>
      </c>
      <c r="B38" s="19">
        <f>$I$17^(1-B10)*$I$18^B10</f>
        <v/>
      </c>
      <c r="C38" s="19">
        <f>$I$17^(1-C10)*$I$18^C10</f>
        <v/>
      </c>
      <c r="D38" s="19">
        <f>$I$17^(1-D10)*$I$18^D10</f>
        <v/>
      </c>
      <c r="E38" s="19">
        <f>$I$17^(1-E10)*$I$18^E10</f>
        <v/>
      </c>
      <c r="F38" s="19">
        <f>$I$17^(1-F10)*$I$18^F10</f>
        <v/>
      </c>
    </row>
    <row r="39">
      <c r="A39" s="11" t="inlineStr">
        <is>
          <t>ambient Ia  G</t>
        </is>
      </c>
      <c r="B39" s="19">
        <f>$J$17^(1-B10)*$J$18^B10</f>
        <v/>
      </c>
      <c r="C39" s="19">
        <f>$J$17^(1-C10)*$J$18^C10</f>
        <v/>
      </c>
      <c r="D39" s="19">
        <f>$J$17^(1-D10)*$J$18^D10</f>
        <v/>
      </c>
      <c r="E39" s="19">
        <f>$J$17^(1-E10)*$J$18^E10</f>
        <v/>
      </c>
      <c r="F39" s="19">
        <f>$J$17^(1-F10)*$J$18^F10</f>
        <v/>
      </c>
    </row>
    <row r="40">
      <c r="A40" s="11" t="inlineStr">
        <is>
          <t>ambient Ia  B</t>
        </is>
      </c>
      <c r="B40" s="19">
        <f>$K$17^(1-B10)*$K$18^B10</f>
        <v/>
      </c>
      <c r="C40" s="19">
        <f>$K$17^(1-C10)*$K$18^C10</f>
        <v/>
      </c>
      <c r="D40" s="19">
        <f>$K$17^(1-D10)*$K$18^D10</f>
        <v/>
      </c>
      <c r="E40" s="19">
        <f>$K$17^(1-E10)*$K$18^E10</f>
        <v/>
      </c>
      <c r="F40" s="19">
        <f>$K$17^(1-F10)*$K$18^F10</f>
        <v/>
      </c>
    </row>
    <row r="41">
      <c r="A41" s="11" t="inlineStr">
        <is>
          <t>ambient kd Ia  R</t>
        </is>
      </c>
      <c r="B41" s="19">
        <f>$I$19*B38</f>
        <v/>
      </c>
      <c r="C41" s="19">
        <f>$I$19*C38</f>
        <v/>
      </c>
      <c r="D41" s="19">
        <f>$I$19*D38</f>
        <v/>
      </c>
      <c r="E41" s="19">
        <f>$I$19*E38</f>
        <v/>
      </c>
      <c r="F41" s="19">
        <f>$I$19*F38</f>
        <v/>
      </c>
    </row>
    <row r="42">
      <c r="A42" s="11" t="inlineStr">
        <is>
          <t>ambient kd Ia  G</t>
        </is>
      </c>
      <c r="B42" s="19">
        <f>$J$19*B39</f>
        <v/>
      </c>
      <c r="C42" s="19">
        <f>$J$19*C39</f>
        <v/>
      </c>
      <c r="D42" s="19">
        <f>$J$19*D39</f>
        <v/>
      </c>
      <c r="E42" s="19">
        <f>$J$19*E39</f>
        <v/>
      </c>
      <c r="F42" s="19">
        <f>$J$19*F39</f>
        <v/>
      </c>
    </row>
    <row r="43">
      <c r="A43" s="11" t="inlineStr">
        <is>
          <t>ambient kd Ia  B</t>
        </is>
      </c>
      <c r="B43" s="19">
        <f>$K$19*B40</f>
        <v/>
      </c>
      <c r="C43" s="19">
        <f>$K$19*C40</f>
        <v/>
      </c>
      <c r="D43" s="19">
        <f>$K$19*D40</f>
        <v/>
      </c>
      <c r="E43" s="19">
        <f>$K$19*E40</f>
        <v/>
      </c>
      <c r="F43" s="19">
        <f>$K$19*F40</f>
        <v/>
      </c>
    </row>
    <row r="44">
      <c r="A44" s="11" t="inlineStr">
        <is>
          <t>diffuse kd Il (N.L)  R</t>
        </is>
      </c>
      <c r="B44" s="19">
        <f>$I$19*B35*B26</f>
        <v/>
      </c>
      <c r="C44" s="19">
        <f>$I$19*C35*C26</f>
        <v/>
      </c>
      <c r="D44" s="19">
        <f>$I$19*D35*D26</f>
        <v/>
      </c>
      <c r="E44" s="19">
        <f>$I$19*E35*E26</f>
        <v/>
      </c>
      <c r="F44" s="19">
        <f>$I$19*F35*F26</f>
        <v/>
      </c>
    </row>
    <row r="45">
      <c r="A45" s="11" t="inlineStr">
        <is>
          <t>diffuse kd Il (N.L)  G</t>
        </is>
      </c>
      <c r="B45" s="19">
        <f>$J$19*B36*B26</f>
        <v/>
      </c>
      <c r="C45" s="19">
        <f>$J$19*C36*C26</f>
        <v/>
      </c>
      <c r="D45" s="19">
        <f>$J$19*D36*D26</f>
        <v/>
      </c>
      <c r="E45" s="19">
        <f>$J$19*E36*E26</f>
        <v/>
      </c>
      <c r="F45" s="19">
        <f>$J$19*F36*F26</f>
        <v/>
      </c>
    </row>
    <row r="46">
      <c r="A46" s="11" t="inlineStr">
        <is>
          <t>diffuse kd Il (N.L)  B</t>
        </is>
      </c>
      <c r="B46" s="19">
        <f>$K$19*B37*B26</f>
        <v/>
      </c>
      <c r="C46" s="19">
        <f>$K$19*C37*C26</f>
        <v/>
      </c>
      <c r="D46" s="19">
        <f>$K$19*D37*D26</f>
        <v/>
      </c>
      <c r="E46" s="19">
        <f>$K$19*E37*E26</f>
        <v/>
      </c>
      <c r="F46" s="19">
        <f>$K$19*F37*F26</f>
        <v/>
      </c>
    </row>
    <row r="47">
      <c r="A47" s="11" t="inlineStr">
        <is>
          <t>specular ks Il (N.H)^n  R</t>
        </is>
      </c>
      <c r="B47" s="19">
        <f>$I$20*B35*B31</f>
        <v/>
      </c>
      <c r="C47" s="19">
        <f>$I$20*C35*C31</f>
        <v/>
      </c>
      <c r="D47" s="19">
        <f>$I$20*D35*D31</f>
        <v/>
      </c>
      <c r="E47" s="19">
        <f>$I$20*E35*E31</f>
        <v/>
      </c>
      <c r="F47" s="19">
        <f>$I$20*F35*F31</f>
        <v/>
      </c>
    </row>
    <row r="48">
      <c r="A48" s="11" t="inlineStr">
        <is>
          <t>specular ks Il (N.H)^n  G</t>
        </is>
      </c>
      <c r="B48" s="19">
        <f>$I$20*B36*B31</f>
        <v/>
      </c>
      <c r="C48" s="19">
        <f>$I$20*C36*C31</f>
        <v/>
      </c>
      <c r="D48" s="19">
        <f>$I$20*D36*D31</f>
        <v/>
      </c>
      <c r="E48" s="19">
        <f>$I$20*E36*E31</f>
        <v/>
      </c>
      <c r="F48" s="19">
        <f>$I$20*F36*F31</f>
        <v/>
      </c>
    </row>
    <row r="49">
      <c r="A49" s="11" t="inlineStr">
        <is>
          <t>specular ks Il (N.H)^n  B</t>
        </is>
      </c>
      <c r="B49" s="19">
        <f>$I$20*B37*B31</f>
        <v/>
      </c>
      <c r="C49" s="19">
        <f>$I$20*C37*C31</f>
        <v/>
      </c>
      <c r="D49" s="19">
        <f>$I$20*D37*D31</f>
        <v/>
      </c>
      <c r="E49" s="19">
        <f>$I$20*E37*E31</f>
        <v/>
      </c>
      <c r="F49" s="19">
        <f>$I$20*F37*F31</f>
        <v/>
      </c>
    </row>
    <row r="50">
      <c r="A50" s="4" t="inlineStr">
        <is>
          <t>total I  R</t>
        </is>
      </c>
      <c r="B50" s="25">
        <f>B41+B44+B47</f>
        <v/>
      </c>
      <c r="C50" s="25">
        <f>C41+C44+C47</f>
        <v/>
      </c>
      <c r="D50" s="25">
        <f>D41+D44+D47</f>
        <v/>
      </c>
      <c r="E50" s="25">
        <f>E41+E44+E47</f>
        <v/>
      </c>
      <c r="F50" s="25">
        <f>F41+F44+F47</f>
        <v/>
      </c>
    </row>
    <row r="51">
      <c r="A51" s="4" t="inlineStr">
        <is>
          <t>total I  G</t>
        </is>
      </c>
      <c r="B51" s="25">
        <f>B42+B45+B48</f>
        <v/>
      </c>
      <c r="C51" s="25">
        <f>C42+C45+C48</f>
        <v/>
      </c>
      <c r="D51" s="25">
        <f>D42+D45+D48</f>
        <v/>
      </c>
      <c r="E51" s="25">
        <f>E42+E45+E48</f>
        <v/>
      </c>
      <c r="F51" s="25">
        <f>F42+F45+F48</f>
        <v/>
      </c>
    </row>
    <row r="52">
      <c r="A52" s="4" t="inlineStr">
        <is>
          <t>total I  B</t>
        </is>
      </c>
      <c r="B52" s="25">
        <f>B43+B46+B49</f>
        <v/>
      </c>
      <c r="C52" s="25">
        <f>C43+C46+C49</f>
        <v/>
      </c>
      <c r="D52" s="25">
        <f>D43+D46+D49</f>
        <v/>
      </c>
      <c r="E52" s="25">
        <f>E43+E46+E49</f>
        <v/>
      </c>
      <c r="F52" s="25">
        <f>F43+F46+F49</f>
        <v/>
      </c>
    </row>
    <row r="53">
      <c r="A53" s="4" t="inlineStr">
        <is>
          <t>luminance Y of total (Rec. 709)</t>
        </is>
      </c>
      <c r="B53" s="25">
        <f>0.2126*B50+0.7152*B51+0.0722*B52</f>
        <v/>
      </c>
      <c r="C53" s="25">
        <f>0.2126*C50+0.7152*C51+0.0722*C52</f>
        <v/>
      </c>
      <c r="D53" s="25">
        <f>0.2126*D50+0.7152*D51+0.0722*D52</f>
        <v/>
      </c>
      <c r="E53" s="25">
        <f>0.2126*E50+0.7152*E51+0.0722*E52</f>
        <v/>
      </c>
      <c r="F53" s="25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22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19">
        <f>$B$11*MAX(0,H7)+$C$11*MAX(0,H7)^$D$11</f>
        <v/>
      </c>
      <c r="K7" s="22" t="inlineStr">
        <is>
          <t>A</t>
        </is>
      </c>
      <c r="L7" s="8" t="n">
        <v>255</v>
      </c>
      <c r="M7" s="8" t="n">
        <v>64</v>
      </c>
      <c r="N7" s="8" t="n">
        <v>0</v>
      </c>
      <c r="O7" s="19">
        <f>IF((L7/255)&lt;=0.04045,(L7/255)/12.92,(((L7/255)+0.055)/1.055)^2.4)</f>
        <v/>
      </c>
      <c r="P7" s="19">
        <f>IF((M7/255)&lt;=0.04045,(M7/255)/12.92,(((M7/255)+0.055)/1.055)^2.4)</f>
        <v/>
      </c>
      <c r="Q7" s="19">
        <f>IF((N7/255)&lt;=0.04045,(N7/255)/12.92,(((N7/255)+0.055)/1.055)^2.4)</f>
        <v/>
      </c>
    </row>
    <row r="8">
      <c r="A8" s="22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19">
        <f>$B$11*MAX(0,H8)+$C$11*MAX(0,H8)^$D$11</f>
        <v/>
      </c>
      <c r="K8" s="22" t="inlineStr">
        <is>
          <t>B</t>
        </is>
      </c>
      <c r="L8" s="8" t="n">
        <v>0</v>
      </c>
      <c r="M8" s="8" t="n">
        <v>128</v>
      </c>
      <c r="N8" s="8" t="n">
        <v>255</v>
      </c>
      <c r="O8" s="19">
        <f>IF((L8/255)&lt;=0.04045,(L8/255)/12.92,(((L8/255)+0.055)/1.055)^2.4)</f>
        <v/>
      </c>
      <c r="P8" s="19">
        <f>IF((M8/255)&lt;=0.04045,(M8/255)/12.92,(((M8/255)+0.055)/1.055)^2.4)</f>
        <v/>
      </c>
      <c r="Q8" s="19">
        <f>IF((N8/255)&lt;=0.04045,(N8/255)/12.92,(((N8/255)+0.055)/1.055)^2.4)</f>
        <v/>
      </c>
    </row>
    <row r="9" ht="18" customHeight="1">
      <c r="A9" s="22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19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26" t="inlineStr">
        <is>
          <t>L = V = (0, 0, 1), H = (0, 0, 1)</t>
        </is>
      </c>
      <c r="K10" s="24" t="n">
        <v>0</v>
      </c>
      <c r="L10" s="27">
        <f>(1-K10)*$L$7+K10*$L$8</f>
        <v/>
      </c>
      <c r="M10" s="27">
        <f>(1-K10)*$M$7+K10*$M$8</f>
        <v/>
      </c>
      <c r="N10" s="27">
        <f>(1-K10)*$N$7+K10*$N$8</f>
        <v/>
      </c>
      <c r="O10" s="27">
        <f>255*IF(((1-K10)*$O$7+K10*$O$8)&lt;=0.0031308,12.92*((1-K10)*$O$7+K10*$O$8),1.055*((1-K10)*$O$7+K10*$O$8)^(1/2.4)-0.055)</f>
        <v/>
      </c>
      <c r="P10" s="27">
        <f>255*IF(((1-K10)*$P$7+K10*$P$8)&lt;=0.0031308,12.92*((1-K10)*$P$7+K10*$P$8),1.055*((1-K10)*$P$7+K10*$P$8)^(1/2.4)-0.055)</f>
        <v/>
      </c>
      <c r="Q10" s="27">
        <f>255*IF(((1-K10)*$Q$7+K10*$Q$8)&lt;=0.0031308,12.92*((1-K10)*$Q$7+K10*$Q$8),1.055*((1-K10)*$Q$7+K10*$Q$8)^(1/2.4)-0.055)</f>
        <v/>
      </c>
      <c r="R10" s="19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19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24" t="n">
        <v>0.25</v>
      </c>
      <c r="L11" s="27">
        <f>(1-K11)*$L$7+K11*$L$8</f>
        <v/>
      </c>
      <c r="M11" s="27">
        <f>(1-K11)*$M$7+K11*$M$8</f>
        <v/>
      </c>
      <c r="N11" s="27">
        <f>(1-K11)*$N$7+K11*$N$8</f>
        <v/>
      </c>
      <c r="O11" s="27">
        <f>255*IF(((1-K11)*$O$7+K11*$O$8)&lt;=0.0031308,12.92*((1-K11)*$O$7+K11*$O$8),1.055*((1-K11)*$O$7+K11*$O$8)^(1/2.4)-0.055)</f>
        <v/>
      </c>
      <c r="P11" s="27">
        <f>255*IF(((1-K11)*$P$7+K11*$P$8)&lt;=0.0031308,12.92*((1-K11)*$P$7+K11*$P$8),1.055*((1-K11)*$P$7+K11*$P$8)^(1/2.4)-0.055)</f>
        <v/>
      </c>
      <c r="Q11" s="27">
        <f>255*IF(((1-K11)*$Q$7+K11*$Q$8)&lt;=0.0031308,12.92*((1-K11)*$Q$7+K11*$Q$8),1.055*((1-K11)*$Q$7+K11*$Q$8)^(1/2.4)-0.055)</f>
        <v/>
      </c>
      <c r="R11" s="19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19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24" t="n">
        <v>0.5</v>
      </c>
      <c r="L12" s="27">
        <f>(1-K12)*$L$7+K12*$L$8</f>
        <v/>
      </c>
      <c r="M12" s="27">
        <f>(1-K12)*$M$7+K12*$M$8</f>
        <v/>
      </c>
      <c r="N12" s="27">
        <f>(1-K12)*$N$7+K12*$N$8</f>
        <v/>
      </c>
      <c r="O12" s="27">
        <f>255*IF(((1-K12)*$O$7+K12*$O$8)&lt;=0.0031308,12.92*((1-K12)*$O$7+K12*$O$8),1.055*((1-K12)*$O$7+K12*$O$8)^(1/2.4)-0.055)</f>
        <v/>
      </c>
      <c r="P12" s="27">
        <f>255*IF(((1-K12)*$P$7+K12*$P$8)&lt;=0.0031308,12.92*((1-K12)*$P$7+K12*$P$8),1.055*((1-K12)*$P$7+K12*$P$8)^(1/2.4)-0.055)</f>
        <v/>
      </c>
      <c r="Q12" s="27">
        <f>255*IF(((1-K12)*$Q$7+K12*$Q$8)&lt;=0.0031308,12.92*((1-K12)*$Q$7+K12*$Q$8),1.055*((1-K12)*$Q$7+K12*$Q$8)^(1/2.4)-0.055)</f>
        <v/>
      </c>
      <c r="R12" s="19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19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24" t="n">
        <v>0.75</v>
      </c>
      <c r="L13" s="27">
        <f>(1-K13)*$L$7+K13*$L$8</f>
        <v/>
      </c>
      <c r="M13" s="27">
        <f>(1-K13)*$M$7+K13*$M$8</f>
        <v/>
      </c>
      <c r="N13" s="27">
        <f>(1-K13)*$N$7+K13*$N$8</f>
        <v/>
      </c>
      <c r="O13" s="27">
        <f>255*IF(((1-K13)*$O$7+K13*$O$8)&lt;=0.0031308,12.92*((1-K13)*$O$7+K13*$O$8),1.055*((1-K13)*$O$7+K13*$O$8)^(1/2.4)-0.055)</f>
        <v/>
      </c>
      <c r="P13" s="27">
        <f>255*IF(((1-K13)*$P$7+K13*$P$8)&lt;=0.0031308,12.92*((1-K13)*$P$7+K13*$P$8),1.055*((1-K13)*$P$7+K13*$P$8)^(1/2.4)-0.055)</f>
        <v/>
      </c>
      <c r="Q13" s="27">
        <f>255*IF(((1-K13)*$Q$7+K13*$Q$8)&lt;=0.0031308,12.92*((1-K13)*$Q$7+K13*$Q$8),1.055*((1-K13)*$Q$7+K13*$Q$8)^(1/2.4)-0.055)</f>
        <v/>
      </c>
      <c r="R13" s="19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19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24" t="n">
        <v>1</v>
      </c>
      <c r="L14" s="27">
        <f>(1-K14)*$L$7+K14*$L$8</f>
        <v/>
      </c>
      <c r="M14" s="27">
        <f>(1-K14)*$M$7+K14*$M$8</f>
        <v/>
      </c>
      <c r="N14" s="27">
        <f>(1-K14)*$N$7+K14*$N$8</f>
        <v/>
      </c>
      <c r="O14" s="27">
        <f>255*IF(((1-K14)*$O$7+K14*$O$8)&lt;=0.0031308,12.92*((1-K14)*$O$7+K14*$O$8),1.055*((1-K14)*$O$7+K14*$O$8)^(1/2.4)-0.055)</f>
        <v/>
      </c>
      <c r="P14" s="27">
        <f>255*IF(((1-K14)*$P$7+K14*$P$8)&lt;=0.0031308,12.92*((1-K14)*$P$7+K14*$P$8),1.055*((1-K14)*$P$7+K14*$P$8)^(1/2.4)-0.055)</f>
        <v/>
      </c>
      <c r="Q14" s="27">
        <f>255*IF(((1-K14)*$Q$7+K14*$Q$8)&lt;=0.0031308,12.92*((1-K14)*$Q$7+K14*$Q$8),1.055*((1-K14)*$Q$7+K14*$Q$8)^(1/2.4)-0.055)</f>
        <v/>
      </c>
      <c r="R14" s="19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19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19">
        <f>(($B$9-$B$8)*(C16-$C$8)-($C$9-$C$8)*(B16-$B$8))/$B$12</f>
        <v/>
      </c>
      <c r="E16" s="19">
        <f>(($B$7-$B$9)*(C16-$C$9)-($C$7-$C$9)*(B16-$B$9))/$B$12</f>
        <v/>
      </c>
      <c r="F16" s="19">
        <f>(($B$8-$B$7)*(C16-$C$7)-($C$8-$C$7)*(B16-$B$7))/$B$12</f>
        <v/>
      </c>
      <c r="G16" s="19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19">
        <f>(($B$9-$B$8)*(C17-$C$8)-($C$9-$C$8)*(B17-$B$8))/$B$12</f>
        <v/>
      </c>
      <c r="E17" s="19">
        <f>(($B$7-$B$9)*(C17-$C$9)-($C$7-$C$9)*(B17-$B$9))/$B$12</f>
        <v/>
      </c>
      <c r="F17" s="19">
        <f>(($B$8-$B$7)*(C17-$C$7)-($C$8-$C$7)*(B17-$B$7))/$B$12</f>
        <v/>
      </c>
      <c r="G17" s="19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19">
        <f>(($B$9-$B$8)*(C18-$C$8)-($C$9-$C$8)*(B18-$B$8))/$B$12</f>
        <v/>
      </c>
      <c r="E18" s="19">
        <f>(($B$7-$B$9)*(C18-$C$9)-($C$7-$C$9)*(B18-$B$9))/$B$12</f>
        <v/>
      </c>
      <c r="F18" s="19">
        <f>(($B$8-$B$7)*(C18-$C$7)-($C$8-$C$7)*(B18-$B$7))/$B$12</f>
        <v/>
      </c>
      <c r="G18" s="19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19">
        <f>(($B$9-$B$8)*(C19-$C$8)-($C$9-$C$8)*(B19-$B$8))/$B$12</f>
        <v/>
      </c>
      <c r="E19" s="19">
        <f>(($B$7-$B$9)*(C19-$C$9)-($C$7-$C$9)*(B19-$B$9))/$B$12</f>
        <v/>
      </c>
      <c r="F19" s="19">
        <f>(($B$8-$B$7)*(C19-$C$7)-($C$8-$C$7)*(B19-$B$7))/$B$12</f>
        <v/>
      </c>
      <c r="G19" s="19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19">
        <f>(($B$9-$B$8)*(C20-$C$8)-($C$9-$C$8)*(B20-$B$8))/$B$12</f>
        <v/>
      </c>
      <c r="E20" s="19">
        <f>(($B$7-$B$9)*(C20-$C$9)-($C$7-$C$9)*(B20-$B$9))/$B$12</f>
        <v/>
      </c>
      <c r="F20" s="19">
        <f>(($B$8-$B$7)*(C20-$C$7)-($C$8-$C$7)*(B20-$B$7))/$B$12</f>
        <v/>
      </c>
      <c r="G20" s="19">
        <f>D20+E20+F20</f>
        <v/>
      </c>
      <c r="H20" s="15">
        <f>IF(AND(D20&gt;=0,E20&gt;=0,F20&gt;=0),"yes","no")</f>
        <v/>
      </c>
      <c r="K20" s="24" t="n">
        <v>0</v>
      </c>
      <c r="L20" s="19">
        <f>DEGREES(ASIN(SIN(RADIANS($S$18))*SIN(RADIANS($T$18))+COS(RADIANS($S$18))*COS(RADIANS($T$18))*COS(RADIANS(15*(K20-12)))))</f>
        <v/>
      </c>
      <c r="M20" s="16" t="n">
        <v>-71.8</v>
      </c>
      <c r="N20" s="19">
        <f>L20-M20</f>
        <v/>
      </c>
      <c r="O20" s="19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19">
        <f>0.2126*Q20+0.7152*R20+0.0722*S20</f>
        <v/>
      </c>
      <c r="U20" s="28" t="inlineStr">
        <is>
          <t>NIGHT</t>
        </is>
      </c>
    </row>
    <row r="21">
      <c r="K21" s="24" t="n">
        <v>4</v>
      </c>
      <c r="L21" s="19">
        <f>DEGREES(ASIN(SIN(RADIANS($S$18))*SIN(RADIANS($T$18))+COS(RADIANS($S$18))*COS(RADIANS($T$18))*COS(RADIANS(15*(K21-12)))))</f>
        <v/>
      </c>
      <c r="M21" s="16" t="n">
        <v>-29.3751</v>
      </c>
      <c r="N21" s="19">
        <f>L21-M21</f>
        <v/>
      </c>
      <c r="O21" s="19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19">
        <f>0.2126*Q21+0.7152*R21+0.0722*S21</f>
        <v/>
      </c>
      <c r="U21" s="28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24" t="n">
        <v>5.5</v>
      </c>
      <c r="L22" s="19">
        <f>DEGREES(ASIN(SIN(RADIANS($S$18))*SIN(RADIANS($T$18))+COS(RADIANS($S$18))*COS(RADIANS($T$18))*COS(RADIANS(15*(K22-12)))))</f>
        <v/>
      </c>
      <c r="M22" s="16" t="n">
        <v>-8.68594</v>
      </c>
      <c r="N22" s="19">
        <f>L22-M22</f>
        <v/>
      </c>
      <c r="O22" s="19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19">
        <f>0.2126*Q22+0.7152*R22+0.0722*S22</f>
        <v/>
      </c>
      <c r="U22" s="28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24" t="n">
        <v>6</v>
      </c>
      <c r="L23" s="19">
        <f>DEGREES(ASIN(SIN(RADIANS($S$18))*SIN(RADIANS($T$18))+COS(RADIANS($S$18))*COS(RADIANS($T$18))*COS(RADIANS(15*(K23-12)))))</f>
        <v/>
      </c>
      <c r="M23" s="16" t="n">
        <v>-1.78095</v>
      </c>
      <c r="N23" s="19">
        <f>L23-M23</f>
        <v/>
      </c>
      <c r="O23" s="19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19">
        <f>0.2126*Q23+0.7152*R23+0.0722*S23</f>
        <v/>
      </c>
      <c r="U23" s="28" t="inlineStr">
        <is>
          <t>DAWN</t>
        </is>
      </c>
    </row>
    <row r="24">
      <c r="A24" s="25">
        <f>A16</f>
        <v/>
      </c>
      <c r="B24" s="19">
        <f>D16*$I$7+E16*$I$8+F16*$I$9</f>
        <v/>
      </c>
      <c r="C24" s="19">
        <f>D16*$F$7+E16*$F$8+F16*$F$9</f>
        <v/>
      </c>
      <c r="D24" s="19">
        <f>D16*$G$7+E16*$G$8+F16*$G$9</f>
        <v/>
      </c>
      <c r="E24" s="19">
        <f>D16*$H$7+E16*$H$8+F16*$H$9</f>
        <v/>
      </c>
      <c r="F24" s="19">
        <f>SQRT(C24^2+D24^2+E24^2)</f>
        <v/>
      </c>
      <c r="G24" s="19">
        <f>$B$11*MAX(0,(E24/F24))+$C$11*MAX(0,(E24/F24))^$D$11</f>
        <v/>
      </c>
      <c r="H24" s="19">
        <f>G24-B24</f>
        <v/>
      </c>
      <c r="K24" s="24" t="n">
        <v>6.5</v>
      </c>
      <c r="L24" s="19">
        <f>DEGREES(ASIN(SIN(RADIANS($S$18))*SIN(RADIANS($T$18))+COS(RADIANS($S$18))*COS(RADIANS($T$18))*COS(RADIANS(15*(K24-12)))))</f>
        <v/>
      </c>
      <c r="M24" s="16" t="n">
        <v>5.0981</v>
      </c>
      <c r="N24" s="19">
        <f>L24-M24</f>
        <v/>
      </c>
      <c r="O24" s="19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19">
        <f>0.2126*Q24+0.7152*R24+0.0722*S24</f>
        <v/>
      </c>
      <c r="U24" s="28" t="inlineStr">
        <is>
          <t>DAY</t>
        </is>
      </c>
    </row>
    <row r="25">
      <c r="A25" s="25">
        <f>A17</f>
        <v/>
      </c>
      <c r="B25" s="19">
        <f>D17*$I$7+E17*$I$8+F17*$I$9</f>
        <v/>
      </c>
      <c r="C25" s="19">
        <f>D17*$F$7+E17*$F$8+F17*$F$9</f>
        <v/>
      </c>
      <c r="D25" s="19">
        <f>D17*$G$7+E17*$G$8+F17*$G$9</f>
        <v/>
      </c>
      <c r="E25" s="19">
        <f>D17*$H$7+E17*$H$8+F17*$H$9</f>
        <v/>
      </c>
      <c r="F25" s="19">
        <f>SQRT(C25^2+D25^2+E25^2)</f>
        <v/>
      </c>
      <c r="G25" s="19">
        <f>$B$11*MAX(0,(E25/F25))+$C$11*MAX(0,(E25/F25))^$D$11</f>
        <v/>
      </c>
      <c r="H25" s="19">
        <f>G25-B25</f>
        <v/>
      </c>
      <c r="K25" s="24" t="n">
        <v>7</v>
      </c>
      <c r="L25" s="19">
        <f>DEGREES(ASIN(SIN(RADIANS($S$18))*SIN(RADIANS($T$18))+COS(RADIANS($S$18))*COS(RADIANS($T$18))*COS(RADIANS(15*(K25-12)))))</f>
        <v/>
      </c>
      <c r="M25" s="16" t="n">
        <v>11.9319</v>
      </c>
      <c r="N25" s="19">
        <f>L25-M25</f>
        <v/>
      </c>
      <c r="O25" s="19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19">
        <f>0.2126*Q25+0.7152*R25+0.0722*S25</f>
        <v/>
      </c>
      <c r="U25" s="28" t="inlineStr">
        <is>
          <t>DAY</t>
        </is>
      </c>
    </row>
    <row r="26">
      <c r="A26" s="25">
        <f>A18</f>
        <v/>
      </c>
      <c r="B26" s="19">
        <f>D18*$I$7+E18*$I$8+F18*$I$9</f>
        <v/>
      </c>
      <c r="C26" s="19">
        <f>D18*$F$7+E18*$F$8+F18*$F$9</f>
        <v/>
      </c>
      <c r="D26" s="19">
        <f>D18*$G$7+E18*$G$8+F18*$G$9</f>
        <v/>
      </c>
      <c r="E26" s="19">
        <f>D18*$H$7+E18*$H$8+F18*$H$9</f>
        <v/>
      </c>
      <c r="F26" s="19">
        <f>SQRT(C26^2+D26^2+E26^2)</f>
        <v/>
      </c>
      <c r="G26" s="19">
        <f>$B$11*MAX(0,(E26/F26))+$C$11*MAX(0,(E26/F26))^$D$11</f>
        <v/>
      </c>
      <c r="H26" s="19">
        <f>G26-B26</f>
        <v/>
      </c>
      <c r="K26" s="24" t="n">
        <v>9</v>
      </c>
      <c r="L26" s="19">
        <f>DEGREES(ASIN(SIN(RADIANS($S$18))*SIN(RADIANS($T$18))+COS(RADIANS($S$18))*COS(RADIANS($T$18))*COS(RADIANS(15*(K26-12)))))</f>
        <v/>
      </c>
      <c r="M26" s="16" t="n">
        <v>38.2196</v>
      </c>
      <c r="N26" s="19">
        <f>L26-M26</f>
        <v/>
      </c>
      <c r="O26" s="19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19">
        <f>0.2126*Q26+0.7152*R26+0.0722*S26</f>
        <v/>
      </c>
      <c r="U26" s="28" t="inlineStr">
        <is>
          <t>DAY</t>
        </is>
      </c>
    </row>
    <row r="27">
      <c r="A27" s="25">
        <f>A19</f>
        <v/>
      </c>
      <c r="B27" s="19">
        <f>D19*$I$7+E19*$I$8+F19*$I$9</f>
        <v/>
      </c>
      <c r="C27" s="19">
        <f>D19*$F$7+E19*$F$8+F19*$F$9</f>
        <v/>
      </c>
      <c r="D27" s="19">
        <f>D19*$G$7+E19*$G$8+F19*$G$9</f>
        <v/>
      </c>
      <c r="E27" s="19">
        <f>D19*$H$7+E19*$H$8+F19*$H$9</f>
        <v/>
      </c>
      <c r="F27" s="19">
        <f>SQRT(C27^2+D27^2+E27^2)</f>
        <v/>
      </c>
      <c r="G27" s="19">
        <f>$B$11*MAX(0,(E27/F27))+$C$11*MAX(0,(E27/F27))^$D$11</f>
        <v/>
      </c>
      <c r="H27" s="19">
        <f>G27-B27</f>
        <v/>
      </c>
      <c r="K27" s="24" t="n">
        <v>12</v>
      </c>
      <c r="L27" s="19">
        <f>DEGREES(ASIN(SIN(RADIANS($S$18))*SIN(RADIANS($T$18))+COS(RADIANS($S$18))*COS(RADIANS($T$18))*COS(RADIANS(15*(K27-12)))))</f>
        <v/>
      </c>
      <c r="M27" s="16" t="n">
        <v>62.6</v>
      </c>
      <c r="N27" s="19">
        <f>L27-M27</f>
        <v/>
      </c>
      <c r="O27" s="19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19">
        <f>0.2126*Q27+0.7152*R27+0.0722*S27</f>
        <v/>
      </c>
      <c r="U27" s="28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24" t="n">
        <v>15</v>
      </c>
      <c r="L28" s="19">
        <f>DEGREES(ASIN(SIN(RADIANS($S$18))*SIN(RADIANS($T$18))+COS(RADIANS($S$18))*COS(RADIANS($T$18))*COS(RADIANS(15*(K28-12)))))</f>
        <v/>
      </c>
      <c r="M28" s="16" t="n">
        <v>38.2196</v>
      </c>
      <c r="N28" s="19">
        <f>L28-M28</f>
        <v/>
      </c>
      <c r="O28" s="19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19">
        <f>0.2126*Q28+0.7152*R28+0.0722*S28</f>
        <v/>
      </c>
      <c r="U28" s="28" t="inlineStr">
        <is>
          <t>DAY</t>
        </is>
      </c>
    </row>
    <row r="29">
      <c r="K29" s="24" t="n">
        <v>17</v>
      </c>
      <c r="L29" s="19">
        <f>DEGREES(ASIN(SIN(RADIANS($S$18))*SIN(RADIANS($T$18))+COS(RADIANS($S$18))*COS(RADIANS($T$18))*COS(RADIANS(15*(K29-12)))))</f>
        <v/>
      </c>
      <c r="M29" s="16" t="n">
        <v>11.9319</v>
      </c>
      <c r="N29" s="19">
        <f>L29-M29</f>
        <v/>
      </c>
      <c r="O29" s="19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19">
        <f>0.2126*Q29+0.7152*R29+0.0722*S29</f>
        <v/>
      </c>
      <c r="U29" s="28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24" t="n">
        <v>17.5</v>
      </c>
      <c r="L30" s="19">
        <f>DEGREES(ASIN(SIN(RADIANS($S$18))*SIN(RADIANS($T$18))+COS(RADIANS($S$18))*COS(RADIANS($T$18))*COS(RADIANS(15*(K30-12)))))</f>
        <v/>
      </c>
      <c r="M30" s="16" t="n">
        <v>5.0981</v>
      </c>
      <c r="N30" s="19">
        <f>L30-M30</f>
        <v/>
      </c>
      <c r="O30" s="19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19">
        <f>0.2126*Q30+0.7152*R30+0.0722*S30</f>
        <v/>
      </c>
      <c r="U30" s="28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24" t="n">
        <v>18</v>
      </c>
      <c r="L31" s="19">
        <f>DEGREES(ASIN(SIN(RADIANS($S$18))*SIN(RADIANS($T$18))+COS(RADIANS($S$18))*COS(RADIANS($T$18))*COS(RADIANS(15*(K31-12)))))</f>
        <v/>
      </c>
      <c r="M31" s="16" t="n">
        <v>-1.78095</v>
      </c>
      <c r="N31" s="19">
        <f>L31-M31</f>
        <v/>
      </c>
      <c r="O31" s="19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19">
        <f>0.2126*Q31+0.7152*R31+0.0722*S31</f>
        <v/>
      </c>
      <c r="U31" s="28" t="inlineStr">
        <is>
          <t>DUSK</t>
        </is>
      </c>
    </row>
    <row r="32">
      <c r="A32" s="25">
        <f>A16</f>
        <v/>
      </c>
      <c r="B32" s="19">
        <f>D16*$E$7+E16*$E$8+F16*$E$9</f>
        <v/>
      </c>
      <c r="C32" s="19">
        <f>(D16*$E$7/$D$7+E16*$E$8/$D$8+F16*$E$9/$D$9)/(D16/$D$7+E16/$D$8+F16/$D$9)</f>
        <v/>
      </c>
      <c r="D32" s="19">
        <f>B32-C32</f>
        <v/>
      </c>
      <c r="K32" s="24" t="n">
        <v>18.5</v>
      </c>
      <c r="L32" s="19">
        <f>DEGREES(ASIN(SIN(RADIANS($S$18))*SIN(RADIANS($T$18))+COS(RADIANS($S$18))*COS(RADIANS($T$18))*COS(RADIANS(15*(K32-12)))))</f>
        <v/>
      </c>
      <c r="M32" s="16" t="n">
        <v>-8.68594</v>
      </c>
      <c r="N32" s="19">
        <f>L32-M32</f>
        <v/>
      </c>
      <c r="O32" s="19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19">
        <f>0.2126*Q32+0.7152*R32+0.0722*S32</f>
        <v/>
      </c>
      <c r="U32" s="28" t="inlineStr">
        <is>
          <t>NIGHT</t>
        </is>
      </c>
    </row>
    <row r="33">
      <c r="A33" s="25">
        <f>A17</f>
        <v/>
      </c>
      <c r="B33" s="19">
        <f>D17*$E$7+E17*$E$8+F17*$E$9</f>
        <v/>
      </c>
      <c r="C33" s="19">
        <f>(D17*$E$7/$D$7+E17*$E$8/$D$8+F17*$E$9/$D$9)/(D17/$D$7+E17/$D$8+F17/$D$9)</f>
        <v/>
      </c>
      <c r="D33" s="19">
        <f>B33-C33</f>
        <v/>
      </c>
      <c r="K33" s="24" t="n">
        <v>20</v>
      </c>
      <c r="L33" s="19">
        <f>DEGREES(ASIN(SIN(RADIANS($S$18))*SIN(RADIANS($T$18))+COS(RADIANS($S$18))*COS(RADIANS($T$18))*COS(RADIANS(15*(K33-12)))))</f>
        <v/>
      </c>
      <c r="M33" s="16" t="n">
        <v>-29.3751</v>
      </c>
      <c r="N33" s="19">
        <f>L33-M33</f>
        <v/>
      </c>
      <c r="O33" s="19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19">
        <f>0.2126*Q33+0.7152*R33+0.0722*S33</f>
        <v/>
      </c>
      <c r="U33" s="28" t="inlineStr">
        <is>
          <t>NIGHT</t>
        </is>
      </c>
    </row>
    <row r="34">
      <c r="A34" s="25">
        <f>A18</f>
        <v/>
      </c>
      <c r="B34" s="19">
        <f>D18*$E$7+E18*$E$8+F18*$E$9</f>
        <v/>
      </c>
      <c r="C34" s="19">
        <f>(D18*$E$7/$D$7+E18*$E$8/$D$8+F18*$E$9/$D$9)/(D18/$D$7+E18/$D$8+F18/$D$9)</f>
        <v/>
      </c>
      <c r="D34" s="19">
        <f>B34-C34</f>
        <v/>
      </c>
      <c r="K34" s="24" t="n">
        <v>22</v>
      </c>
      <c r="L34" s="19">
        <f>DEGREES(ASIN(SIN(RADIANS($S$18))*SIN(RADIANS($T$18))+COS(RADIANS($S$18))*COS(RADIANS($T$18))*COS(RADIANS(15*(K34-12)))))</f>
        <v/>
      </c>
      <c r="M34" s="16" t="n">
        <v>-55.7779</v>
      </c>
      <c r="N34" s="19">
        <f>L34-M34</f>
        <v/>
      </c>
      <c r="O34" s="19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19">
        <f>0.2126*Q34+0.7152*R34+0.0722*S34</f>
        <v/>
      </c>
      <c r="U34" s="28" t="inlineStr">
        <is>
          <t>NIGHT</t>
        </is>
      </c>
    </row>
    <row r="35">
      <c r="A35" s="25">
        <f>A19</f>
        <v/>
      </c>
      <c r="B35" s="19">
        <f>D19*$E$7+E19*$E$8+F19*$E$9</f>
        <v/>
      </c>
      <c r="C35" s="19">
        <f>(D19*$E$7/$D$7+E19*$E$8/$D$8+F19*$E$9/$D$9)/(D19/$D$7+E19/$D$8+F19/$D$9)</f>
        <v/>
      </c>
      <c r="D35" s="19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19">
        <f>$G$6/SQRT($G$6^2+$H$6^2+$I$6^2)</f>
        <v/>
      </c>
      <c r="H7" s="19">
        <f>$H$6/SQRT($G$6^2+$H$6^2+$I$6^2)</f>
        <v/>
      </c>
      <c r="I7" s="19">
        <f>$I$6/SQRT($G$6^2+$H$6^2+$I$6^2)</f>
        <v/>
      </c>
    </row>
    <row r="8">
      <c r="A8" s="4" t="inlineStr">
        <is>
          <t>d = normalize</t>
        </is>
      </c>
      <c r="B8" s="19">
        <f>$B$7/SQRT($B$7^2+$C$7^2+$D$7^2)</f>
        <v/>
      </c>
      <c r="C8" s="19">
        <f>$C$7/SQRT($B$7^2+$C$7^2+$D$7^2)</f>
        <v/>
      </c>
      <c r="D8" s="19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19">
        <f>$G$9/$H$9</f>
        <v/>
      </c>
    </row>
    <row r="11">
      <c r="A11" s="4" t="inlineStr">
        <is>
          <t>oc = o - c</t>
        </is>
      </c>
      <c r="B11" s="19">
        <f>$B$6-$B$9</f>
        <v/>
      </c>
      <c r="C11" s="19">
        <f>$C$6-$C$9</f>
        <v/>
      </c>
      <c r="D11" s="19">
        <f>$D$6-$D$9</f>
        <v/>
      </c>
      <c r="F11" s="4" t="inlineStr">
        <is>
          <t>cos i = -d . n</t>
        </is>
      </c>
      <c r="G11" s="19">
        <f>-($G$7*$G$8+$H$7*$H$8+$I$7*$I$8)</f>
        <v/>
      </c>
    </row>
    <row r="12">
      <c r="A12" s="4" t="inlineStr">
        <is>
          <t>a = d . d</t>
        </is>
      </c>
      <c r="B12" s="19">
        <f>$B$8*$B$8+$C$8*$C$8+$D$8*$D$8</f>
        <v/>
      </c>
      <c r="F12" s="4" t="inlineStr">
        <is>
          <t>k = 1 - eta^2 (1 - cos^2 i)</t>
        </is>
      </c>
      <c r="G12" s="19">
        <f>1-$G$10^2*(1-$G$11^2)</f>
        <v/>
      </c>
    </row>
    <row r="13">
      <c r="A13" s="4" t="inlineStr">
        <is>
          <t>b = 2 d . oc</t>
        </is>
      </c>
      <c r="B13" s="19">
        <f>2*($B$8*$B$11+$C$8*$C$11+$D$8*$D$11)</f>
        <v/>
      </c>
      <c r="F13" s="4" t="inlineStr">
        <is>
          <t>t = eta d + (eta cos i - sqrt k) n</t>
        </is>
      </c>
      <c r="G13" s="19">
        <f>IF($G$12&lt;0,"TIR",$G$10*$G$7+($G$10*$G$11-SQRT($G$12))*$G$8)</f>
        <v/>
      </c>
      <c r="H13" s="19">
        <f>IF($G$12&lt;0,"TIR",$G$10*$H$7+($G$10*$G$11-SQRT($G$12))*$H$8)</f>
        <v/>
      </c>
      <c r="I13" s="19">
        <f>IF($G$12&lt;0,"TIR",$G$10*$I$7+($G$10*$G$11-SQRT($G$12))*$I$8)</f>
        <v/>
      </c>
    </row>
    <row r="14">
      <c r="A14" s="4" t="inlineStr">
        <is>
          <t>c' = oc . oc - r^2</t>
        </is>
      </c>
      <c r="B14" s="19">
        <f>$B$11*$B$11+$C$11*$C$11+$D$11*$D$11-$B$10^2</f>
        <v/>
      </c>
      <c r="F14" s="4" t="inlineStr">
        <is>
          <t>incidence angle (deg)</t>
        </is>
      </c>
      <c r="G14" s="19">
        <f>DEGREES(ACOS($G$11))</f>
        <v/>
      </c>
    </row>
    <row r="15">
      <c r="A15" s="4" t="inlineStr">
        <is>
          <t>discriminant b^2 - 4 a c'</t>
        </is>
      </c>
      <c r="B15" s="19">
        <f>$B$13^2-4*$B$12*$B$14</f>
        <v/>
      </c>
      <c r="F15" s="4" t="inlineStr">
        <is>
          <t>refraction angle (deg)</t>
        </is>
      </c>
      <c r="G15" s="19">
        <f>DEGREES(ASIN($G$10*SIN(RADIANS($G$14))))</f>
        <v/>
      </c>
    </row>
    <row r="16">
      <c r="A16" s="4" t="inlineStr">
        <is>
          <t>t1 = (-b - sqrt(disc)) / 2a (near)</t>
        </is>
      </c>
      <c r="B16" s="19">
        <f>IF($B$15&gt;=0,(-$B$13-SQRT($B$15))/(2*$B$12),"miss")</f>
        <v/>
      </c>
      <c r="F16" s="4" t="inlineStr">
        <is>
          <t>Snell check n1 sin i - n2 sin t</t>
        </is>
      </c>
      <c r="G16" s="19">
        <f>$G$9*SIN(RADIANS($G$14))-$H$9*SIN(RADIANS($G$15))</f>
        <v/>
      </c>
    </row>
    <row r="17">
      <c r="A17" s="4" t="inlineStr">
        <is>
          <t>t2 = (-b + sqrt(disc)) / 2a (far)</t>
        </is>
      </c>
      <c r="B17" s="19">
        <f>IF($B$15&gt;=0,(-$B$13+SQRT($B$15))/(2*$B$12),"miss")</f>
        <v/>
      </c>
      <c r="F17" s="4" t="inlineStr">
        <is>
          <t>Fresnel R (exact, fresnelDielectric)</t>
        </is>
      </c>
      <c r="G17" s="19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19">
        <f>$B$6+$B$16*$B$8</f>
        <v/>
      </c>
      <c r="C18" s="19">
        <f>$C$6+$B$16*$C$8</f>
        <v/>
      </c>
      <c r="D18" s="19">
        <f>$D$6+$B$16*$D$8</f>
        <v/>
      </c>
      <c r="F18" s="4" t="inlineStr">
        <is>
          <t>Schlick R0 = ((n1 - n2) / (n1 + n2))^2</t>
        </is>
      </c>
      <c r="G18" s="19">
        <f>(($G$9-$H$9)/($G$9+$H$9))^2</f>
        <v/>
      </c>
    </row>
    <row r="19">
      <c r="A19" s="4" t="inlineStr">
        <is>
          <t>normal n = (p - c) / r</t>
        </is>
      </c>
      <c r="B19" s="19">
        <f>($B$18-$B$9)/$B$10</f>
        <v/>
      </c>
      <c r="C19" s="19">
        <f>($C$18-$C$9)/$B$10</f>
        <v/>
      </c>
      <c r="D19" s="19">
        <f>($D$18-$D$9)/$B$10</f>
        <v/>
      </c>
    </row>
    <row r="20">
      <c r="A20" s="4" t="inlineStr">
        <is>
          <t>d . n</t>
        </is>
      </c>
      <c r="B20" s="19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19">
        <f>$B$8-2*$B$20*$B$19</f>
        <v/>
      </c>
      <c r="C21" s="19">
        <f>$C$8-2*$B$20*$C$19</f>
        <v/>
      </c>
      <c r="D21" s="19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19">
        <f>SQRT($B$21^2+$C$21^2+$D$21^2)</f>
        <v/>
      </c>
      <c r="F22" s="4" t="inlineStr">
        <is>
          <t>critical angle asin(1/1.5)</t>
        </is>
      </c>
      <c r="G22" s="19">
        <f>DEGREES(ASIN($G$9/$H$9))</f>
        <v/>
      </c>
    </row>
    <row r="23">
      <c r="F23" s="8" t="n">
        <v>20</v>
      </c>
      <c r="G23" s="19">
        <f>1-($H$9/$G$9)^2*SIN(RADIANS(F23))^2</f>
        <v/>
      </c>
      <c r="H23" s="15">
        <f>IF(G23&lt;0,"yes","no")</f>
        <v/>
      </c>
      <c r="I23" s="19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19">
        <f>1-($H$9/$G$9)^2*SIN(RADIANS(F24))^2</f>
        <v/>
      </c>
      <c r="H24" s="15">
        <f>IF(G24&lt;0,"yes","no")</f>
        <v/>
      </c>
      <c r="I24" s="19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19">
        <f>1-($H$9/$G$9)^2*SIN(RADIANS(F25))^2</f>
        <v/>
      </c>
      <c r="H25" s="15">
        <f>IF(G25&lt;0,"yes","no")</f>
        <v/>
      </c>
      <c r="I25" s="19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19">
        <f>1-($H$9/$G$9)^2*SIN(RADIANS(F26))^2</f>
        <v/>
      </c>
      <c r="H26" s="15">
        <f>IF(G26&lt;0,"yes","no")</f>
        <v/>
      </c>
      <c r="I26" s="19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19">
        <f>$B$26/SQRT($B$26^2+$C$26^2+$D$26^2)</f>
        <v/>
      </c>
      <c r="C27" s="19">
        <f>$C$26/SQRT($B$26^2+$C$26^2+$D$26^2)</f>
        <v/>
      </c>
      <c r="D27" s="19">
        <f>$D$26/SQRT($B$26^2+$C$26^2+$D$26^2)</f>
        <v/>
      </c>
      <c r="F27" s="8" t="n">
        <v>60</v>
      </c>
      <c r="G27" s="19">
        <f>1-($H$9/$G$9)^2*SIN(RADIANS(F27))^2</f>
        <v/>
      </c>
      <c r="H27" s="15">
        <f>IF(G27&lt;0,"yes","no")</f>
        <v/>
      </c>
      <c r="I27" s="19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19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19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19">
        <f>$B$25+$B$31*$B$27</f>
        <v/>
      </c>
      <c r="C32" s="19">
        <f>$C$25+$B$31*$C$27</f>
        <v/>
      </c>
      <c r="D32" s="19">
        <f>$D$25+$B$31*$D$27</f>
        <v/>
      </c>
      <c r="F32" s="8" t="n">
        <v>0</v>
      </c>
      <c r="G32" s="19">
        <f>IF(F32&lt;=$H$30,$G$30^F32,0)</f>
        <v/>
      </c>
      <c r="H32" s="19">
        <f>SUM(G32:G32)</f>
        <v/>
      </c>
      <c r="I32" s="19">
        <f>H32*(1-$G$30)</f>
        <v/>
      </c>
    </row>
    <row r="33">
      <c r="A33" s="4" t="inlineStr">
        <is>
          <t>reflection r = d - 2 (d . n) n</t>
        </is>
      </c>
      <c r="B33" s="19">
        <f>$B$27-2*$B$30*$B$28</f>
        <v/>
      </c>
      <c r="C33" s="19">
        <f>$C$27-2*$B$30*$C$28</f>
        <v/>
      </c>
      <c r="D33" s="19">
        <f>$D$27-2*$B$30*$D$28</f>
        <v/>
      </c>
      <c r="F33" s="8" t="n">
        <v>1</v>
      </c>
      <c r="G33" s="19">
        <f>IF(F33&lt;=$H$30,$G$30^F33,0)</f>
        <v/>
      </c>
      <c r="H33" s="19">
        <f>SUM(G32:G33)</f>
        <v/>
      </c>
      <c r="I33" s="19">
        <f>H33*(1-$G$30)</f>
        <v/>
      </c>
    </row>
    <row r="34">
      <c r="F34" s="8" t="n">
        <v>2</v>
      </c>
      <c r="G34" s="19">
        <f>IF(F34&lt;=$H$30,$G$30^F34,0)</f>
        <v/>
      </c>
      <c r="H34" s="19">
        <f>SUM(G32:G34)</f>
        <v/>
      </c>
      <c r="I34" s="19">
        <f>H34*(1-$G$30)</f>
        <v/>
      </c>
    </row>
    <row r="35">
      <c r="F35" s="8" t="n">
        <v>3</v>
      </c>
      <c r="G35" s="19">
        <f>IF(F35&lt;=$H$30,$G$30^F35,0)</f>
        <v/>
      </c>
      <c r="H35" s="19">
        <f>SUM(G32:G35)</f>
        <v/>
      </c>
      <c r="I35" s="19">
        <f>H35*(1-$G$30)</f>
        <v/>
      </c>
    </row>
    <row r="36">
      <c r="F36" s="8" t="n">
        <v>4</v>
      </c>
      <c r="G36" s="19">
        <f>IF(F36&lt;=$H$30,$G$30^F36,0)</f>
        <v/>
      </c>
      <c r="H36" s="19">
        <f>SUM(G32:G36)</f>
        <v/>
      </c>
      <c r="I36" s="19">
        <f>H36*(1-$G$30)</f>
        <v/>
      </c>
    </row>
    <row r="37">
      <c r="F37" s="8" t="n">
        <v>5</v>
      </c>
      <c r="G37" s="19">
        <f>IF(F37&lt;=$H$30,$G$30^F37,0)</f>
        <v/>
      </c>
      <c r="H37" s="19">
        <f>SUM(G32:G37)</f>
        <v/>
      </c>
      <c r="I37" s="19">
        <f>H37*(1-$G$30)</f>
        <v/>
      </c>
    </row>
    <row r="38">
      <c r="F38" s="8" t="n">
        <v>6</v>
      </c>
      <c r="G38" s="19">
        <f>IF(F38&lt;=$H$30,$G$30^F38,0)</f>
        <v/>
      </c>
      <c r="H38" s="19">
        <f>SUM(G32:G38)</f>
        <v/>
      </c>
      <c r="I38" s="19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26" t="inlineStr">
        <is>
          <t>size 5 (offsets -2..2)</t>
        </is>
      </c>
      <c r="J5" s="4" t="inlineStr">
        <is>
          <t>threshold T on |G|</t>
        </is>
      </c>
      <c r="K5" s="12" t="n"/>
      <c r="L5" s="13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29" t="n">
        <v>0.5</v>
      </c>
      <c r="Y7" s="29" t="n">
        <v>1</v>
      </c>
      <c r="Z7" s="29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29" t="n">
        <v>0</v>
      </c>
      <c r="X8" s="19">
        <f>W8^(1/$X$7)</f>
        <v/>
      </c>
      <c r="Y8" s="19">
        <f>W8^(1/$Y$7)</f>
        <v/>
      </c>
      <c r="Z8" s="19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29" t="n">
        <v>0.1</v>
      </c>
      <c r="X9" s="19">
        <f>W9^(1/$X$7)</f>
        <v/>
      </c>
      <c r="Y9" s="19">
        <f>W9^(1/$Y$7)</f>
        <v/>
      </c>
      <c r="Z9" s="19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29" t="n">
        <v>0.2</v>
      </c>
      <c r="X10" s="19">
        <f>W10^(1/$X$7)</f>
        <v/>
      </c>
      <c r="Y10" s="19">
        <f>W10^(1/$Y$7)</f>
        <v/>
      </c>
      <c r="Z10" s="19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29" t="n">
        <v>0.3</v>
      </c>
      <c r="X11" s="19">
        <f>W11^(1/$X$7)</f>
        <v/>
      </c>
      <c r="Y11" s="19">
        <f>W11^(1/$Y$7)</f>
        <v/>
      </c>
      <c r="Z11" s="19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29" t="n">
        <v>0.4</v>
      </c>
      <c r="X12" s="19">
        <f>W12^(1/$X$7)</f>
        <v/>
      </c>
      <c r="Y12" s="19">
        <f>W12^(1/$Y$7)</f>
        <v/>
      </c>
      <c r="Z12" s="19">
        <f>W12^(1/$Z$7)</f>
        <v/>
      </c>
    </row>
    <row r="13">
      <c r="B13" s="4" t="inlineStr">
        <is>
          <t>sum</t>
        </is>
      </c>
      <c r="C13" s="19">
        <f>SUM(H8:L12)</f>
        <v/>
      </c>
      <c r="H13" s="4" t="inlineStr">
        <is>
          <t>max |normalised - code|</t>
        </is>
      </c>
      <c r="I13" s="12" t="n"/>
      <c r="J13" s="12" t="n"/>
      <c r="K13" s="13" t="n"/>
      <c r="L13" s="19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19">
        <f>SUM(N8:R12)</f>
        <v/>
      </c>
      <c r="W13" s="29" t="n">
        <v>0.5</v>
      </c>
      <c r="X13" s="19">
        <f>W13^(1/$X$7)</f>
        <v/>
      </c>
      <c r="Y13" s="19">
        <f>W13^(1/$Y$7)</f>
        <v/>
      </c>
      <c r="Z13" s="19">
        <f>W13^(1/$Z$7)</f>
        <v/>
      </c>
    </row>
    <row r="14">
      <c r="W14" s="29" t="n">
        <v>0.6</v>
      </c>
      <c r="X14" s="19">
        <f>W14^(1/$X$7)</f>
        <v/>
      </c>
      <c r="Y14" s="19">
        <f>W14^(1/$Y$7)</f>
        <v/>
      </c>
      <c r="Z14" s="19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26" t="inlineStr"/>
      <c r="W15" s="29" t="n">
        <v>0.7</v>
      </c>
      <c r="X15" s="19">
        <f>W15^(1/$X$7)</f>
        <v/>
      </c>
      <c r="Y15" s="19">
        <f>W15^(1/$Y$7)</f>
        <v/>
      </c>
      <c r="Z15" s="19">
        <f>W15^(1/$Z$7)</f>
        <v/>
      </c>
    </row>
    <row r="16">
      <c r="B16" s="30" t="n">
        <v>0.2</v>
      </c>
      <c r="C16" s="30" t="n">
        <v>0.22</v>
      </c>
      <c r="D16" s="30" t="n">
        <v>0.25</v>
      </c>
      <c r="E16" s="30" t="n">
        <v>0.3</v>
      </c>
      <c r="F16" s="30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29" t="n">
        <v>0.8</v>
      </c>
      <c r="X16" s="19">
        <f>W16^(1/$X$7)</f>
        <v/>
      </c>
      <c r="Y16" s="19">
        <f>W16^(1/$Y$7)</f>
        <v/>
      </c>
      <c r="Z16" s="19">
        <f>W16^(1/$Z$7)</f>
        <v/>
      </c>
    </row>
    <row r="17">
      <c r="B17" s="30" t="n">
        <v>0.21</v>
      </c>
      <c r="C17" s="30" t="n">
        <v>0.24</v>
      </c>
      <c r="D17" s="30" t="n">
        <v>0.6</v>
      </c>
      <c r="E17" s="30" t="n">
        <v>0.65</v>
      </c>
      <c r="F17" s="30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29" t="n">
        <v>0.9</v>
      </c>
      <c r="X17" s="19">
        <f>W17^(1/$X$7)</f>
        <v/>
      </c>
      <c r="Y17" s="19">
        <f>W17^(1/$Y$7)</f>
        <v/>
      </c>
      <c r="Z17" s="19">
        <f>W17^(1/$Z$7)</f>
        <v/>
      </c>
    </row>
    <row r="18">
      <c r="B18" s="30" t="n">
        <v>0.22</v>
      </c>
      <c r="C18" s="30" t="n">
        <v>0.3</v>
      </c>
      <c r="D18" s="30" t="n">
        <v>0.85</v>
      </c>
      <c r="E18" s="30" t="n">
        <v>0.9</v>
      </c>
      <c r="F18" s="30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29" t="n">
        <v>1</v>
      </c>
      <c r="X18" s="19">
        <f>W18^(1/$X$7)</f>
        <v/>
      </c>
      <c r="Y18" s="19">
        <f>W18^(1/$Y$7)</f>
        <v/>
      </c>
      <c r="Z18" s="19">
        <f>W18^(1/$Z$7)</f>
        <v/>
      </c>
    </row>
    <row r="19">
      <c r="B19" s="30" t="n">
        <v>0.2</v>
      </c>
      <c r="C19" s="30" t="n">
        <v>0.28</v>
      </c>
      <c r="D19" s="30" t="n">
        <v>0.7</v>
      </c>
      <c r="E19" s="30" t="n">
        <v>0.75</v>
      </c>
      <c r="F19" s="30" t="n">
        <v>0.36</v>
      </c>
      <c r="P19" s="4" t="inlineStr">
        <is>
          <t>sum</t>
        </is>
      </c>
      <c r="Q19" s="19">
        <f>SUM(P16:R18)</f>
        <v/>
      </c>
      <c r="R19" s="26" t="inlineStr">
        <is>
          <t>SUMPRODUCT:</t>
        </is>
      </c>
      <c r="T19" s="19">
        <f>SUMPRODUCT(C17:E19,H16:J18)</f>
        <v/>
      </c>
    </row>
    <row r="20">
      <c r="B20" s="30" t="n">
        <v>0.19</v>
      </c>
      <c r="C20" s="30" t="n">
        <v>0.21</v>
      </c>
      <c r="D20" s="30" t="n">
        <v>0.26</v>
      </c>
      <c r="E20" s="30" t="n">
        <v>0.31</v>
      </c>
      <c r="F20" s="30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19">
        <f>SUMPRODUCT(B16:F20,H8:L12)</f>
        <v/>
      </c>
      <c r="N21" s="10" t="inlineStr">
        <is>
          <t>code kernel:</t>
        </is>
      </c>
      <c r="P21" s="19">
        <f>SUMPRODUCT(B16:F20,N8:R12)</f>
        <v/>
      </c>
      <c r="R21" s="10" t="inlineStr">
        <is>
          <t>centre input:</t>
        </is>
      </c>
      <c r="T21" s="19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17">
        <f>IF(J24&gt;=$M$5,1,0)</f>
        <v/>
      </c>
      <c r="O24" s="17">
        <f>IF(K24&gt;=$M$5,1,0)</f>
        <v/>
      </c>
      <c r="P24" s="1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17">
        <f>IF(J25&gt;=$M$5,1,0)</f>
        <v/>
      </c>
      <c r="O25" s="17">
        <f>IF(K25&gt;=$M$5,1,0)</f>
        <v/>
      </c>
      <c r="P25" s="1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17">
        <f>IF(J26&gt;=$M$5,1,0)</f>
        <v/>
      </c>
      <c r="O26" s="17">
        <f>IF(K26&gt;=$M$5,1,0)</f>
        <v/>
      </c>
      <c r="P26" s="1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3" t="n"/>
      <c r="D5" s="24" t="n">
        <v>6.4</v>
      </c>
      <c r="F5" s="4" t="inlineStr">
        <is>
          <t>day end (h)</t>
        </is>
      </c>
      <c r="G5" s="13" t="n"/>
      <c r="H5" s="24" t="n">
        <v>17.6</v>
      </c>
      <c r="J5" s="4" t="inlineStr">
        <is>
          <t>day shift</t>
        </is>
      </c>
      <c r="K5" s="13" t="n"/>
      <c r="L5" s="15">
        <f>TEXT($D$5/24,"hh:mm")&amp;"-"&amp;TEXT($H$5/24,"hh:mm")</f>
        <v/>
      </c>
      <c r="M5" s="12" t="n"/>
      <c r="N5" s="13" t="n"/>
      <c r="O5" s="4" t="inlineStr">
        <is>
          <t>hours</t>
        </is>
      </c>
      <c r="P5" s="13" t="n"/>
      <c r="Q5" s="31">
        <f>$H$5-$D$5</f>
        <v/>
      </c>
      <c r="S5" s="4" t="inlineStr">
        <is>
          <t>night hours</t>
        </is>
      </c>
      <c r="T5" s="13" t="n"/>
      <c r="U5" s="31">
        <f>24-($H$5-$D$5)</f>
        <v/>
      </c>
      <c r="W5" s="4" t="inlineStr">
        <is>
          <t>DayBreak, Dusk</t>
        </is>
      </c>
      <c r="X5" s="13" t="n"/>
      <c r="Y5" s="24" t="n">
        <v>6.45</v>
      </c>
      <c r="Z5" s="24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3" t="n"/>
      <c r="O7" s="3" t="inlineStr">
        <is>
          <t>night roster (export)</t>
        </is>
      </c>
      <c r="P7" s="12" t="n"/>
      <c r="Q7" s="12" t="n"/>
      <c r="R7" s="12" t="n"/>
      <c r="S7" s="12" t="n"/>
      <c r="T7" s="12" t="n"/>
      <c r="U7" s="12" t="n"/>
      <c r="V7" s="12" t="n"/>
      <c r="W7" s="12" t="n"/>
      <c r="X7" s="13" t="n"/>
      <c r="Y7" s="3" t="inlineStr">
        <is>
          <t>day</t>
        </is>
      </c>
      <c r="Z7" s="3" t="inlineStr">
        <is>
          <t>night</t>
        </is>
      </c>
    </row>
    <row r="8">
      <c r="A8" s="17" t="n">
        <v>1</v>
      </c>
      <c r="B8" s="5" t="inlineStr">
        <is>
          <t>SENTRY</t>
        </is>
      </c>
      <c r="C8" s="32" t="inlineStr">
        <is>
          <t>guard: inner gate and gate road (INNER GATE -&gt; GATE ROAD)</t>
        </is>
      </c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4" t="n"/>
      <c r="O8" s="32" t="inlineStr">
        <is>
          <t>guard: inner gate (INNER GATE)</t>
        </is>
      </c>
      <c r="P8" s="33" t="n"/>
      <c r="Q8" s="33" t="n"/>
      <c r="R8" s="33" t="n"/>
      <c r="S8" s="33" t="n"/>
      <c r="T8" s="33" t="n"/>
      <c r="U8" s="33" t="n"/>
      <c r="V8" s="33" t="n"/>
      <c r="W8" s="33" t="n"/>
      <c r="X8" s="34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17" t="n">
        <v>2</v>
      </c>
      <c r="B9" s="5" t="inlineStr">
        <is>
          <t>WATCH</t>
        </is>
      </c>
      <c r="C9" s="32" t="inlineStr">
        <is>
          <t>guard: watchtower and east wood look-out (WATCHTOWER -&gt; EAST WOOD)</t>
        </is>
      </c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4" t="n"/>
      <c r="O9" s="32" t="inlineStr">
        <is>
          <t>guard: sandbag guard post (SANDBAG POST)</t>
        </is>
      </c>
      <c r="P9" s="33" t="n"/>
      <c r="Q9" s="33" t="n"/>
      <c r="R9" s="33" t="n"/>
      <c r="S9" s="33" t="n"/>
      <c r="T9" s="33" t="n"/>
      <c r="U9" s="33" t="n"/>
      <c r="V9" s="33" t="n"/>
      <c r="W9" s="33" t="n"/>
      <c r="X9" s="34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17" t="n">
        <v>3</v>
      </c>
      <c r="B10" s="5" t="inlineStr">
        <is>
          <t>GUNNER</t>
        </is>
      </c>
      <c r="C10" s="32" t="inlineStr">
        <is>
          <t>walk: patrol loop on the east apron</t>
        </is>
      </c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4" t="n"/>
      <c r="O10" s="32" t="inlineStr">
        <is>
          <t>guard: machine-gun nest (MG NEST)</t>
        </is>
      </c>
      <c r="P10" s="33" t="n"/>
      <c r="Q10" s="33" t="n"/>
      <c r="R10" s="33" t="n"/>
      <c r="S10" s="33" t="n"/>
      <c r="T10" s="33" t="n"/>
      <c r="U10" s="33" t="n"/>
      <c r="V10" s="33" t="n"/>
      <c r="W10" s="33" t="n"/>
      <c r="X10" s="34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17" t="n">
        <v>4</v>
      </c>
      <c r="B11" s="5" t="inlineStr">
        <is>
          <t>MECHANIC</t>
        </is>
      </c>
      <c r="C11" s="32" t="inlineStr">
        <is>
          <t>work: wrench at the parked tank and the helicopter (MBT-2 ENGINE DECK -&gt; HELICOPTER)</t>
        </is>
      </c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4" t="n"/>
      <c r="O11" s="32" t="inlineStr">
        <is>
          <t>off duty: bunk room (south bunk) (BUNK ROOM)</t>
        </is>
      </c>
      <c r="P11" s="33" t="n"/>
      <c r="Q11" s="33" t="n"/>
      <c r="R11" s="33" t="n"/>
      <c r="S11" s="33" t="n"/>
      <c r="T11" s="33" t="n"/>
      <c r="U11" s="33" t="n"/>
      <c r="V11" s="33" t="n"/>
      <c r="W11" s="33" t="n"/>
      <c r="X11" s="34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17" t="n">
        <v>5</v>
      </c>
      <c r="B12" s="5" t="inlineStr">
        <is>
          <t>LOGISTICS</t>
        </is>
      </c>
      <c r="C12" s="32" t="inlineStr">
        <is>
          <t>work: carry crates from the depot to the ammunition bunker (FUEL DEPOT -&gt; AMMO BUNKER)</t>
        </is>
      </c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4" t="n"/>
      <c r="O12" s="32" t="inlineStr">
        <is>
          <t>off duty: bunk room (mess table) (MESS BENCH)</t>
        </is>
      </c>
      <c r="P12" s="33" t="n"/>
      <c r="Q12" s="33" t="n"/>
      <c r="R12" s="33" t="n"/>
      <c r="S12" s="33" t="n"/>
      <c r="T12" s="33" t="n"/>
      <c r="U12" s="33" t="n"/>
      <c r="V12" s="33" t="n"/>
      <c r="W12" s="33" t="n"/>
      <c r="X12" s="34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17" t="n">
        <v>6</v>
      </c>
      <c r="B13" s="5" t="inlineStr">
        <is>
          <t>TECHNICIAN</t>
        </is>
      </c>
      <c r="C13" s="32" t="inlineStr">
        <is>
          <t>work: inspect the radar and the AA gun (RADAR -&gt; AA GUN PIT)</t>
        </is>
      </c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4" t="n"/>
      <c r="O13" s="32" t="inlineStr">
        <is>
          <t>work: plotting table in the command room (COMMAND ROOM)</t>
        </is>
      </c>
      <c r="P13" s="33" t="n"/>
      <c r="Q13" s="33" t="n"/>
      <c r="R13" s="33" t="n"/>
      <c r="S13" s="33" t="n"/>
      <c r="T13" s="33" t="n"/>
      <c r="U13" s="33" t="n"/>
      <c r="V13" s="33" t="n"/>
      <c r="W13" s="33" t="n"/>
      <c r="X13" s="34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17" t="n">
        <v>7</v>
      </c>
      <c r="B14" s="5" t="inlineStr">
        <is>
          <t>PATROL</t>
        </is>
      </c>
      <c r="C14" s="32" t="inlineStr">
        <is>
          <t>walk: patrol loop inside the compound</t>
        </is>
      </c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4" t="n"/>
      <c r="O14" s="32" t="inlineStr">
        <is>
          <t>guard: east guard tower (GUARD TOWER E)</t>
        </is>
      </c>
      <c r="P14" s="33" t="n"/>
      <c r="Q14" s="33" t="n"/>
      <c r="R14" s="33" t="n"/>
      <c r="S14" s="33" t="n"/>
      <c r="T14" s="33" t="n"/>
      <c r="U14" s="33" t="n"/>
      <c r="V14" s="33" t="n"/>
      <c r="W14" s="33" t="n"/>
      <c r="X14" s="34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17" t="n">
        <v>8</v>
      </c>
      <c r="B15" s="5" t="inlineStr">
        <is>
          <t>RUNNER</t>
        </is>
      </c>
      <c r="C15" s="32" t="inlineStr">
        <is>
          <t>run: running loop on the south apron</t>
        </is>
      </c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4" t="n"/>
      <c r="O15" s="32" t="inlineStr">
        <is>
          <t>off duty: bunk room (north bunk) (BUNK ROOM)</t>
        </is>
      </c>
      <c r="P15" s="33" t="n"/>
      <c r="Q15" s="33" t="n"/>
      <c r="R15" s="33" t="n"/>
      <c r="S15" s="33" t="n"/>
      <c r="T15" s="33" t="n"/>
      <c r="U15" s="33" t="n"/>
      <c r="V15" s="33" t="n"/>
      <c r="W15" s="33" t="n"/>
      <c r="X15" s="34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35" t="n">
        <v>0</v>
      </c>
      <c r="D18" s="35" t="n">
        <v>1</v>
      </c>
      <c r="E18" s="35" t="n">
        <v>2</v>
      </c>
      <c r="F18" s="35" t="n">
        <v>3</v>
      </c>
      <c r="G18" s="35" t="n">
        <v>4</v>
      </c>
      <c r="H18" s="35" t="n">
        <v>5</v>
      </c>
      <c r="I18" s="35" t="n">
        <v>6</v>
      </c>
      <c r="J18" s="35" t="n">
        <v>7</v>
      </c>
      <c r="K18" s="35" t="n">
        <v>8</v>
      </c>
      <c r="L18" s="35" t="n">
        <v>9</v>
      </c>
      <c r="M18" s="35" t="n">
        <v>10</v>
      </c>
      <c r="N18" s="35" t="n">
        <v>11</v>
      </c>
      <c r="O18" s="35" t="n">
        <v>12</v>
      </c>
      <c r="P18" s="35" t="n">
        <v>13</v>
      </c>
      <c r="Q18" s="35" t="n">
        <v>14</v>
      </c>
      <c r="R18" s="35" t="n">
        <v>15</v>
      </c>
      <c r="S18" s="35" t="n">
        <v>16</v>
      </c>
      <c r="T18" s="35" t="n">
        <v>17</v>
      </c>
      <c r="U18" s="35" t="n">
        <v>18</v>
      </c>
      <c r="V18" s="35" t="n">
        <v>19</v>
      </c>
      <c r="W18" s="35" t="n">
        <v>20</v>
      </c>
      <c r="X18" s="35" t="n">
        <v>21</v>
      </c>
      <c r="Y18" s="35" t="n">
        <v>22</v>
      </c>
      <c r="Z18" s="35" t="n">
        <v>23</v>
      </c>
    </row>
    <row r="19">
      <c r="A19" s="17" t="n">
        <v>1</v>
      </c>
      <c r="B19" s="19">
        <f>B8</f>
        <v/>
      </c>
      <c r="C19" s="36">
        <f>IF(AND(C$18+0.5&gt;=$D$5,C$18+0.5&lt;$H$5),$Y$8,$Z$8)</f>
        <v/>
      </c>
      <c r="D19" s="36">
        <f>IF(AND(D$18+0.5&gt;=$D$5,D$18+0.5&lt;$H$5),$Y$8,$Z$8)</f>
        <v/>
      </c>
      <c r="E19" s="36">
        <f>IF(AND(E$18+0.5&gt;=$D$5,E$18+0.5&lt;$H$5),$Y$8,$Z$8)</f>
        <v/>
      </c>
      <c r="F19" s="36">
        <f>IF(AND(F$18+0.5&gt;=$D$5,F$18+0.5&lt;$H$5),$Y$8,$Z$8)</f>
        <v/>
      </c>
      <c r="G19" s="36">
        <f>IF(AND(G$18+0.5&gt;=$D$5,G$18+0.5&lt;$H$5),$Y$8,$Z$8)</f>
        <v/>
      </c>
      <c r="H19" s="36">
        <f>IF(AND(H$18+0.5&gt;=$D$5,H$18+0.5&lt;$H$5),$Y$8,$Z$8)</f>
        <v/>
      </c>
      <c r="I19" s="36">
        <f>IF(AND(I$18+0.5&gt;=$D$5,I$18+0.5&lt;$H$5),$Y$8,$Z$8)</f>
        <v/>
      </c>
      <c r="J19" s="36">
        <f>IF(AND(J$18+0.5&gt;=$D$5,J$18+0.5&lt;$H$5),$Y$8,$Z$8)</f>
        <v/>
      </c>
      <c r="K19" s="36">
        <f>IF(AND(K$18+0.5&gt;=$D$5,K$18+0.5&lt;$H$5),$Y$8,$Z$8)</f>
        <v/>
      </c>
      <c r="L19" s="36">
        <f>IF(AND(L$18+0.5&gt;=$D$5,L$18+0.5&lt;$H$5),$Y$8,$Z$8)</f>
        <v/>
      </c>
      <c r="M19" s="36">
        <f>IF(AND(M$18+0.5&gt;=$D$5,M$18+0.5&lt;$H$5),$Y$8,$Z$8)</f>
        <v/>
      </c>
      <c r="N19" s="36">
        <f>IF(AND(N$18+0.5&gt;=$D$5,N$18+0.5&lt;$H$5),$Y$8,$Z$8)</f>
        <v/>
      </c>
      <c r="O19" s="36">
        <f>IF(AND(O$18+0.5&gt;=$D$5,O$18+0.5&lt;$H$5),$Y$8,$Z$8)</f>
        <v/>
      </c>
      <c r="P19" s="36">
        <f>IF(AND(P$18+0.5&gt;=$D$5,P$18+0.5&lt;$H$5),$Y$8,$Z$8)</f>
        <v/>
      </c>
      <c r="Q19" s="36">
        <f>IF(AND(Q$18+0.5&gt;=$D$5,Q$18+0.5&lt;$H$5),$Y$8,$Z$8)</f>
        <v/>
      </c>
      <c r="R19" s="36">
        <f>IF(AND(R$18+0.5&gt;=$D$5,R$18+0.5&lt;$H$5),$Y$8,$Z$8)</f>
        <v/>
      </c>
      <c r="S19" s="36">
        <f>IF(AND(S$18+0.5&gt;=$D$5,S$18+0.5&lt;$H$5),$Y$8,$Z$8)</f>
        <v/>
      </c>
      <c r="T19" s="36">
        <f>IF(AND(T$18+0.5&gt;=$D$5,T$18+0.5&lt;$H$5),$Y$8,$Z$8)</f>
        <v/>
      </c>
      <c r="U19" s="36">
        <f>IF(AND(U$18+0.5&gt;=$D$5,U$18+0.5&lt;$H$5),$Y$8,$Z$8)</f>
        <v/>
      </c>
      <c r="V19" s="36">
        <f>IF(AND(V$18+0.5&gt;=$D$5,V$18+0.5&lt;$H$5),$Y$8,$Z$8)</f>
        <v/>
      </c>
      <c r="W19" s="36">
        <f>IF(AND(W$18+0.5&gt;=$D$5,W$18+0.5&lt;$H$5),$Y$8,$Z$8)</f>
        <v/>
      </c>
      <c r="X19" s="36">
        <f>IF(AND(X$18+0.5&gt;=$D$5,X$18+0.5&lt;$H$5),$Y$8,$Z$8)</f>
        <v/>
      </c>
      <c r="Y19" s="36">
        <f>IF(AND(Y$18+0.5&gt;=$D$5,Y$18+0.5&lt;$H$5),$Y$8,$Z$8)</f>
        <v/>
      </c>
      <c r="Z19" s="36">
        <f>IF(AND(Z$18+0.5&gt;=$D$5,Z$18+0.5&lt;$H$5),$Y$8,$Z$8)</f>
        <v/>
      </c>
    </row>
    <row r="20">
      <c r="A20" s="17" t="n">
        <v>2</v>
      </c>
      <c r="B20" s="19">
        <f>B9</f>
        <v/>
      </c>
      <c r="C20" s="36">
        <f>IF(AND(C$18+0.5&gt;=$D$5,C$18+0.5&lt;$H$5),$Y$9,$Z$9)</f>
        <v/>
      </c>
      <c r="D20" s="36">
        <f>IF(AND(D$18+0.5&gt;=$D$5,D$18+0.5&lt;$H$5),$Y$9,$Z$9)</f>
        <v/>
      </c>
      <c r="E20" s="36">
        <f>IF(AND(E$18+0.5&gt;=$D$5,E$18+0.5&lt;$H$5),$Y$9,$Z$9)</f>
        <v/>
      </c>
      <c r="F20" s="36">
        <f>IF(AND(F$18+0.5&gt;=$D$5,F$18+0.5&lt;$H$5),$Y$9,$Z$9)</f>
        <v/>
      </c>
      <c r="G20" s="36">
        <f>IF(AND(G$18+0.5&gt;=$D$5,G$18+0.5&lt;$H$5),$Y$9,$Z$9)</f>
        <v/>
      </c>
      <c r="H20" s="36">
        <f>IF(AND(H$18+0.5&gt;=$D$5,H$18+0.5&lt;$H$5),$Y$9,$Z$9)</f>
        <v/>
      </c>
      <c r="I20" s="36">
        <f>IF(AND(I$18+0.5&gt;=$D$5,I$18+0.5&lt;$H$5),$Y$9,$Z$9)</f>
        <v/>
      </c>
      <c r="J20" s="36">
        <f>IF(AND(J$18+0.5&gt;=$D$5,J$18+0.5&lt;$H$5),$Y$9,$Z$9)</f>
        <v/>
      </c>
      <c r="K20" s="36">
        <f>IF(AND(K$18+0.5&gt;=$D$5,K$18+0.5&lt;$H$5),$Y$9,$Z$9)</f>
        <v/>
      </c>
      <c r="L20" s="36">
        <f>IF(AND(L$18+0.5&gt;=$D$5,L$18+0.5&lt;$H$5),$Y$9,$Z$9)</f>
        <v/>
      </c>
      <c r="M20" s="36">
        <f>IF(AND(M$18+0.5&gt;=$D$5,M$18+0.5&lt;$H$5),$Y$9,$Z$9)</f>
        <v/>
      </c>
      <c r="N20" s="36">
        <f>IF(AND(N$18+0.5&gt;=$D$5,N$18+0.5&lt;$H$5),$Y$9,$Z$9)</f>
        <v/>
      </c>
      <c r="O20" s="36">
        <f>IF(AND(O$18+0.5&gt;=$D$5,O$18+0.5&lt;$H$5),$Y$9,$Z$9)</f>
        <v/>
      </c>
      <c r="P20" s="36">
        <f>IF(AND(P$18+0.5&gt;=$D$5,P$18+0.5&lt;$H$5),$Y$9,$Z$9)</f>
        <v/>
      </c>
      <c r="Q20" s="36">
        <f>IF(AND(Q$18+0.5&gt;=$D$5,Q$18+0.5&lt;$H$5),$Y$9,$Z$9)</f>
        <v/>
      </c>
      <c r="R20" s="36">
        <f>IF(AND(R$18+0.5&gt;=$D$5,R$18+0.5&lt;$H$5),$Y$9,$Z$9)</f>
        <v/>
      </c>
      <c r="S20" s="36">
        <f>IF(AND(S$18+0.5&gt;=$D$5,S$18+0.5&lt;$H$5),$Y$9,$Z$9)</f>
        <v/>
      </c>
      <c r="T20" s="36">
        <f>IF(AND(T$18+0.5&gt;=$D$5,T$18+0.5&lt;$H$5),$Y$9,$Z$9)</f>
        <v/>
      </c>
      <c r="U20" s="36">
        <f>IF(AND(U$18+0.5&gt;=$D$5,U$18+0.5&lt;$H$5),$Y$9,$Z$9)</f>
        <v/>
      </c>
      <c r="V20" s="36">
        <f>IF(AND(V$18+0.5&gt;=$D$5,V$18+0.5&lt;$H$5),$Y$9,$Z$9)</f>
        <v/>
      </c>
      <c r="W20" s="36">
        <f>IF(AND(W$18+0.5&gt;=$D$5,W$18+0.5&lt;$H$5),$Y$9,$Z$9)</f>
        <v/>
      </c>
      <c r="X20" s="36">
        <f>IF(AND(X$18+0.5&gt;=$D$5,X$18+0.5&lt;$H$5),$Y$9,$Z$9)</f>
        <v/>
      </c>
      <c r="Y20" s="36">
        <f>IF(AND(Y$18+0.5&gt;=$D$5,Y$18+0.5&lt;$H$5),$Y$9,$Z$9)</f>
        <v/>
      </c>
      <c r="Z20" s="36">
        <f>IF(AND(Z$18+0.5&gt;=$D$5,Z$18+0.5&lt;$H$5),$Y$9,$Z$9)</f>
        <v/>
      </c>
    </row>
    <row r="21">
      <c r="A21" s="17" t="n">
        <v>3</v>
      </c>
      <c r="B21" s="19">
        <f>B10</f>
        <v/>
      </c>
      <c r="C21" s="36">
        <f>IF(AND(C$18+0.5&gt;=$D$5,C$18+0.5&lt;$H$5),$Y$10,$Z$10)</f>
        <v/>
      </c>
      <c r="D21" s="36">
        <f>IF(AND(D$18+0.5&gt;=$D$5,D$18+0.5&lt;$H$5),$Y$10,$Z$10)</f>
        <v/>
      </c>
      <c r="E21" s="36">
        <f>IF(AND(E$18+0.5&gt;=$D$5,E$18+0.5&lt;$H$5),$Y$10,$Z$10)</f>
        <v/>
      </c>
      <c r="F21" s="36">
        <f>IF(AND(F$18+0.5&gt;=$D$5,F$18+0.5&lt;$H$5),$Y$10,$Z$10)</f>
        <v/>
      </c>
      <c r="G21" s="36">
        <f>IF(AND(G$18+0.5&gt;=$D$5,G$18+0.5&lt;$H$5),$Y$10,$Z$10)</f>
        <v/>
      </c>
      <c r="H21" s="36">
        <f>IF(AND(H$18+0.5&gt;=$D$5,H$18+0.5&lt;$H$5),$Y$10,$Z$10)</f>
        <v/>
      </c>
      <c r="I21" s="36">
        <f>IF(AND(I$18+0.5&gt;=$D$5,I$18+0.5&lt;$H$5),$Y$10,$Z$10)</f>
        <v/>
      </c>
      <c r="J21" s="36">
        <f>IF(AND(J$18+0.5&gt;=$D$5,J$18+0.5&lt;$H$5),$Y$10,$Z$10)</f>
        <v/>
      </c>
      <c r="K21" s="36">
        <f>IF(AND(K$18+0.5&gt;=$D$5,K$18+0.5&lt;$H$5),$Y$10,$Z$10)</f>
        <v/>
      </c>
      <c r="L21" s="36">
        <f>IF(AND(L$18+0.5&gt;=$D$5,L$18+0.5&lt;$H$5),$Y$10,$Z$10)</f>
        <v/>
      </c>
      <c r="M21" s="36">
        <f>IF(AND(M$18+0.5&gt;=$D$5,M$18+0.5&lt;$H$5),$Y$10,$Z$10)</f>
        <v/>
      </c>
      <c r="N21" s="36">
        <f>IF(AND(N$18+0.5&gt;=$D$5,N$18+0.5&lt;$H$5),$Y$10,$Z$10)</f>
        <v/>
      </c>
      <c r="O21" s="36">
        <f>IF(AND(O$18+0.5&gt;=$D$5,O$18+0.5&lt;$H$5),$Y$10,$Z$10)</f>
        <v/>
      </c>
      <c r="P21" s="36">
        <f>IF(AND(P$18+0.5&gt;=$D$5,P$18+0.5&lt;$H$5),$Y$10,$Z$10)</f>
        <v/>
      </c>
      <c r="Q21" s="36">
        <f>IF(AND(Q$18+0.5&gt;=$D$5,Q$18+0.5&lt;$H$5),$Y$10,$Z$10)</f>
        <v/>
      </c>
      <c r="R21" s="36">
        <f>IF(AND(R$18+0.5&gt;=$D$5,R$18+0.5&lt;$H$5),$Y$10,$Z$10)</f>
        <v/>
      </c>
      <c r="S21" s="36">
        <f>IF(AND(S$18+0.5&gt;=$D$5,S$18+0.5&lt;$H$5),$Y$10,$Z$10)</f>
        <v/>
      </c>
      <c r="T21" s="36">
        <f>IF(AND(T$18+0.5&gt;=$D$5,T$18+0.5&lt;$H$5),$Y$10,$Z$10)</f>
        <v/>
      </c>
      <c r="U21" s="36">
        <f>IF(AND(U$18+0.5&gt;=$D$5,U$18+0.5&lt;$H$5),$Y$10,$Z$10)</f>
        <v/>
      </c>
      <c r="V21" s="36">
        <f>IF(AND(V$18+0.5&gt;=$D$5,V$18+0.5&lt;$H$5),$Y$10,$Z$10)</f>
        <v/>
      </c>
      <c r="W21" s="36">
        <f>IF(AND(W$18+0.5&gt;=$D$5,W$18+0.5&lt;$H$5),$Y$10,$Z$10)</f>
        <v/>
      </c>
      <c r="X21" s="36">
        <f>IF(AND(X$18+0.5&gt;=$D$5,X$18+0.5&lt;$H$5),$Y$10,$Z$10)</f>
        <v/>
      </c>
      <c r="Y21" s="36">
        <f>IF(AND(Y$18+0.5&gt;=$D$5,Y$18+0.5&lt;$H$5),$Y$10,$Z$10)</f>
        <v/>
      </c>
      <c r="Z21" s="36">
        <f>IF(AND(Z$18+0.5&gt;=$D$5,Z$18+0.5&lt;$H$5),$Y$10,$Z$10)</f>
        <v/>
      </c>
    </row>
    <row r="22">
      <c r="A22" s="17" t="n">
        <v>4</v>
      </c>
      <c r="B22" s="19">
        <f>B11</f>
        <v/>
      </c>
      <c r="C22" s="36">
        <f>IF(AND(C$18+0.5&gt;=$D$5,C$18+0.5&lt;$H$5),$Y$11,$Z$11)</f>
        <v/>
      </c>
      <c r="D22" s="36">
        <f>IF(AND(D$18+0.5&gt;=$D$5,D$18+0.5&lt;$H$5),$Y$11,$Z$11)</f>
        <v/>
      </c>
      <c r="E22" s="36">
        <f>IF(AND(E$18+0.5&gt;=$D$5,E$18+0.5&lt;$H$5),$Y$11,$Z$11)</f>
        <v/>
      </c>
      <c r="F22" s="36">
        <f>IF(AND(F$18+0.5&gt;=$D$5,F$18+0.5&lt;$H$5),$Y$11,$Z$11)</f>
        <v/>
      </c>
      <c r="G22" s="36">
        <f>IF(AND(G$18+0.5&gt;=$D$5,G$18+0.5&lt;$H$5),$Y$11,$Z$11)</f>
        <v/>
      </c>
      <c r="H22" s="36">
        <f>IF(AND(H$18+0.5&gt;=$D$5,H$18+0.5&lt;$H$5),$Y$11,$Z$11)</f>
        <v/>
      </c>
      <c r="I22" s="36">
        <f>IF(AND(I$18+0.5&gt;=$D$5,I$18+0.5&lt;$H$5),$Y$11,$Z$11)</f>
        <v/>
      </c>
      <c r="J22" s="36">
        <f>IF(AND(J$18+0.5&gt;=$D$5,J$18+0.5&lt;$H$5),$Y$11,$Z$11)</f>
        <v/>
      </c>
      <c r="K22" s="36">
        <f>IF(AND(K$18+0.5&gt;=$D$5,K$18+0.5&lt;$H$5),$Y$11,$Z$11)</f>
        <v/>
      </c>
      <c r="L22" s="36">
        <f>IF(AND(L$18+0.5&gt;=$D$5,L$18+0.5&lt;$H$5),$Y$11,$Z$11)</f>
        <v/>
      </c>
      <c r="M22" s="36">
        <f>IF(AND(M$18+0.5&gt;=$D$5,M$18+0.5&lt;$H$5),$Y$11,$Z$11)</f>
        <v/>
      </c>
      <c r="N22" s="36">
        <f>IF(AND(N$18+0.5&gt;=$D$5,N$18+0.5&lt;$H$5),$Y$11,$Z$11)</f>
        <v/>
      </c>
      <c r="O22" s="36">
        <f>IF(AND(O$18+0.5&gt;=$D$5,O$18+0.5&lt;$H$5),$Y$11,$Z$11)</f>
        <v/>
      </c>
      <c r="P22" s="36">
        <f>IF(AND(P$18+0.5&gt;=$D$5,P$18+0.5&lt;$H$5),$Y$11,$Z$11)</f>
        <v/>
      </c>
      <c r="Q22" s="36">
        <f>IF(AND(Q$18+0.5&gt;=$D$5,Q$18+0.5&lt;$H$5),$Y$11,$Z$11)</f>
        <v/>
      </c>
      <c r="R22" s="36">
        <f>IF(AND(R$18+0.5&gt;=$D$5,R$18+0.5&lt;$H$5),$Y$11,$Z$11)</f>
        <v/>
      </c>
      <c r="S22" s="36">
        <f>IF(AND(S$18+0.5&gt;=$D$5,S$18+0.5&lt;$H$5),$Y$11,$Z$11)</f>
        <v/>
      </c>
      <c r="T22" s="36">
        <f>IF(AND(T$18+0.5&gt;=$D$5,T$18+0.5&lt;$H$5),$Y$11,$Z$11)</f>
        <v/>
      </c>
      <c r="U22" s="36">
        <f>IF(AND(U$18+0.5&gt;=$D$5,U$18+0.5&lt;$H$5),$Y$11,$Z$11)</f>
        <v/>
      </c>
      <c r="V22" s="36">
        <f>IF(AND(V$18+0.5&gt;=$D$5,V$18+0.5&lt;$H$5),$Y$11,$Z$11)</f>
        <v/>
      </c>
      <c r="W22" s="36">
        <f>IF(AND(W$18+0.5&gt;=$D$5,W$18+0.5&lt;$H$5),$Y$11,$Z$11)</f>
        <v/>
      </c>
      <c r="X22" s="36">
        <f>IF(AND(X$18+0.5&gt;=$D$5,X$18+0.5&lt;$H$5),$Y$11,$Z$11)</f>
        <v/>
      </c>
      <c r="Y22" s="36">
        <f>IF(AND(Y$18+0.5&gt;=$D$5,Y$18+0.5&lt;$H$5),$Y$11,$Z$11)</f>
        <v/>
      </c>
      <c r="Z22" s="36">
        <f>IF(AND(Z$18+0.5&gt;=$D$5,Z$18+0.5&lt;$H$5),$Y$11,$Z$11)</f>
        <v/>
      </c>
    </row>
    <row r="23">
      <c r="A23" s="17" t="n">
        <v>5</v>
      </c>
      <c r="B23" s="19">
        <f>B12</f>
        <v/>
      </c>
      <c r="C23" s="36">
        <f>IF(AND(C$18+0.5&gt;=$D$5,C$18+0.5&lt;$H$5),$Y$12,$Z$12)</f>
        <v/>
      </c>
      <c r="D23" s="36">
        <f>IF(AND(D$18+0.5&gt;=$D$5,D$18+0.5&lt;$H$5),$Y$12,$Z$12)</f>
        <v/>
      </c>
      <c r="E23" s="36">
        <f>IF(AND(E$18+0.5&gt;=$D$5,E$18+0.5&lt;$H$5),$Y$12,$Z$12)</f>
        <v/>
      </c>
      <c r="F23" s="36">
        <f>IF(AND(F$18+0.5&gt;=$D$5,F$18+0.5&lt;$H$5),$Y$12,$Z$12)</f>
        <v/>
      </c>
      <c r="G23" s="36">
        <f>IF(AND(G$18+0.5&gt;=$D$5,G$18+0.5&lt;$H$5),$Y$12,$Z$12)</f>
        <v/>
      </c>
      <c r="H23" s="36">
        <f>IF(AND(H$18+0.5&gt;=$D$5,H$18+0.5&lt;$H$5),$Y$12,$Z$12)</f>
        <v/>
      </c>
      <c r="I23" s="36">
        <f>IF(AND(I$18+0.5&gt;=$D$5,I$18+0.5&lt;$H$5),$Y$12,$Z$12)</f>
        <v/>
      </c>
      <c r="J23" s="36">
        <f>IF(AND(J$18+0.5&gt;=$D$5,J$18+0.5&lt;$H$5),$Y$12,$Z$12)</f>
        <v/>
      </c>
      <c r="K23" s="36">
        <f>IF(AND(K$18+0.5&gt;=$D$5,K$18+0.5&lt;$H$5),$Y$12,$Z$12)</f>
        <v/>
      </c>
      <c r="L23" s="36">
        <f>IF(AND(L$18+0.5&gt;=$D$5,L$18+0.5&lt;$H$5),$Y$12,$Z$12)</f>
        <v/>
      </c>
      <c r="M23" s="36">
        <f>IF(AND(M$18+0.5&gt;=$D$5,M$18+0.5&lt;$H$5),$Y$12,$Z$12)</f>
        <v/>
      </c>
      <c r="N23" s="36">
        <f>IF(AND(N$18+0.5&gt;=$D$5,N$18+0.5&lt;$H$5),$Y$12,$Z$12)</f>
        <v/>
      </c>
      <c r="O23" s="36">
        <f>IF(AND(O$18+0.5&gt;=$D$5,O$18+0.5&lt;$H$5),$Y$12,$Z$12)</f>
        <v/>
      </c>
      <c r="P23" s="36">
        <f>IF(AND(P$18+0.5&gt;=$D$5,P$18+0.5&lt;$H$5),$Y$12,$Z$12)</f>
        <v/>
      </c>
      <c r="Q23" s="36">
        <f>IF(AND(Q$18+0.5&gt;=$D$5,Q$18+0.5&lt;$H$5),$Y$12,$Z$12)</f>
        <v/>
      </c>
      <c r="R23" s="36">
        <f>IF(AND(R$18+0.5&gt;=$D$5,R$18+0.5&lt;$H$5),$Y$12,$Z$12)</f>
        <v/>
      </c>
      <c r="S23" s="36">
        <f>IF(AND(S$18+0.5&gt;=$D$5,S$18+0.5&lt;$H$5),$Y$12,$Z$12)</f>
        <v/>
      </c>
      <c r="T23" s="36">
        <f>IF(AND(T$18+0.5&gt;=$D$5,T$18+0.5&lt;$H$5),$Y$12,$Z$12)</f>
        <v/>
      </c>
      <c r="U23" s="36">
        <f>IF(AND(U$18+0.5&gt;=$D$5,U$18+0.5&lt;$H$5),$Y$12,$Z$12)</f>
        <v/>
      </c>
      <c r="V23" s="36">
        <f>IF(AND(V$18+0.5&gt;=$D$5,V$18+0.5&lt;$H$5),$Y$12,$Z$12)</f>
        <v/>
      </c>
      <c r="W23" s="36">
        <f>IF(AND(W$18+0.5&gt;=$D$5,W$18+0.5&lt;$H$5),$Y$12,$Z$12)</f>
        <v/>
      </c>
      <c r="X23" s="36">
        <f>IF(AND(X$18+0.5&gt;=$D$5,X$18+0.5&lt;$H$5),$Y$12,$Z$12)</f>
        <v/>
      </c>
      <c r="Y23" s="36">
        <f>IF(AND(Y$18+0.5&gt;=$D$5,Y$18+0.5&lt;$H$5),$Y$12,$Z$12)</f>
        <v/>
      </c>
      <c r="Z23" s="36">
        <f>IF(AND(Z$18+0.5&gt;=$D$5,Z$18+0.5&lt;$H$5),$Y$12,$Z$12)</f>
        <v/>
      </c>
    </row>
    <row r="24">
      <c r="A24" s="17" t="n">
        <v>6</v>
      </c>
      <c r="B24" s="19">
        <f>B13</f>
        <v/>
      </c>
      <c r="C24" s="36">
        <f>IF(AND(C$18+0.5&gt;=$D$5,C$18+0.5&lt;$H$5),$Y$13,$Z$13)</f>
        <v/>
      </c>
      <c r="D24" s="36">
        <f>IF(AND(D$18+0.5&gt;=$D$5,D$18+0.5&lt;$H$5),$Y$13,$Z$13)</f>
        <v/>
      </c>
      <c r="E24" s="36">
        <f>IF(AND(E$18+0.5&gt;=$D$5,E$18+0.5&lt;$H$5),$Y$13,$Z$13)</f>
        <v/>
      </c>
      <c r="F24" s="36">
        <f>IF(AND(F$18+0.5&gt;=$D$5,F$18+0.5&lt;$H$5),$Y$13,$Z$13)</f>
        <v/>
      </c>
      <c r="G24" s="36">
        <f>IF(AND(G$18+0.5&gt;=$D$5,G$18+0.5&lt;$H$5),$Y$13,$Z$13)</f>
        <v/>
      </c>
      <c r="H24" s="36">
        <f>IF(AND(H$18+0.5&gt;=$D$5,H$18+0.5&lt;$H$5),$Y$13,$Z$13)</f>
        <v/>
      </c>
      <c r="I24" s="36">
        <f>IF(AND(I$18+0.5&gt;=$D$5,I$18+0.5&lt;$H$5),$Y$13,$Z$13)</f>
        <v/>
      </c>
      <c r="J24" s="36">
        <f>IF(AND(J$18+0.5&gt;=$D$5,J$18+0.5&lt;$H$5),$Y$13,$Z$13)</f>
        <v/>
      </c>
      <c r="K24" s="36">
        <f>IF(AND(K$18+0.5&gt;=$D$5,K$18+0.5&lt;$H$5),$Y$13,$Z$13)</f>
        <v/>
      </c>
      <c r="L24" s="36">
        <f>IF(AND(L$18+0.5&gt;=$D$5,L$18+0.5&lt;$H$5),$Y$13,$Z$13)</f>
        <v/>
      </c>
      <c r="M24" s="36">
        <f>IF(AND(M$18+0.5&gt;=$D$5,M$18+0.5&lt;$H$5),$Y$13,$Z$13)</f>
        <v/>
      </c>
      <c r="N24" s="36">
        <f>IF(AND(N$18+0.5&gt;=$D$5,N$18+0.5&lt;$H$5),$Y$13,$Z$13)</f>
        <v/>
      </c>
      <c r="O24" s="36">
        <f>IF(AND(O$18+0.5&gt;=$D$5,O$18+0.5&lt;$H$5),$Y$13,$Z$13)</f>
        <v/>
      </c>
      <c r="P24" s="36">
        <f>IF(AND(P$18+0.5&gt;=$D$5,P$18+0.5&lt;$H$5),$Y$13,$Z$13)</f>
        <v/>
      </c>
      <c r="Q24" s="36">
        <f>IF(AND(Q$18+0.5&gt;=$D$5,Q$18+0.5&lt;$H$5),$Y$13,$Z$13)</f>
        <v/>
      </c>
      <c r="R24" s="36">
        <f>IF(AND(R$18+0.5&gt;=$D$5,R$18+0.5&lt;$H$5),$Y$13,$Z$13)</f>
        <v/>
      </c>
      <c r="S24" s="36">
        <f>IF(AND(S$18+0.5&gt;=$D$5,S$18+0.5&lt;$H$5),$Y$13,$Z$13)</f>
        <v/>
      </c>
      <c r="T24" s="36">
        <f>IF(AND(T$18+0.5&gt;=$D$5,T$18+0.5&lt;$H$5),$Y$13,$Z$13)</f>
        <v/>
      </c>
      <c r="U24" s="36">
        <f>IF(AND(U$18+0.5&gt;=$D$5,U$18+0.5&lt;$H$5),$Y$13,$Z$13)</f>
        <v/>
      </c>
      <c r="V24" s="36">
        <f>IF(AND(V$18+0.5&gt;=$D$5,V$18+0.5&lt;$H$5),$Y$13,$Z$13)</f>
        <v/>
      </c>
      <c r="W24" s="36">
        <f>IF(AND(W$18+0.5&gt;=$D$5,W$18+0.5&lt;$H$5),$Y$13,$Z$13)</f>
        <v/>
      </c>
      <c r="X24" s="36">
        <f>IF(AND(X$18+0.5&gt;=$D$5,X$18+0.5&lt;$H$5),$Y$13,$Z$13)</f>
        <v/>
      </c>
      <c r="Y24" s="36">
        <f>IF(AND(Y$18+0.5&gt;=$D$5,Y$18+0.5&lt;$H$5),$Y$13,$Z$13)</f>
        <v/>
      </c>
      <c r="Z24" s="36">
        <f>IF(AND(Z$18+0.5&gt;=$D$5,Z$18+0.5&lt;$H$5),$Y$13,$Z$13)</f>
        <v/>
      </c>
    </row>
    <row r="25">
      <c r="A25" s="17" t="n">
        <v>7</v>
      </c>
      <c r="B25" s="19">
        <f>B14</f>
        <v/>
      </c>
      <c r="C25" s="36">
        <f>IF(AND(C$18+0.5&gt;=$D$5,C$18+0.5&lt;$H$5),$Y$14,$Z$14)</f>
        <v/>
      </c>
      <c r="D25" s="36">
        <f>IF(AND(D$18+0.5&gt;=$D$5,D$18+0.5&lt;$H$5),$Y$14,$Z$14)</f>
        <v/>
      </c>
      <c r="E25" s="36">
        <f>IF(AND(E$18+0.5&gt;=$D$5,E$18+0.5&lt;$H$5),$Y$14,$Z$14)</f>
        <v/>
      </c>
      <c r="F25" s="36">
        <f>IF(AND(F$18+0.5&gt;=$D$5,F$18+0.5&lt;$H$5),$Y$14,$Z$14)</f>
        <v/>
      </c>
      <c r="G25" s="36">
        <f>IF(AND(G$18+0.5&gt;=$D$5,G$18+0.5&lt;$H$5),$Y$14,$Z$14)</f>
        <v/>
      </c>
      <c r="H25" s="36">
        <f>IF(AND(H$18+0.5&gt;=$D$5,H$18+0.5&lt;$H$5),$Y$14,$Z$14)</f>
        <v/>
      </c>
      <c r="I25" s="36">
        <f>IF(AND(I$18+0.5&gt;=$D$5,I$18+0.5&lt;$H$5),$Y$14,$Z$14)</f>
        <v/>
      </c>
      <c r="J25" s="36">
        <f>IF(AND(J$18+0.5&gt;=$D$5,J$18+0.5&lt;$H$5),$Y$14,$Z$14)</f>
        <v/>
      </c>
      <c r="K25" s="36">
        <f>IF(AND(K$18+0.5&gt;=$D$5,K$18+0.5&lt;$H$5),$Y$14,$Z$14)</f>
        <v/>
      </c>
      <c r="L25" s="36">
        <f>IF(AND(L$18+0.5&gt;=$D$5,L$18+0.5&lt;$H$5),$Y$14,$Z$14)</f>
        <v/>
      </c>
      <c r="M25" s="36">
        <f>IF(AND(M$18+0.5&gt;=$D$5,M$18+0.5&lt;$H$5),$Y$14,$Z$14)</f>
        <v/>
      </c>
      <c r="N25" s="36">
        <f>IF(AND(N$18+0.5&gt;=$D$5,N$18+0.5&lt;$H$5),$Y$14,$Z$14)</f>
        <v/>
      </c>
      <c r="O25" s="36">
        <f>IF(AND(O$18+0.5&gt;=$D$5,O$18+0.5&lt;$H$5),$Y$14,$Z$14)</f>
        <v/>
      </c>
      <c r="P25" s="36">
        <f>IF(AND(P$18+0.5&gt;=$D$5,P$18+0.5&lt;$H$5),$Y$14,$Z$14)</f>
        <v/>
      </c>
      <c r="Q25" s="36">
        <f>IF(AND(Q$18+0.5&gt;=$D$5,Q$18+0.5&lt;$H$5),$Y$14,$Z$14)</f>
        <v/>
      </c>
      <c r="R25" s="36">
        <f>IF(AND(R$18+0.5&gt;=$D$5,R$18+0.5&lt;$H$5),$Y$14,$Z$14)</f>
        <v/>
      </c>
      <c r="S25" s="36">
        <f>IF(AND(S$18+0.5&gt;=$D$5,S$18+0.5&lt;$H$5),$Y$14,$Z$14)</f>
        <v/>
      </c>
      <c r="T25" s="36">
        <f>IF(AND(T$18+0.5&gt;=$D$5,T$18+0.5&lt;$H$5),$Y$14,$Z$14)</f>
        <v/>
      </c>
      <c r="U25" s="36">
        <f>IF(AND(U$18+0.5&gt;=$D$5,U$18+0.5&lt;$H$5),$Y$14,$Z$14)</f>
        <v/>
      </c>
      <c r="V25" s="36">
        <f>IF(AND(V$18+0.5&gt;=$D$5,V$18+0.5&lt;$H$5),$Y$14,$Z$14)</f>
        <v/>
      </c>
      <c r="W25" s="36">
        <f>IF(AND(W$18+0.5&gt;=$D$5,W$18+0.5&lt;$H$5),$Y$14,$Z$14)</f>
        <v/>
      </c>
      <c r="X25" s="36">
        <f>IF(AND(X$18+0.5&gt;=$D$5,X$18+0.5&lt;$H$5),$Y$14,$Z$14)</f>
        <v/>
      </c>
      <c r="Y25" s="36">
        <f>IF(AND(Y$18+0.5&gt;=$D$5,Y$18+0.5&lt;$H$5),$Y$14,$Z$14)</f>
        <v/>
      </c>
      <c r="Z25" s="36">
        <f>IF(AND(Z$18+0.5&gt;=$D$5,Z$18+0.5&lt;$H$5),$Y$14,$Z$14)</f>
        <v/>
      </c>
    </row>
    <row r="26">
      <c r="A26" s="17" t="n">
        <v>8</v>
      </c>
      <c r="B26" s="19">
        <f>B15</f>
        <v/>
      </c>
      <c r="C26" s="36">
        <f>IF(AND(C$18+0.5&gt;=$D$5,C$18+0.5&lt;$H$5),$Y$15,$Z$15)</f>
        <v/>
      </c>
      <c r="D26" s="36">
        <f>IF(AND(D$18+0.5&gt;=$D$5,D$18+0.5&lt;$H$5),$Y$15,$Z$15)</f>
        <v/>
      </c>
      <c r="E26" s="36">
        <f>IF(AND(E$18+0.5&gt;=$D$5,E$18+0.5&lt;$H$5),$Y$15,$Z$15)</f>
        <v/>
      </c>
      <c r="F26" s="36">
        <f>IF(AND(F$18+0.5&gt;=$D$5,F$18+0.5&lt;$H$5),$Y$15,$Z$15)</f>
        <v/>
      </c>
      <c r="G26" s="36">
        <f>IF(AND(G$18+0.5&gt;=$D$5,G$18+0.5&lt;$H$5),$Y$15,$Z$15)</f>
        <v/>
      </c>
      <c r="H26" s="36">
        <f>IF(AND(H$18+0.5&gt;=$D$5,H$18+0.5&lt;$H$5),$Y$15,$Z$15)</f>
        <v/>
      </c>
      <c r="I26" s="36">
        <f>IF(AND(I$18+0.5&gt;=$D$5,I$18+0.5&lt;$H$5),$Y$15,$Z$15)</f>
        <v/>
      </c>
      <c r="J26" s="36">
        <f>IF(AND(J$18+0.5&gt;=$D$5,J$18+0.5&lt;$H$5),$Y$15,$Z$15)</f>
        <v/>
      </c>
      <c r="K26" s="36">
        <f>IF(AND(K$18+0.5&gt;=$D$5,K$18+0.5&lt;$H$5),$Y$15,$Z$15)</f>
        <v/>
      </c>
      <c r="L26" s="36">
        <f>IF(AND(L$18+0.5&gt;=$D$5,L$18+0.5&lt;$H$5),$Y$15,$Z$15)</f>
        <v/>
      </c>
      <c r="M26" s="36">
        <f>IF(AND(M$18+0.5&gt;=$D$5,M$18+0.5&lt;$H$5),$Y$15,$Z$15)</f>
        <v/>
      </c>
      <c r="N26" s="36">
        <f>IF(AND(N$18+0.5&gt;=$D$5,N$18+0.5&lt;$H$5),$Y$15,$Z$15)</f>
        <v/>
      </c>
      <c r="O26" s="36">
        <f>IF(AND(O$18+0.5&gt;=$D$5,O$18+0.5&lt;$H$5),$Y$15,$Z$15)</f>
        <v/>
      </c>
      <c r="P26" s="36">
        <f>IF(AND(P$18+0.5&gt;=$D$5,P$18+0.5&lt;$H$5),$Y$15,$Z$15)</f>
        <v/>
      </c>
      <c r="Q26" s="36">
        <f>IF(AND(Q$18+0.5&gt;=$D$5,Q$18+0.5&lt;$H$5),$Y$15,$Z$15)</f>
        <v/>
      </c>
      <c r="R26" s="36">
        <f>IF(AND(R$18+0.5&gt;=$D$5,R$18+0.5&lt;$H$5),$Y$15,$Z$15)</f>
        <v/>
      </c>
      <c r="S26" s="36">
        <f>IF(AND(S$18+0.5&gt;=$D$5,S$18+0.5&lt;$H$5),$Y$15,$Z$15)</f>
        <v/>
      </c>
      <c r="T26" s="36">
        <f>IF(AND(T$18+0.5&gt;=$D$5,T$18+0.5&lt;$H$5),$Y$15,$Z$15)</f>
        <v/>
      </c>
      <c r="U26" s="36">
        <f>IF(AND(U$18+0.5&gt;=$D$5,U$18+0.5&lt;$H$5),$Y$15,$Z$15)</f>
        <v/>
      </c>
      <c r="V26" s="36">
        <f>IF(AND(V$18+0.5&gt;=$D$5,V$18+0.5&lt;$H$5),$Y$15,$Z$15)</f>
        <v/>
      </c>
      <c r="W26" s="36">
        <f>IF(AND(W$18+0.5&gt;=$D$5,W$18+0.5&lt;$H$5),$Y$15,$Z$15)</f>
        <v/>
      </c>
      <c r="X26" s="36">
        <f>IF(AND(X$18+0.5&gt;=$D$5,X$18+0.5&lt;$H$5),$Y$15,$Z$15)</f>
        <v/>
      </c>
      <c r="Y26" s="36">
        <f>IF(AND(Y$18+0.5&gt;=$D$5,Y$18+0.5&lt;$H$5),$Y$15,$Z$15)</f>
        <v/>
      </c>
      <c r="Z26" s="36">
        <f>IF(AND(Z$18+0.5&gt;=$D$5,Z$18+0.5&lt;$H$5),$Y$15,$Z$15)</f>
        <v/>
      </c>
    </row>
    <row r="27">
      <c r="A27" s="4" t="inlineStr">
        <is>
          <t>on duty (not off)</t>
        </is>
      </c>
      <c r="B27" s="13" t="n"/>
      <c r="C27" s="17">
        <f>COUNTIF(C19:C26,"&lt;&gt;off")</f>
        <v/>
      </c>
      <c r="D27" s="17">
        <f>COUNTIF(D19:D26,"&lt;&gt;off")</f>
        <v/>
      </c>
      <c r="E27" s="17">
        <f>COUNTIF(E19:E26,"&lt;&gt;off")</f>
        <v/>
      </c>
      <c r="F27" s="17">
        <f>COUNTIF(F19:F26,"&lt;&gt;off")</f>
        <v/>
      </c>
      <c r="G27" s="17">
        <f>COUNTIF(G19:G26,"&lt;&gt;off")</f>
        <v/>
      </c>
      <c r="H27" s="17">
        <f>COUNTIF(H19:H26,"&lt;&gt;off")</f>
        <v/>
      </c>
      <c r="I27" s="17">
        <f>COUNTIF(I19:I26,"&lt;&gt;off")</f>
        <v/>
      </c>
      <c r="J27" s="17">
        <f>COUNTIF(J19:J26,"&lt;&gt;off")</f>
        <v/>
      </c>
      <c r="K27" s="17">
        <f>COUNTIF(K19:K26,"&lt;&gt;off")</f>
        <v/>
      </c>
      <c r="L27" s="17">
        <f>COUNTIF(L19:L26,"&lt;&gt;off")</f>
        <v/>
      </c>
      <c r="M27" s="17">
        <f>COUNTIF(M19:M26,"&lt;&gt;off")</f>
        <v/>
      </c>
      <c r="N27" s="17">
        <f>COUNTIF(N19:N26,"&lt;&gt;off")</f>
        <v/>
      </c>
      <c r="O27" s="17">
        <f>COUNTIF(O19:O26,"&lt;&gt;off")</f>
        <v/>
      </c>
      <c r="P27" s="17">
        <f>COUNTIF(P19:P26,"&lt;&gt;off")</f>
        <v/>
      </c>
      <c r="Q27" s="17">
        <f>COUNTIF(Q19:Q26,"&lt;&gt;off")</f>
        <v/>
      </c>
      <c r="R27" s="17">
        <f>COUNTIF(R19:R26,"&lt;&gt;off")</f>
        <v/>
      </c>
      <c r="S27" s="17">
        <f>COUNTIF(S19:S26,"&lt;&gt;off")</f>
        <v/>
      </c>
      <c r="T27" s="17">
        <f>COUNTIF(T19:T26,"&lt;&gt;off")</f>
        <v/>
      </c>
      <c r="U27" s="17">
        <f>COUNTIF(U19:U26,"&lt;&gt;off")</f>
        <v/>
      </c>
      <c r="V27" s="17">
        <f>COUNTIF(V19:V26,"&lt;&gt;off")</f>
        <v/>
      </c>
      <c r="W27" s="17">
        <f>COUNTIF(W19:W26,"&lt;&gt;off")</f>
        <v/>
      </c>
      <c r="X27" s="17">
        <f>COUNTIF(X19:X26,"&lt;&gt;off")</f>
        <v/>
      </c>
      <c r="Y27" s="17">
        <f>COUNTIF(Y19:Y26,"&lt;&gt;off")</f>
        <v/>
      </c>
      <c r="Z27" s="17">
        <f>COUNTIF(Z19:Z26,"&lt;&gt;off")</f>
        <v/>
      </c>
    </row>
    <row r="28">
      <c r="A28" s="4" t="inlineStr">
        <is>
          <t>shift</t>
        </is>
      </c>
      <c r="B28" s="13" t="n"/>
      <c r="C28" s="37">
        <f>IF(AND(C$18+0.5&gt;=$D$5,C$18+0.5&lt;$H$5),"DAY","NIGHT")</f>
        <v/>
      </c>
      <c r="D28" s="37">
        <f>IF(AND(D$18+0.5&gt;=$D$5,D$18+0.5&lt;$H$5),"DAY","NIGHT")</f>
        <v/>
      </c>
      <c r="E28" s="37">
        <f>IF(AND(E$18+0.5&gt;=$D$5,E$18+0.5&lt;$H$5),"DAY","NIGHT")</f>
        <v/>
      </c>
      <c r="F28" s="37">
        <f>IF(AND(F$18+0.5&gt;=$D$5,F$18+0.5&lt;$H$5),"DAY","NIGHT")</f>
        <v/>
      </c>
      <c r="G28" s="37">
        <f>IF(AND(G$18+0.5&gt;=$D$5,G$18+0.5&lt;$H$5),"DAY","NIGHT")</f>
        <v/>
      </c>
      <c r="H28" s="37">
        <f>IF(AND(H$18+0.5&gt;=$D$5,H$18+0.5&lt;$H$5),"DAY","NIGHT")</f>
        <v/>
      </c>
      <c r="I28" s="37">
        <f>IF(AND(I$18+0.5&gt;=$D$5,I$18+0.5&lt;$H$5),"DAY","NIGHT")</f>
        <v/>
      </c>
      <c r="J28" s="37">
        <f>IF(AND(J$18+0.5&gt;=$D$5,J$18+0.5&lt;$H$5),"DAY","NIGHT")</f>
        <v/>
      </c>
      <c r="K28" s="37">
        <f>IF(AND(K$18+0.5&gt;=$D$5,K$18+0.5&lt;$H$5),"DAY","NIGHT")</f>
        <v/>
      </c>
      <c r="L28" s="37">
        <f>IF(AND(L$18+0.5&gt;=$D$5,L$18+0.5&lt;$H$5),"DAY","NIGHT")</f>
        <v/>
      </c>
      <c r="M28" s="37">
        <f>IF(AND(M$18+0.5&gt;=$D$5,M$18+0.5&lt;$H$5),"DAY","NIGHT")</f>
        <v/>
      </c>
      <c r="N28" s="37">
        <f>IF(AND(N$18+0.5&gt;=$D$5,N$18+0.5&lt;$H$5),"DAY","NIGHT")</f>
        <v/>
      </c>
      <c r="O28" s="37">
        <f>IF(AND(O$18+0.5&gt;=$D$5,O$18+0.5&lt;$H$5),"DAY","NIGHT")</f>
        <v/>
      </c>
      <c r="P28" s="37">
        <f>IF(AND(P$18+0.5&gt;=$D$5,P$18+0.5&lt;$H$5),"DAY","NIGHT")</f>
        <v/>
      </c>
      <c r="Q28" s="37">
        <f>IF(AND(Q$18+0.5&gt;=$D$5,Q$18+0.5&lt;$H$5),"DAY","NIGHT")</f>
        <v/>
      </c>
      <c r="R28" s="37">
        <f>IF(AND(R$18+0.5&gt;=$D$5,R$18+0.5&lt;$H$5),"DAY","NIGHT")</f>
        <v/>
      </c>
      <c r="S28" s="37">
        <f>IF(AND(S$18+0.5&gt;=$D$5,S$18+0.5&lt;$H$5),"DAY","NIGHT")</f>
        <v/>
      </c>
      <c r="T28" s="37">
        <f>IF(AND(T$18+0.5&gt;=$D$5,T$18+0.5&lt;$H$5),"DAY","NIGHT")</f>
        <v/>
      </c>
      <c r="U28" s="37">
        <f>IF(AND(U$18+0.5&gt;=$D$5,U$18+0.5&lt;$H$5),"DAY","NIGHT")</f>
        <v/>
      </c>
      <c r="V28" s="37">
        <f>IF(AND(V$18+0.5&gt;=$D$5,V$18+0.5&lt;$H$5),"DAY","NIGHT")</f>
        <v/>
      </c>
      <c r="W28" s="37">
        <f>IF(AND(W$18+0.5&gt;=$D$5,W$18+0.5&lt;$H$5),"DAY","NIGHT")</f>
        <v/>
      </c>
      <c r="X28" s="37">
        <f>IF(AND(X$18+0.5&gt;=$D$5,X$18+0.5&lt;$H$5),"DAY","NIGHT")</f>
        <v/>
      </c>
      <c r="Y28" s="37">
        <f>IF(AND(Y$18+0.5&gt;=$D$5,Y$18+0.5&lt;$H$5),"DAY","NIGHT")</f>
        <v/>
      </c>
      <c r="Z28" s="37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3" t="n"/>
      <c r="C32" s="9" t="n">
        <v>0</v>
      </c>
      <c r="D32" s="13" t="n"/>
      <c r="E32" s="9" t="n">
        <v>1</v>
      </c>
      <c r="F32" s="13" t="n"/>
      <c r="G32" s="9" t="n">
        <v>2</v>
      </c>
      <c r="H32" s="13" t="n"/>
      <c r="I32" s="9" t="n">
        <v>3</v>
      </c>
      <c r="J32" s="13" t="n"/>
      <c r="K32" s="9" t="n">
        <v>4</v>
      </c>
      <c r="L32" s="13" t="n"/>
      <c r="M32" s="9" t="n">
        <v>5</v>
      </c>
      <c r="N32" s="13" t="n"/>
      <c r="O32" s="9" t="n">
        <v>6</v>
      </c>
      <c r="P32" s="13" t="n"/>
      <c r="Q32" s="9" t="n">
        <v>7</v>
      </c>
      <c r="R32" s="13" t="n"/>
    </row>
    <row r="33">
      <c r="A33" s="4" t="inlineStr">
        <is>
          <t>delay (s)</t>
        </is>
      </c>
      <c r="B33" s="13" t="n"/>
      <c r="C33" s="38">
        <f>1+2.5*C32</f>
        <v/>
      </c>
      <c r="D33" s="13" t="n"/>
      <c r="E33" s="38">
        <f>1+2.5*E32</f>
        <v/>
      </c>
      <c r="F33" s="13" t="n"/>
      <c r="G33" s="38">
        <f>1+2.5*G32</f>
        <v/>
      </c>
      <c r="H33" s="13" t="n"/>
      <c r="I33" s="38">
        <f>1+2.5*I32</f>
        <v/>
      </c>
      <c r="J33" s="13" t="n"/>
      <c r="K33" s="38">
        <f>1+2.5*K32</f>
        <v/>
      </c>
      <c r="L33" s="13" t="n"/>
      <c r="M33" s="38">
        <f>1+2.5*M32</f>
        <v/>
      </c>
      <c r="N33" s="13" t="n"/>
      <c r="O33" s="38">
        <f>1+2.5*O32</f>
        <v/>
      </c>
      <c r="P33" s="13" t="n"/>
      <c r="Q33" s="38">
        <f>1+2.5*Q32</f>
        <v/>
      </c>
      <c r="R33" s="13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TODO: no bench.csv yet</t>
        </is>
      </c>
      <c r="B7" s="6" t="inlineStr">
        <is>
          <t>-</t>
        </is>
      </c>
      <c r="C7" s="6" t="inlineStr">
        <is>
          <t>-</t>
        </is>
      </c>
      <c r="D7" s="6" t="inlineStr">
        <is>
          <t>-</t>
        </is>
      </c>
      <c r="E7" s="6" t="inlineStr">
        <is>
          <t>-</t>
        </is>
      </c>
      <c r="F7" s="6" t="inlineStr">
        <is>
          <t>-</t>
        </is>
      </c>
      <c r="G7" s="6" t="inlineStr">
        <is>
          <t>-</t>
        </is>
      </c>
      <c r="H7" s="6" t="inlineStr">
        <is>
          <t>-</t>
        </is>
      </c>
      <c r="I7" s="6" t="inlineStr">
        <is>
          <t>-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2026-10-09T16:55:44Z</dcterms:created>
  <dcterms:modified xsi:type="dcterms:W3CDTF">2026-10-09T16:55:44Z</dcterms:modified>
</cp:coreProperties>
</file>