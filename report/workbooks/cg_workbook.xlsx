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s" sheetId="1" state="visible" r:id="rId1"/>
    <sheet name="Decomposition" sheetId="2" state="visible" r:id="rId2"/>
    <sheet name="Designs" sheetId="3" state="visible" r:id="rId3"/>
    <sheet name="Transform_Trace" sheetId="4" state="visible" r:id="rId4"/>
    <sheet name="Vertex_Groups" sheetId="5" state="visible" r:id="rId5"/>
    <sheet name="View_Projection" sheetId="6" state="visible" r:id="rId6"/>
    <sheet name="Clipping" sheetId="7" state="visible" r:id="rId7"/>
    <sheet name="Illumination" sheetId="8" state="visible" r:id="rId8"/>
    <sheet name="Color_Interp" sheetId="9" state="visible" r:id="rId9"/>
    <sheet name="Ray_Tracing" sheetId="10" state="visible" r:id="rId10"/>
    <sheet name="Thermal_Kernels" sheetId="11" state="visible" r:id="rId11"/>
    <sheet name="Tracking" sheetId="12" state="visible" r:id="rId12"/>
    <sheet name="Line_Follower" sheetId="13" state="visible" r:id="rId13"/>
    <sheet name="Explosion" sheetId="14" state="visible" r:id="rId14"/>
    <sheet name="Duty_Cycle" sheetId="15" state="visible" r:id="rId15"/>
    <sheet name="Performance" sheetId="16" state="visible" r:id="rId16"/>
  </sheets>
  <definedNames>
    <definedName name="_xlnm.Print_Area" localSheetId="0">'Primitives'!$A$1:$Q$43</definedName>
    <definedName name="_xlnm.Print_Area" localSheetId="1">'Decomposition'!$A$1:$AC$202</definedName>
    <definedName name="_xlnm.Print_Area" localSheetId="2">'Designs'!$A$1:$W$92</definedName>
    <definedName name="_xlnm.Print_Area" localSheetId="3">'Transform_Trace'!$A$1:$T$44</definedName>
    <definedName name="_xlnm.Print_Area" localSheetId="4">'Vertex_Groups'!$A$1:$T$36</definedName>
    <definedName name="_xlnm.Print_Area" localSheetId="5">'View_Projection'!$A$1:$M$40</definedName>
    <definedName name="_xlnm.Print_Area" localSheetId="6">'Clipping'!$A$1:$U$42</definedName>
    <definedName name="_xlnm.Print_Area" localSheetId="7">'Illumination'!$A$1:$K$54</definedName>
    <definedName name="_xlnm.Print_Area" localSheetId="8">'Color_Interp'!$A$1:$U$36</definedName>
    <definedName name="_xlnm.Print_Area" localSheetId="9">'Ray_Tracing'!$A$1:$J$39</definedName>
    <definedName name="_xlnm.Print_Area" localSheetId="10">'Thermal_Kernels'!$A$1:$Z$28</definedName>
    <definedName name="_xlnm.Print_Area" localSheetId="11">'Tracking'!$A$1:$U$42</definedName>
    <definedName name="_xlnm.Print_Area" localSheetId="12">'Line_Follower'!$A$1:$M$26</definedName>
    <definedName name="_xlnm.Print_Area" localSheetId="13">'Explosion'!$A$1:$S$56</definedName>
    <definedName name="_xlnm.Print_Area" localSheetId="14">'Duty_Cycle'!$A$1:$Z$34</definedName>
    <definedName name="_xlnm.Print_Area" localSheetId="15">'Performance'!$A$1:$I$39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0.0E+00"/>
  </numFmts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sz val="8"/>
    </font>
  </fonts>
  <fills count="2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004690"/>
      </patternFill>
    </fill>
    <fill>
      <patternFill patternType="solid">
        <fgColor rgb="00006DB2"/>
      </patternFill>
    </fill>
    <fill>
      <patternFill patternType="solid">
        <fgColor rgb="00007685"/>
      </patternFill>
    </fill>
    <fill>
      <patternFill patternType="solid">
        <fgColor rgb="00506593"/>
      </patternFill>
    </fill>
    <fill>
      <patternFill patternType="solid">
        <fgColor rgb="00005850"/>
      </patternFill>
    </fill>
    <fill>
      <patternFill patternType="solid">
        <fgColor rgb="00FFA032"/>
      </patternFill>
    </fill>
    <fill>
      <patternFill patternType="solid">
        <fgColor rgb="00FFDC45"/>
      </patternFill>
    </fill>
    <fill>
      <patternFill patternType="solid">
        <fgColor rgb="00FFC878"/>
      </patternFill>
    </fill>
    <fill>
      <patternFill patternType="solid">
        <fgColor rgb="0057B45D"/>
      </patternFill>
    </fill>
    <fill>
      <patternFill patternType="solid">
        <fgColor rgb="0094B446"/>
      </patternFill>
    </fill>
    <fill>
      <patternFill patternType="solid">
        <fgColor rgb="0033AE8D"/>
      </patternFill>
    </fill>
    <fill>
      <patternFill patternType="solid">
        <fgColor rgb="00D24790"/>
      </patternFill>
    </fill>
    <fill>
      <patternFill patternType="solid">
        <fgColor rgb="008268C0"/>
      </patternFill>
    </fill>
    <fill>
      <patternFill patternType="solid">
        <fgColor rgb="00BD6BBA"/>
      </patternFill>
    </fill>
    <fill>
      <patternFill patternType="solid">
        <fgColor rgb="0095938E"/>
      </patternFill>
    </fill>
    <fill>
      <patternFill patternType="solid">
        <fgColor rgb="00AF8967"/>
      </patternFill>
    </fill>
  </fills>
  <borders count="6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1" fontId="4" fillId="0" borderId="1" pivotButton="0" quotePrefix="0" xfId="0"/>
    <xf numFmtId="1" fontId="4" fillId="3" borderId="1" pivotButton="0" quotePrefix="0" xfId="0"/>
    <xf numFmtId="1" fontId="4" fillId="3" borderId="1" applyAlignment="1" pivotButton="0" quotePrefix="0" xfId="0">
      <alignment horizont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164" fontId="4" fillId="0" borderId="1" applyAlignment="1" pivotButton="0" quotePrefix="0" xfId="0">
      <alignment horizontal="center"/>
    </xf>
    <xf numFmtId="164" fontId="4" fillId="3" borderId="1" pivotButton="0" quotePrefix="0" xfId="0"/>
    <xf numFmtId="0" fontId="4" fillId="0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5" fontId="4" fillId="3" borderId="1" pivotButton="0" quotePrefix="0" xfId="0"/>
    <xf numFmtId="166" fontId="4" fillId="3" borderId="1" pivotButton="0" quotePrefix="0" xfId="0"/>
    <xf numFmtId="167" fontId="4" fillId="0" borderId="1" pivotButton="0" quotePrefix="0" xfId="0"/>
    <xf numFmtId="11" fontId="4" fillId="0" borderId="1" pivotButton="0" quotePrefix="0" xfId="0"/>
    <xf numFmtId="164" fontId="3" fillId="0" borderId="1" applyAlignment="1" pivotButton="0" quotePrefix="0" xfId="0">
      <alignment horizontal="center"/>
    </xf>
    <xf numFmtId="2" fontId="4" fillId="3" borderId="1" pivotButton="0" quotePrefix="0" xfId="0"/>
    <xf numFmtId="164" fontId="3" fillId="0" borderId="1" pivotButton="0" quotePrefix="0" xfId="0"/>
    <xf numFmtId="0" fontId="4" fillId="0" borderId="0" pivotButton="0" quotePrefix="0" xfId="0"/>
    <xf numFmtId="2" fontId="4" fillId="3" borderId="1" applyAlignment="1" pivotButton="0" quotePrefix="0" xfId="0">
      <alignment horizontal="center"/>
    </xf>
    <xf numFmtId="2" fontId="4" fillId="0" borderId="1" pivotButton="0" quotePrefix="0" xfId="0"/>
    <xf numFmtId="0" fontId="5" fillId="3" borderId="1" pivotButton="0" quotePrefix="0" xfId="0"/>
    <xf numFmtId="0" fontId="5" fillId="0" borderId="4" pivotButton="0" quotePrefix="0" xfId="0"/>
    <xf numFmtId="0" fontId="5" fillId="0" borderId="5" pivotButton="0" quotePrefix="0" xfId="0"/>
    <xf numFmtId="1" fontId="3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7">
    <dxf>
      <fill>
        <patternFill patternType="solid">
          <fgColor rgb="00D9D9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BDD7E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8EA9DB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Frame time per configuration (ms)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'Performance'!B6</f>
            </strRef>
          </tx>
          <spPr>
            <a:ln>
              <a:prstDash val="solid"/>
            </a:ln>
          </spPr>
          <cat>
            <numRef>
              <f>'Performance'!$A$7:$A$17</f>
            </numRef>
          </cat>
          <val>
            <numRef>
              <f>'Performance'!$B$7:$B$17</f>
            </numRef>
          </val>
        </ser>
        <ser>
          <idx val="1"/>
          <order val="1"/>
          <tx>
            <strRef>
              <f>'Performance'!C6</f>
            </strRef>
          </tx>
          <spPr>
            <a:ln>
              <a:prstDash val="solid"/>
            </a:ln>
          </spPr>
          <cat>
            <numRef>
              <f>'Performance'!$A$7:$A$17</f>
            </numRef>
          </cat>
          <val>
            <numRef>
              <f>'Performance'!$C$7:$C$17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Q4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7" customWidth="1" min="3" max="3"/>
    <col width="7" customWidth="1" min="4" max="4"/>
    <col width="14" customWidth="1" min="5" max="5"/>
    <col width="7" customWidth="1" min="6" max="6"/>
    <col width="12" customWidth="1" min="7" max="7"/>
    <col width="7" customWidth="1" min="8" max="8"/>
    <col width="8" customWidth="1" min="9" max="9"/>
    <col width="10" customWidth="1" min="10" max="10"/>
    <col width="10" customWidth="1" min="11" max="11"/>
    <col width="8" customWidth="1" min="12" max="12"/>
    <col width="8" customWidth="1" min="13" max="13"/>
    <col width="6" customWidth="1" min="14" max="14"/>
    <col width="6" customWidth="1" min="15" max="15"/>
    <col width="9" customWidth="1" min="16" max="16"/>
    <col width="11" customWidth="1" min="17" max="17"/>
  </cols>
  <sheetData>
    <row r="1">
      <c r="A1" s="1" t="inlineStr">
        <is>
          <t>Primitives: vertex and triangle counts of the 16 mesh generators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src/primitives/*.cpp (Library.h lists the scene's generator calls); exported counts and parameters: ts --export-docs 'primitives' (P01..P16).</t>
        </is>
      </c>
    </row>
    <row r="5" ht="42" customHeight="1">
      <c r="A5" s="3" t="inlineStr">
        <is>
          <t>Primitive</t>
        </is>
      </c>
      <c r="B5" s="3" t="inlineStr">
        <is>
          <t>Generator call</t>
        </is>
      </c>
      <c r="C5" s="3" t="inlineStr">
        <is>
          <t>param a</t>
        </is>
      </c>
      <c r="D5" s="3" t="inlineStr">
        <is>
          <t>param b</t>
        </is>
      </c>
      <c r="E5" s="3" t="inlineStr">
        <is>
          <t>V formula</t>
        </is>
      </c>
      <c r="F5" s="3" t="inlineStr">
        <is>
          <t>V</t>
        </is>
      </c>
      <c r="G5" s="3" t="inlineStr">
        <is>
          <t>T formula</t>
        </is>
      </c>
      <c r="H5" s="3" t="inlineStr">
        <is>
          <t>T</t>
        </is>
      </c>
      <c r="I5" s="3" t="inlineStr">
        <is>
          <t>indices I = 3T</t>
        </is>
      </c>
      <c r="J5" s="3" t="inlineStr">
        <is>
          <t>bytes indexed 24V+4I</t>
        </is>
      </c>
      <c r="K5" s="3" t="inlineStr">
        <is>
          <t>bytes non-indexed 72T</t>
        </is>
      </c>
      <c r="L5" s="3" t="inlineStr">
        <is>
          <t>V export</t>
        </is>
      </c>
      <c r="M5" s="3" t="inlineStr">
        <is>
          <t>T export</t>
        </is>
      </c>
      <c r="N5" s="3" t="inlineStr">
        <is>
          <t>dV</t>
        </is>
      </c>
      <c r="O5" s="3" t="inlineStr">
        <is>
          <t>dT</t>
        </is>
      </c>
      <c r="P5" s="3" t="inlineStr">
        <is>
          <t>instances (export)</t>
        </is>
      </c>
      <c r="Q5" s="3" t="inlineStr">
        <is>
          <t>scene triangles T export x inst</t>
        </is>
      </c>
    </row>
    <row r="6">
      <c r="A6" s="4" t="inlineStr">
        <is>
          <t>1 cube</t>
        </is>
      </c>
      <c r="B6" s="5" t="inlineStr">
        <is>
          <t>createCube()</t>
        </is>
      </c>
      <c r="C6" s="6" t="inlineStr">
        <is>
          <t>-</t>
        </is>
      </c>
      <c r="D6" s="6" t="inlineStr">
        <is>
          <t>-</t>
        </is>
      </c>
      <c r="E6" s="6" t="inlineStr">
        <is>
          <t>6 x 4</t>
        </is>
      </c>
      <c r="F6" s="7">
        <f>6*4</f>
        <v/>
      </c>
      <c r="G6" s="6" t="inlineStr">
        <is>
          <t>6 x 2</t>
        </is>
      </c>
      <c r="H6" s="7">
        <f>6*2</f>
        <v/>
      </c>
      <c r="I6" s="7">
        <f>3*H6</f>
        <v/>
      </c>
      <c r="J6" s="7">
        <f>24*F6+4*I6</f>
        <v/>
      </c>
      <c r="K6" s="7">
        <f>72*H6</f>
        <v/>
      </c>
      <c r="L6" s="8" t="n">
        <v>24</v>
      </c>
      <c r="M6" s="8" t="n">
        <v>12</v>
      </c>
      <c r="N6" s="7">
        <f>F6-L6</f>
        <v/>
      </c>
      <c r="O6" s="7">
        <f>H6-M6</f>
        <v/>
      </c>
      <c r="P6" s="8" t="n">
        <v>24</v>
      </c>
      <c r="Q6" s="7">
        <f>M6*P6</f>
        <v/>
      </c>
    </row>
    <row r="7">
      <c r="A7" s="4" t="inlineStr">
        <is>
          <t>2 cuboid</t>
        </is>
      </c>
      <c r="B7" s="5" t="inlineStr">
        <is>
          <t>createCube(), S non-uniform</t>
        </is>
      </c>
      <c r="C7" s="6" t="inlineStr">
        <is>
          <t>-</t>
        </is>
      </c>
      <c r="D7" s="6" t="inlineStr">
        <is>
          <t>-</t>
        </is>
      </c>
      <c r="E7" s="6" t="inlineStr">
        <is>
          <t>6 x 4</t>
        </is>
      </c>
      <c r="F7" s="7">
        <f>6*4</f>
        <v/>
      </c>
      <c r="G7" s="6" t="inlineStr">
        <is>
          <t>6 x 2</t>
        </is>
      </c>
      <c r="H7" s="7">
        <f>6*2</f>
        <v/>
      </c>
      <c r="I7" s="7">
        <f>3*H7</f>
        <v/>
      </c>
      <c r="J7" s="7">
        <f>24*F7+4*I7</f>
        <v/>
      </c>
      <c r="K7" s="7">
        <f>72*H7</f>
        <v/>
      </c>
      <c r="L7" s="8" t="n">
        <v>24</v>
      </c>
      <c r="M7" s="8" t="n">
        <v>12</v>
      </c>
      <c r="N7" s="7">
        <f>F7-L7</f>
        <v/>
      </c>
      <c r="O7" s="7">
        <f>H7-M7</f>
        <v/>
      </c>
      <c r="P7" s="8" t="n">
        <v>2443</v>
      </c>
      <c r="Q7" s="7">
        <f>M7*P7</f>
        <v/>
      </c>
    </row>
    <row r="8">
      <c r="A8" s="4" t="inlineStr">
        <is>
          <t>3 sphere</t>
        </is>
      </c>
      <c r="B8" s="5" t="inlineStr">
        <is>
          <t>createSphere(36, 18)</t>
        </is>
      </c>
      <c r="C8" s="9" t="n">
        <v>36</v>
      </c>
      <c r="D8" s="9" t="n">
        <v>18</v>
      </c>
      <c r="E8" s="6" t="inlineStr">
        <is>
          <t>(k-1)s + 2</t>
        </is>
      </c>
      <c r="F8" s="7">
        <f>(D8-1)*C8+2</f>
        <v/>
      </c>
      <c r="G8" s="6" t="inlineStr">
        <is>
          <t>2s(k-1)</t>
        </is>
      </c>
      <c r="H8" s="7">
        <f>2*C8*(D8-1)</f>
        <v/>
      </c>
      <c r="I8" s="7">
        <f>3*H8</f>
        <v/>
      </c>
      <c r="J8" s="7">
        <f>24*F8+4*I8</f>
        <v/>
      </c>
      <c r="K8" s="7">
        <f>72*H8</f>
        <v/>
      </c>
      <c r="L8" s="8" t="n">
        <v>614</v>
      </c>
      <c r="M8" s="8" t="n">
        <v>1224</v>
      </c>
      <c r="N8" s="7">
        <f>F8-L8</f>
        <v/>
      </c>
      <c r="O8" s="7">
        <f>H8-M8</f>
        <v/>
      </c>
      <c r="P8" s="8" t="n">
        <v>808</v>
      </c>
      <c r="Q8" s="7">
        <f>M8*P8</f>
        <v/>
      </c>
    </row>
    <row r="9">
      <c r="A9" s="4" t="inlineStr">
        <is>
          <t>4 hemisphere</t>
        </is>
      </c>
      <c r="B9" s="5" t="inlineStr">
        <is>
          <t>createHemisphere(36, 9)</t>
        </is>
      </c>
      <c r="C9" s="9" t="n">
        <v>36</v>
      </c>
      <c r="D9" s="9" t="n">
        <v>9</v>
      </c>
      <c r="E9" s="6" t="inlineStr">
        <is>
          <t>s(k+1) + 2</t>
        </is>
      </c>
      <c r="F9" s="7">
        <f>C9*(D9+1)+2</f>
        <v/>
      </c>
      <c r="G9" s="6" t="inlineStr">
        <is>
          <t>2sk</t>
        </is>
      </c>
      <c r="H9" s="7">
        <f>2*C9*D9</f>
        <v/>
      </c>
      <c r="I9" s="7">
        <f>3*H9</f>
        <v/>
      </c>
      <c r="J9" s="7">
        <f>24*F9+4*I9</f>
        <v/>
      </c>
      <c r="K9" s="7">
        <f>72*H9</f>
        <v/>
      </c>
      <c r="L9" s="8" t="n">
        <v>362</v>
      </c>
      <c r="M9" s="8" t="n">
        <v>648</v>
      </c>
      <c r="N9" s="7">
        <f>F9-L9</f>
        <v/>
      </c>
      <c r="O9" s="7">
        <f>H9-M9</f>
        <v/>
      </c>
      <c r="P9" s="8" t="n">
        <v>10</v>
      </c>
      <c r="Q9" s="7">
        <f>M9*P9</f>
        <v/>
      </c>
    </row>
    <row r="10">
      <c r="A10" s="4" t="inlineStr">
        <is>
          <t>5 cylinder</t>
        </is>
      </c>
      <c r="B10" s="5" t="inlineStr">
        <is>
          <t>createCylinder(36)</t>
        </is>
      </c>
      <c r="C10" s="9" t="n">
        <v>36</v>
      </c>
      <c r="D10" s="6" t="inlineStr">
        <is>
          <t>-</t>
        </is>
      </c>
      <c r="E10" s="6" t="inlineStr">
        <is>
          <t>4s + 2</t>
        </is>
      </c>
      <c r="F10" s="7">
        <f>4*C10+2</f>
        <v/>
      </c>
      <c r="G10" s="6" t="inlineStr">
        <is>
          <t>4s</t>
        </is>
      </c>
      <c r="H10" s="7">
        <f>4*C10</f>
        <v/>
      </c>
      <c r="I10" s="7">
        <f>3*H10</f>
        <v/>
      </c>
      <c r="J10" s="7">
        <f>24*F10+4*I10</f>
        <v/>
      </c>
      <c r="K10" s="7">
        <f>72*H10</f>
        <v/>
      </c>
      <c r="L10" s="8" t="n">
        <v>146</v>
      </c>
      <c r="M10" s="8" t="n">
        <v>144</v>
      </c>
      <c r="N10" s="7">
        <f>F10-L10</f>
        <v/>
      </c>
      <c r="O10" s="7">
        <f>H10-M10</f>
        <v/>
      </c>
      <c r="P10" s="8" t="n">
        <v>1358</v>
      </c>
      <c r="Q10" s="7">
        <f>M10*P10</f>
        <v/>
      </c>
    </row>
    <row r="11">
      <c r="A11" s="4" t="inlineStr">
        <is>
          <t>6 frustum</t>
        </is>
      </c>
      <c r="B11" s="5" t="inlineStr">
        <is>
          <t>createCylinder(36, 0.03, 0.5, false)</t>
        </is>
      </c>
      <c r="C11" s="9" t="n">
        <v>36</v>
      </c>
      <c r="D11" s="6" t="inlineStr">
        <is>
          <t>-</t>
        </is>
      </c>
      <c r="E11" s="6" t="inlineStr">
        <is>
          <t>2s</t>
        </is>
      </c>
      <c r="F11" s="7">
        <f>2*C11</f>
        <v/>
      </c>
      <c r="G11" s="6" t="inlineStr">
        <is>
          <t>2s</t>
        </is>
      </c>
      <c r="H11" s="7">
        <f>2*C11</f>
        <v/>
      </c>
      <c r="I11" s="7">
        <f>3*H11</f>
        <v/>
      </c>
      <c r="J11" s="7">
        <f>24*F11+4*I11</f>
        <v/>
      </c>
      <c r="K11" s="7">
        <f>72*H11</f>
        <v/>
      </c>
      <c r="L11" s="8" t="n">
        <v>72</v>
      </c>
      <c r="M11" s="8" t="n">
        <v>72</v>
      </c>
      <c r="N11" s="7">
        <f>F11-L11</f>
        <v/>
      </c>
      <c r="O11" s="7">
        <f>H11-M11</f>
        <v/>
      </c>
      <c r="P11" s="8" t="n">
        <v>3</v>
      </c>
      <c r="Q11" s="7">
        <f>M11*P11</f>
        <v/>
      </c>
    </row>
    <row r="12">
      <c r="A12" s="4" t="inlineStr">
        <is>
          <t>7 cone</t>
        </is>
      </c>
      <c r="B12" s="5" t="inlineStr">
        <is>
          <t>createCylinder(36, 0.5, 0, true)</t>
        </is>
      </c>
      <c r="C12" s="9" t="n">
        <v>36</v>
      </c>
      <c r="D12" s="6" t="inlineStr">
        <is>
          <t>-</t>
        </is>
      </c>
      <c r="E12" s="6" t="inlineStr">
        <is>
          <t>3s + 1</t>
        </is>
      </c>
      <c r="F12" s="7">
        <f>3*C12+1</f>
        <v/>
      </c>
      <c r="G12" s="6" t="inlineStr">
        <is>
          <t>2s</t>
        </is>
      </c>
      <c r="H12" s="7">
        <f>2*C12</f>
        <v/>
      </c>
      <c r="I12" s="7">
        <f>3*H12</f>
        <v/>
      </c>
      <c r="J12" s="7">
        <f>24*F12+4*I12</f>
        <v/>
      </c>
      <c r="K12" s="7">
        <f>72*H12</f>
        <v/>
      </c>
      <c r="L12" s="8" t="n">
        <v>109</v>
      </c>
      <c r="M12" s="8" t="n">
        <v>72</v>
      </c>
      <c r="N12" s="7">
        <f>F12-L12</f>
        <v/>
      </c>
      <c r="O12" s="7">
        <f>H12-M12</f>
        <v/>
      </c>
      <c r="P12" s="8" t="n">
        <v>295</v>
      </c>
      <c r="Q12" s="7">
        <f>M12*P12</f>
        <v/>
      </c>
    </row>
    <row r="13">
      <c r="A13" s="4" t="inlineStr">
        <is>
          <t>8 torus</t>
        </is>
      </c>
      <c r="B13" s="5" t="inlineStr">
        <is>
          <t>createTorus(0.35, 0.15, 36, 16)</t>
        </is>
      </c>
      <c r="C13" s="9" t="n">
        <v>36</v>
      </c>
      <c r="D13" s="9" t="n">
        <v>16</v>
      </c>
      <c r="E13" s="6" t="inlineStr">
        <is>
          <t>uv</t>
        </is>
      </c>
      <c r="F13" s="7">
        <f>C13*D13</f>
        <v/>
      </c>
      <c r="G13" s="6" t="inlineStr">
        <is>
          <t>2uv</t>
        </is>
      </c>
      <c r="H13" s="7">
        <f>2*C13*D13</f>
        <v/>
      </c>
      <c r="I13" s="7">
        <f>3*H13</f>
        <v/>
      </c>
      <c r="J13" s="7">
        <f>24*F13+4*I13</f>
        <v/>
      </c>
      <c r="K13" s="7">
        <f>72*H13</f>
        <v/>
      </c>
      <c r="L13" s="8" t="n">
        <v>576</v>
      </c>
      <c r="M13" s="8" t="n">
        <v>1152</v>
      </c>
      <c r="N13" s="7">
        <f>F13-L13</f>
        <v/>
      </c>
      <c r="O13" s="7">
        <f>H13-M13</f>
        <v/>
      </c>
      <c r="P13" s="8" t="n">
        <v>97</v>
      </c>
      <c r="Q13" s="7">
        <f>M13*P13</f>
        <v/>
      </c>
    </row>
    <row r="14">
      <c r="A14" s="4" t="inlineStr">
        <is>
          <t>9 wedge</t>
        </is>
      </c>
      <c r="B14" s="5" t="inlineStr">
        <is>
          <t>createWedge()</t>
        </is>
      </c>
      <c r="C14" s="6" t="inlineStr">
        <is>
          <t>-</t>
        </is>
      </c>
      <c r="D14" s="6" t="inlineStr">
        <is>
          <t>-</t>
        </is>
      </c>
      <c r="E14" s="6" t="inlineStr">
        <is>
          <t>3 x 4 + 2 x 3</t>
        </is>
      </c>
      <c r="F14" s="7">
        <f>3*4+2*3</f>
        <v/>
      </c>
      <c r="G14" s="6" t="inlineStr">
        <is>
          <t>3 x 2 + 2</t>
        </is>
      </c>
      <c r="H14" s="7">
        <f>3*2+2*1</f>
        <v/>
      </c>
      <c r="I14" s="7">
        <f>3*H14</f>
        <v/>
      </c>
      <c r="J14" s="7">
        <f>24*F14+4*I14</f>
        <v/>
      </c>
      <c r="K14" s="7">
        <f>72*H14</f>
        <v/>
      </c>
      <c r="L14" s="8" t="n">
        <v>18</v>
      </c>
      <c r="M14" s="8" t="n">
        <v>8</v>
      </c>
      <c r="N14" s="7">
        <f>F14-L14</f>
        <v/>
      </c>
      <c r="O14" s="7">
        <f>H14-M14</f>
        <v/>
      </c>
      <c r="P14" s="8" t="n">
        <v>6</v>
      </c>
      <c r="Q14" s="7">
        <f>M14*P14</f>
        <v/>
      </c>
    </row>
    <row r="15">
      <c r="A15" s="4" t="inlineStr">
        <is>
          <t>10 tapered box</t>
        </is>
      </c>
      <c r="B15" s="5" t="inlineStr">
        <is>
          <t>createTaperedBox(0.8, 0.8)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6 x 4</t>
        </is>
      </c>
      <c r="F15" s="7">
        <f>6*4</f>
        <v/>
      </c>
      <c r="G15" s="6" t="inlineStr">
        <is>
          <t>6 x 2</t>
        </is>
      </c>
      <c r="H15" s="7">
        <f>6*2</f>
        <v/>
      </c>
      <c r="I15" s="7">
        <f>3*H15</f>
        <v/>
      </c>
      <c r="J15" s="7">
        <f>24*F15+4*I15</f>
        <v/>
      </c>
      <c r="K15" s="7">
        <f>72*H15</f>
        <v/>
      </c>
      <c r="L15" s="8" t="n">
        <v>24</v>
      </c>
      <c r="M15" s="8" t="n">
        <v>12</v>
      </c>
      <c r="N15" s="7">
        <f>F15-L15</f>
        <v/>
      </c>
      <c r="O15" s="7">
        <f>H15-M15</f>
        <v/>
      </c>
      <c r="P15" s="8" t="n">
        <v>11</v>
      </c>
      <c r="Q15" s="7">
        <f>M15*P15</f>
        <v/>
      </c>
    </row>
    <row r="16">
      <c r="A16" s="4" t="inlineStr">
        <is>
          <t>11 pyramid</t>
        </is>
      </c>
      <c r="B16" s="5" t="inlineStr">
        <is>
          <t>createPyramid()</t>
        </is>
      </c>
      <c r="C16" s="6" t="inlineStr">
        <is>
          <t>-</t>
        </is>
      </c>
      <c r="D16" s="6" t="inlineStr">
        <is>
          <t>-</t>
        </is>
      </c>
      <c r="E16" s="6" t="inlineStr">
        <is>
          <t>4 + 4 x 3</t>
        </is>
      </c>
      <c r="F16" s="7">
        <f>4+4*3</f>
        <v/>
      </c>
      <c r="G16" s="6" t="inlineStr">
        <is>
          <t>2 + 4</t>
        </is>
      </c>
      <c r="H16" s="7">
        <f>2+4</f>
        <v/>
      </c>
      <c r="I16" s="7">
        <f>3*H16</f>
        <v/>
      </c>
      <c r="J16" s="7">
        <f>24*F16+4*I16</f>
        <v/>
      </c>
      <c r="K16" s="7">
        <f>72*H16</f>
        <v/>
      </c>
      <c r="L16" s="8" t="n">
        <v>16</v>
      </c>
      <c r="M16" s="8" t="n">
        <v>6</v>
      </c>
      <c r="N16" s="7">
        <f>F16-L16</f>
        <v/>
      </c>
      <c r="O16" s="7">
        <f>H16-M16</f>
        <v/>
      </c>
      <c r="P16" s="8" t="n">
        <v>2</v>
      </c>
      <c r="Q16" s="7">
        <f>M16*P16</f>
        <v/>
      </c>
    </row>
    <row r="17">
      <c r="A17" s="4" t="inlineStr">
        <is>
          <t>12 capsule</t>
        </is>
      </c>
      <c r="B17" s="5" t="inlineStr">
        <is>
          <t>createCapsule(16, 3, 0.25)</t>
        </is>
      </c>
      <c r="C17" s="9" t="n">
        <v>16</v>
      </c>
      <c r="D17" s="9" t="n">
        <v>3</v>
      </c>
      <c r="E17" s="6" t="inlineStr">
        <is>
          <t>2cs + 2</t>
        </is>
      </c>
      <c r="F17" s="7">
        <f>2*D17*C17+2</f>
        <v/>
      </c>
      <c r="G17" s="6" t="inlineStr">
        <is>
          <t>4cs</t>
        </is>
      </c>
      <c r="H17" s="7">
        <f>4*D17*C17</f>
        <v/>
      </c>
      <c r="I17" s="7">
        <f>3*H17</f>
        <v/>
      </c>
      <c r="J17" s="7">
        <f>24*F17+4*I17</f>
        <v/>
      </c>
      <c r="K17" s="7">
        <f>72*H17</f>
        <v/>
      </c>
      <c r="L17" s="8" t="n">
        <v>98</v>
      </c>
      <c r="M17" s="8" t="n">
        <v>192</v>
      </c>
      <c r="N17" s="7">
        <f>F17-L17</f>
        <v/>
      </c>
      <c r="O17" s="7">
        <f>H17-M17</f>
        <v/>
      </c>
      <c r="P17" s="8" t="n">
        <v>364</v>
      </c>
      <c r="Q17" s="7">
        <f>M17*P17</f>
        <v/>
      </c>
    </row>
    <row r="18">
      <c r="A18" s="4" t="inlineStr">
        <is>
          <t>13 annulus</t>
        </is>
      </c>
      <c r="B18" s="5" t="inlineStr">
        <is>
          <t>createAnnulus(0.43, 48)</t>
        </is>
      </c>
      <c r="C18" s="9" t="n">
        <v>48</v>
      </c>
      <c r="D18" s="6" t="inlineStr">
        <is>
          <t>-</t>
        </is>
      </c>
      <c r="E18" s="6" t="inlineStr">
        <is>
          <t>4n</t>
        </is>
      </c>
      <c r="F18" s="7">
        <f>4*C18</f>
        <v/>
      </c>
      <c r="G18" s="6" t="inlineStr">
        <is>
          <t>4n</t>
        </is>
      </c>
      <c r="H18" s="7">
        <f>4*C18</f>
        <v/>
      </c>
      <c r="I18" s="7">
        <f>3*H18</f>
        <v/>
      </c>
      <c r="J18" s="7">
        <f>24*F18+4*I18</f>
        <v/>
      </c>
      <c r="K18" s="7">
        <f>72*H18</f>
        <v/>
      </c>
      <c r="L18" s="8" t="n">
        <v>192</v>
      </c>
      <c r="M18" s="8" t="n">
        <v>192</v>
      </c>
      <c r="N18" s="7">
        <f>F18-L18</f>
        <v/>
      </c>
      <c r="O18" s="7">
        <f>H18-M18</f>
        <v/>
      </c>
      <c r="P18" s="8" t="n">
        <v>2</v>
      </c>
      <c r="Q18" s="7">
        <f>M18*P18</f>
        <v/>
      </c>
    </row>
    <row r="19">
      <c r="A19" s="4" t="inlineStr">
        <is>
          <t>14 helix</t>
        </is>
      </c>
      <c r="B19" s="5" t="inlineStr">
        <is>
          <t>createHelix(0.475, 0.025, 5, 120, 6)</t>
        </is>
      </c>
      <c r="C19" s="9" t="n">
        <v>120</v>
      </c>
      <c r="D19" s="9" t="n">
        <v>6</v>
      </c>
      <c r="E19" s="6" t="inlineStr">
        <is>
          <t>(n+1)m + 2(m+1)</t>
        </is>
      </c>
      <c r="F19" s="7">
        <f>(C19+1)*D19+2*(D19+1)</f>
        <v/>
      </c>
      <c r="G19" s="6" t="inlineStr">
        <is>
          <t>2nm + 2m</t>
        </is>
      </c>
      <c r="H19" s="7">
        <f>2*C19*D19+2*D19</f>
        <v/>
      </c>
      <c r="I19" s="7">
        <f>3*H19</f>
        <v/>
      </c>
      <c r="J19" s="7">
        <f>24*F19+4*I19</f>
        <v/>
      </c>
      <c r="K19" s="7">
        <f>72*H19</f>
        <v/>
      </c>
      <c r="L19" s="8" t="n">
        <v>740</v>
      </c>
      <c r="M19" s="8" t="n">
        <v>1452</v>
      </c>
      <c r="N19" s="7">
        <f>F19-L19</f>
        <v/>
      </c>
      <c r="O19" s="7">
        <f>H19-M19</f>
        <v/>
      </c>
      <c r="P19" s="8" t="n">
        <v>52</v>
      </c>
      <c r="Q19" s="7">
        <f>M19*P19</f>
        <v/>
      </c>
    </row>
    <row r="20">
      <c r="A20" s="4" t="inlineStr">
        <is>
          <t>15 grass blade</t>
        </is>
      </c>
      <c r="B20" s="5" t="inlineStr">
        <is>
          <t>createGrassBlade()</t>
        </is>
      </c>
      <c r="C20" s="6" t="inlineStr">
        <is>
          <t>-</t>
        </is>
      </c>
      <c r="D20" s="9" t="n">
        <v>3</v>
      </c>
      <c r="E20" s="6" t="inlineStr">
        <is>
          <t>2 x rows + 1</t>
        </is>
      </c>
      <c r="F20" s="7">
        <f>2*D20+1</f>
        <v/>
      </c>
      <c r="G20" s="6" t="inlineStr">
        <is>
          <t>2(rows-1) + 1</t>
        </is>
      </c>
      <c r="H20" s="7">
        <f>2*(D20-1)+1</f>
        <v/>
      </c>
      <c r="I20" s="7">
        <f>3*H20</f>
        <v/>
      </c>
      <c r="J20" s="7">
        <f>24*F20+4*I20</f>
        <v/>
      </c>
      <c r="K20" s="7">
        <f>72*H20</f>
        <v/>
      </c>
      <c r="L20" s="8" t="n">
        <v>7</v>
      </c>
      <c r="M20" s="8" t="n">
        <v>5</v>
      </c>
      <c r="N20" s="7">
        <f>F20-L20</f>
        <v/>
      </c>
      <c r="O20" s="7">
        <f>H20-M20</f>
        <v/>
      </c>
      <c r="P20" s="8" t="n">
        <v>0</v>
      </c>
      <c r="Q20" s="7">
        <f>M20*P20</f>
        <v/>
      </c>
    </row>
    <row r="21">
      <c r="A21" s="4" t="inlineStr">
        <is>
          <t>16 terrain disc</t>
        </is>
      </c>
      <c r="B21" s="5" t="inlineStr">
        <is>
          <t>createTerrainDisc(130, 384, 36)</t>
        </is>
      </c>
      <c r="C21" s="9" t="n">
        <v>384</v>
      </c>
      <c r="D21" s="9" t="n">
        <v>130</v>
      </c>
      <c r="E21" s="6" t="inlineStr">
        <is>
          <t>1 + ks</t>
        </is>
      </c>
      <c r="F21" s="7">
        <f>1+D21*C21</f>
        <v/>
      </c>
      <c r="G21" s="6" t="inlineStr">
        <is>
          <t>s(2k-1) - D</t>
        </is>
      </c>
      <c r="H21" s="7">
        <f>C21*(2*D21-1)-2016</f>
        <v/>
      </c>
      <c r="I21" s="7">
        <f>3*H21</f>
        <v/>
      </c>
      <c r="J21" s="7">
        <f>24*F21+4*I21</f>
        <v/>
      </c>
      <c r="K21" s="7">
        <f>72*H21</f>
        <v/>
      </c>
      <c r="L21" s="8" t="n">
        <v>49921</v>
      </c>
      <c r="M21" s="8" t="n">
        <v>97440</v>
      </c>
      <c r="N21" s="7">
        <f>F21-L21</f>
        <v/>
      </c>
      <c r="O21" s="7">
        <f>H21-M21</f>
        <v/>
      </c>
      <c r="P21" s="8" t="n">
        <v>1</v>
      </c>
      <c r="Q21" s="7">
        <f>M21*P21</f>
        <v/>
      </c>
    </row>
    <row r="22">
      <c r="A22" s="4" t="inlineStr">
        <is>
          <t>Scene total (parts)</t>
        </is>
      </c>
      <c r="P22" s="7">
        <f>SUM(P6:P21)</f>
        <v/>
      </c>
      <c r="Q22" s="7">
        <f>SUM(Q6:Q21)</f>
        <v/>
      </c>
    </row>
    <row r="23">
      <c r="A23" s="2" t="inlineStr">
        <is>
          <t>dV = dT = 0: the closed-form counts match the exported meshes. Terrain: D = triangles dropped inside the entrance trench (export params.trench_dropped). Grass blade: 0 scene parts, 450000 GPU instances at EPIC.</t>
        </is>
      </c>
    </row>
    <row r="24">
      <c r="A24" s="2" t="inlineStr">
        <is>
          <t>Bytes: 24-byte vertex (position + normal, 6 floats), 4-byte indices; non-indexed = 3 vertices per triangle (72 bytes). Exported bytes_indexed / bytes_non_indexed agree.</t>
        </is>
      </c>
    </row>
    <row r="26">
      <c r="A26" s="10" t="inlineStr">
        <is>
          <t>Parametric equations (local space, unit size; export 'parametric' and 'axis')</t>
        </is>
      </c>
    </row>
    <row r="27">
      <c r="A27" s="3" t="inlineStr">
        <is>
          <t>Primitive</t>
        </is>
      </c>
      <c r="B27" s="3" t="inlineStr">
        <is>
          <t>Point p(parameters)</t>
        </is>
      </c>
      <c r="C27" s="11" t="n"/>
      <c r="D27" s="11" t="n"/>
      <c r="E27" s="11" t="n"/>
      <c r="F27" s="11" t="n"/>
      <c r="G27" s="11" t="n"/>
      <c r="H27" s="11" t="n"/>
      <c r="I27" s="12" t="n"/>
      <c r="J27" s="3" t="inlineStr">
        <is>
          <t>Placement / axis</t>
        </is>
      </c>
      <c r="K27" s="11" t="n"/>
      <c r="L27" s="11" t="n"/>
      <c r="M27" s="11" t="n"/>
      <c r="N27" s="11" t="n"/>
      <c r="O27" s="11" t="n"/>
      <c r="P27" s="11" t="n"/>
      <c r="Q27" s="12" t="n"/>
    </row>
    <row r="28" ht="30" customHeight="1">
      <c r="A28" s="4" t="inlineStr">
        <is>
          <t>1 cube</t>
        </is>
      </c>
      <c r="B28" s="13" t="inlineStr">
        <is>
          <t>corners: (0.5,-0.5,0.5) (0.5,-0.5,-0.5) (0.5,0.5,-0.5) (0.5,0.5,0.5) (-0.5,-0.5,-0.5) (-0.5,-0.5,0.5) (-0.5,0.5,0.5) (-0.5,0.5,-0.5)</t>
        </is>
      </c>
      <c r="C28" s="14" t="n"/>
      <c r="D28" s="14" t="n"/>
      <c r="E28" s="14" t="n"/>
      <c r="F28" s="14" t="n"/>
      <c r="G28" s="14" t="n"/>
      <c r="H28" s="14" t="n"/>
      <c r="I28" s="14" t="n"/>
      <c r="J28" s="13" t="inlineStr">
        <is>
          <t>centred, x, y, z in [-0.5, 0.5]</t>
        </is>
      </c>
      <c r="K28" s="14" t="n"/>
      <c r="L28" s="14" t="n"/>
      <c r="M28" s="14" t="n"/>
      <c r="N28" s="14" t="n"/>
      <c r="O28" s="14" t="n"/>
      <c r="P28" s="14" t="n"/>
      <c r="Q28" s="14" t="n"/>
    </row>
    <row r="29" ht="30" customHeight="1">
      <c r="A29" s="4" t="inlineStr">
        <is>
          <t>2 cuboid</t>
        </is>
      </c>
      <c r="B29" s="13" t="inlineStr">
        <is>
          <t>corners: (0.5,-0.5,0.5) (0.5,-0.5,-0.5) (0.5,0.5,-0.5) (0.5,0.5,0.5) (-0.5,-0.5,-0.5) (-0.5,-0.5,0.5) (-0.5,0.5,0.5) (-0.5,0.5,-0.5)</t>
        </is>
      </c>
      <c r="C29" s="14" t="n"/>
      <c r="D29" s="14" t="n"/>
      <c r="E29" s="14" t="n"/>
      <c r="F29" s="14" t="n"/>
      <c r="G29" s="14" t="n"/>
      <c r="H29" s="14" t="n"/>
      <c r="I29" s="14" t="n"/>
      <c r="J29" s="13" t="inlineStr">
        <is>
          <t>the cube mesh, S per part</t>
        </is>
      </c>
      <c r="K29" s="14" t="n"/>
      <c r="L29" s="14" t="n"/>
      <c r="M29" s="14" t="n"/>
      <c r="N29" s="14" t="n"/>
      <c r="O29" s="14" t="n"/>
      <c r="P29" s="14" t="n"/>
      <c r="Q29" s="14" t="n"/>
    </row>
    <row r="30" ht="30" customHeight="1">
      <c r="A30" s="4" t="inlineStr">
        <is>
          <t>3 sphere</t>
        </is>
      </c>
      <c r="B30" s="13" t="inlineStr">
        <is>
          <t>p = 0.5 (sin(theta) cos(phi), cos(theta), sin(theta) sin(phi)), theta = pi i / k, phi = 2 pi j / s; north half generated, south half by reflection y -&gt; -y</t>
        </is>
      </c>
      <c r="C30" s="14" t="n"/>
      <c r="D30" s="14" t="n"/>
      <c r="E30" s="14" t="n"/>
      <c r="F30" s="14" t="n"/>
      <c r="G30" s="14" t="n"/>
      <c r="H30" s="14" t="n"/>
      <c r="I30" s="14" t="n"/>
      <c r="J30" s="13" t="inlineStr">
        <is>
          <t>poles on Y</t>
        </is>
      </c>
      <c r="K30" s="14" t="n"/>
      <c r="L30" s="14" t="n"/>
      <c r="M30" s="14" t="n"/>
      <c r="N30" s="14" t="n"/>
      <c r="O30" s="14" t="n"/>
      <c r="P30" s="14" t="n"/>
      <c r="Q30" s="14" t="n"/>
    </row>
    <row r="31" ht="30" customHeight="1">
      <c r="A31" s="4" t="inlineStr">
        <is>
          <t>4 hemisphere</t>
        </is>
      </c>
      <c r="B31" s="13" t="inlineStr">
        <is>
          <t>p = (0.5 sin(theta) cos(phi), -0.5 + cos(theta), -0.5 sin(theta) sin(phi)), theta = (pi / 2) i / k, phi = 2 pi j / s; base disc y = -0.5</t>
        </is>
      </c>
      <c r="C31" s="14" t="n"/>
      <c r="D31" s="14" t="n"/>
      <c r="E31" s="14" t="n"/>
      <c r="F31" s="14" t="n"/>
      <c r="G31" s="14" t="n"/>
      <c r="H31" s="14" t="n"/>
      <c r="I31" s="14" t="n"/>
      <c r="J31" s="13" t="inlineStr">
        <is>
          <t>pole +Y, base disc at y = -0.5</t>
        </is>
      </c>
      <c r="K31" s="14" t="n"/>
      <c r="L31" s="14" t="n"/>
      <c r="M31" s="14" t="n"/>
      <c r="N31" s="14" t="n"/>
      <c r="O31" s="14" t="n"/>
      <c r="P31" s="14" t="n"/>
      <c r="Q31" s="14" t="n"/>
    </row>
    <row r="32" ht="30" customHeight="1">
      <c r="A32" s="4" t="inlineStr">
        <is>
          <t>5 cylinder</t>
        </is>
      </c>
      <c r="B32" s="13" t="inlineStr">
        <is>
          <t>p = (r cos(phi), r sin(phi), +-0.5), phi = 2 pi j / s; caps: centre + own ring (normal +-Z)</t>
        </is>
      </c>
      <c r="C32" s="14" t="n"/>
      <c r="D32" s="14" t="n"/>
      <c r="E32" s="14" t="n"/>
      <c r="F32" s="14" t="n"/>
      <c r="G32" s="14" t="n"/>
      <c r="H32" s="14" t="n"/>
      <c r="I32" s="14" t="n"/>
      <c r="J32" s="13" t="inlineStr">
        <is>
          <t>axis Z</t>
        </is>
      </c>
      <c r="K32" s="14" t="n"/>
      <c r="L32" s="14" t="n"/>
      <c r="M32" s="14" t="n"/>
      <c r="N32" s="14" t="n"/>
      <c r="O32" s="14" t="n"/>
      <c r="P32" s="14" t="n"/>
      <c r="Q32" s="14" t="n"/>
    </row>
    <row r="33" ht="30" customHeight="1">
      <c r="A33" s="4" t="inlineStr">
        <is>
          <t>6 frustum</t>
        </is>
      </c>
      <c r="B33" s="13" t="inlineStr">
        <is>
          <t>p = (r(z) cos(phi), r(z) sin(phi), z), r(-0.5) = r_bottom, r(+0.5) = r_top; side normal (cos, sin, r_bottom - r_top)</t>
        </is>
      </c>
      <c r="C33" s="14" t="n"/>
      <c r="D33" s="14" t="n"/>
      <c r="E33" s="14" t="n"/>
      <c r="F33" s="14" t="n"/>
      <c r="G33" s="14" t="n"/>
      <c r="H33" s="14" t="n"/>
      <c r="I33" s="14" t="n"/>
      <c r="J33" s="13" t="inlineStr">
        <is>
          <t>axis Z, open ends</t>
        </is>
      </c>
      <c r="K33" s="14" t="n"/>
      <c r="L33" s="14" t="n"/>
      <c r="M33" s="14" t="n"/>
      <c r="N33" s="14" t="n"/>
      <c r="O33" s="14" t="n"/>
      <c r="P33" s="14" t="n"/>
      <c r="Q33" s="14" t="n"/>
    </row>
    <row r="34" ht="15" customHeight="1">
      <c r="A34" s="4" t="inlineStr">
        <is>
          <t>7 cone</t>
        </is>
      </c>
      <c r="B34" s="13" t="inlineStr">
        <is>
          <t>cylinder generator with r_top = 0: apex (0, 0, 0.5), base disc z = -0.5</t>
        </is>
      </c>
      <c r="C34" s="14" t="n"/>
      <c r="D34" s="14" t="n"/>
      <c r="E34" s="14" t="n"/>
      <c r="F34" s="14" t="n"/>
      <c r="G34" s="14" t="n"/>
      <c r="H34" s="14" t="n"/>
      <c r="I34" s="14" t="n"/>
      <c r="J34" s="13" t="inlineStr">
        <is>
          <t>axis Z, apex +Z</t>
        </is>
      </c>
      <c r="K34" s="14" t="n"/>
      <c r="L34" s="14" t="n"/>
      <c r="M34" s="14" t="n"/>
      <c r="N34" s="14" t="n"/>
      <c r="O34" s="14" t="n"/>
      <c r="P34" s="14" t="n"/>
      <c r="Q34" s="14" t="n"/>
    </row>
    <row r="35" ht="30" customHeight="1">
      <c r="A35" s="4" t="inlineStr">
        <is>
          <t>8 torus</t>
        </is>
      </c>
      <c r="B35" s="13" t="inlineStr">
        <is>
          <t>p = ((R + r cos v) cos u, (R + r cos v) sin u, r sin v), n = (cos v cos u, cos v sin u, sin v)</t>
        </is>
      </c>
      <c r="C35" s="14" t="n"/>
      <c r="D35" s="14" t="n"/>
      <c r="E35" s="14" t="n"/>
      <c r="F35" s="14" t="n"/>
      <c r="G35" s="14" t="n"/>
      <c r="H35" s="14" t="n"/>
      <c r="I35" s="14" t="n"/>
      <c r="J35" s="13" t="inlineStr">
        <is>
          <t>axis Z, R + r = 0.5, z in [-r, r]</t>
        </is>
      </c>
      <c r="K35" s="14" t="n"/>
      <c r="L35" s="14" t="n"/>
      <c r="M35" s="14" t="n"/>
      <c r="N35" s="14" t="n"/>
      <c r="O35" s="14" t="n"/>
      <c r="P35" s="14" t="n"/>
      <c r="Q35" s="14" t="n"/>
    </row>
    <row r="36" ht="30" customHeight="1">
      <c r="A36" s="4" t="inlineStr">
        <is>
          <t>9 wedge</t>
        </is>
      </c>
      <c r="B36" s="13" t="inlineStr">
        <is>
          <t>corners: (-0.5,-0.5,-0.5) (0.5,-0.5,-0.5) (0.5,-0.5,0.5) (-0.5,-0.5,0.5) (-0.5,0.5,-0.5) (0.5,0.5,-0.5)</t>
        </is>
      </c>
      <c r="C36" s="14" t="n"/>
      <c r="D36" s="14" t="n"/>
      <c r="E36" s="14" t="n"/>
      <c r="F36" s="14" t="n"/>
      <c r="G36" s="14" t="n"/>
      <c r="H36" s="14" t="n"/>
      <c r="I36" s="14" t="n"/>
      <c r="J36" s="13" t="inlineStr">
        <is>
          <t>triangle (y, z) = (-,-) (-,+) (+,-) extruded along X; slope faces +Y +Z</t>
        </is>
      </c>
      <c r="K36" s="14" t="n"/>
      <c r="L36" s="14" t="n"/>
      <c r="M36" s="14" t="n"/>
      <c r="N36" s="14" t="n"/>
      <c r="O36" s="14" t="n"/>
      <c r="P36" s="14" t="n"/>
      <c r="Q36" s="14" t="n"/>
    </row>
    <row r="37" ht="30" customHeight="1">
      <c r="A37" s="4" t="inlineStr">
        <is>
          <t>10 tapered box</t>
        </is>
      </c>
      <c r="B37" s="13" t="inlineStr">
        <is>
          <t>corners: (-0.5,-0.5,-0.5) (0.5,-0.5,-0.5) (0.5,-0.5,0.5) (-0.5,-0.5,0.5) (-0.4,0.5,-0.4) (-0.4,0.5,0.4) (0.4,0.5,0.4) (0.4,0.5,-0.4)</t>
        </is>
      </c>
      <c r="C37" s="14" t="n"/>
      <c r="D37" s="14" t="n"/>
      <c r="E37" s="14" t="n"/>
      <c r="F37" s="14" t="n"/>
      <c r="G37" s="14" t="n"/>
      <c r="H37" s="14" t="n"/>
      <c r="I37" s="14" t="n"/>
      <c r="J37" s="13" t="inlineStr">
        <is>
          <t>bottom 1 x 1 at y = -0.5, top at y = +0.5</t>
        </is>
      </c>
      <c r="K37" s="14" t="n"/>
      <c r="L37" s="14" t="n"/>
      <c r="M37" s="14" t="n"/>
      <c r="N37" s="14" t="n"/>
      <c r="O37" s="14" t="n"/>
      <c r="P37" s="14" t="n"/>
      <c r="Q37" s="14" t="n"/>
    </row>
    <row r="38" ht="15" customHeight="1">
      <c r="A38" s="4" t="inlineStr">
        <is>
          <t>11 pyramid</t>
        </is>
      </c>
      <c r="B38" s="13" t="inlineStr">
        <is>
          <t>corners: (-0.5,-0.5,-0.5) (0.5,-0.5,-0.5) (0.5,-0.5,0.5) (-0.5,-0.5,0.5) (0,0.5,0)</t>
        </is>
      </c>
      <c r="C38" s="14" t="n"/>
      <c r="D38" s="14" t="n"/>
      <c r="E38" s="14" t="n"/>
      <c r="F38" s="14" t="n"/>
      <c r="G38" s="14" t="n"/>
      <c r="H38" s="14" t="n"/>
      <c r="I38" s="14" t="n"/>
      <c r="J38" s="13" t="inlineStr">
        <is>
          <t>base 1 x 1 at y = -0.5, apex +Y</t>
        </is>
      </c>
      <c r="K38" s="14" t="n"/>
      <c r="L38" s="14" t="n"/>
      <c r="M38" s="14" t="n"/>
      <c r="N38" s="14" t="n"/>
      <c r="O38" s="14" t="n"/>
      <c r="P38" s="14" t="n"/>
      <c r="Q38" s="14" t="n"/>
    </row>
    <row r="39" ht="30" customHeight="1">
      <c r="A39" s="4" t="inlineStr">
        <is>
          <t>12 capsule</t>
        </is>
      </c>
      <c r="B39" s="13" t="inlineStr">
        <is>
          <t>cylinder r = 0.5, |z| &lt;= 0.5 - h, + half-ellipsoid caps p = (0.5 sin(theta) cos(phi), 0.5 sin(theta) sin(phi), +-(0.5 - h + h cos(theta))), theta = (pi / 2) i / c</t>
        </is>
      </c>
      <c r="C39" s="14" t="n"/>
      <c r="D39" s="14" t="n"/>
      <c r="E39" s="14" t="n"/>
      <c r="F39" s="14" t="n"/>
      <c r="G39" s="14" t="n"/>
      <c r="H39" s="14" t="n"/>
      <c r="I39" s="14" t="n"/>
      <c r="J39" s="13" t="inlineStr">
        <is>
          <t>axis Z</t>
        </is>
      </c>
      <c r="K39" s="14" t="n"/>
      <c r="L39" s="14" t="n"/>
      <c r="M39" s="14" t="n"/>
      <c r="N39" s="14" t="n"/>
      <c r="O39" s="14" t="n"/>
      <c r="P39" s="14" t="n"/>
      <c r="Q39" s="14" t="n"/>
    </row>
    <row r="40" ht="30" customHeight="1">
      <c r="A40" s="4" t="inlineStr">
        <is>
          <t>13 annulus</t>
        </is>
      </c>
      <c r="B40" s="13" t="inlineStr">
        <is>
          <t>outer (0.5 cos(phi), 0.5 sin(phi), 0), inner (r_i cos(phi), r_i sin(phi), 0), phi = 2 pi j / n; front face +Z and back face -Z</t>
        </is>
      </c>
      <c r="C40" s="14" t="n"/>
      <c r="D40" s="14" t="n"/>
      <c r="E40" s="14" t="n"/>
      <c r="F40" s="14" t="n"/>
      <c r="G40" s="14" t="n"/>
      <c r="H40" s="14" t="n"/>
      <c r="I40" s="14" t="n"/>
      <c r="J40" s="13" t="inlineStr">
        <is>
          <t>XY plane (z = 0), normal +-Z</t>
        </is>
      </c>
      <c r="K40" s="14" t="n"/>
      <c r="L40" s="14" t="n"/>
      <c r="M40" s="14" t="n"/>
      <c r="N40" s="14" t="n"/>
      <c r="O40" s="14" t="n"/>
      <c r="P40" s="14" t="n"/>
      <c r="Q40" s="14" t="n"/>
    </row>
    <row r="41" ht="30" customHeight="1">
      <c r="A41" s="4" t="inlineStr">
        <is>
          <t>14 helix</t>
        </is>
      </c>
      <c r="B41" s="13" t="inlineStr">
        <is>
          <t>c(t) = (R cos(2 pi k t), R sin(2 pi k t), L (t - 0.5)), L = 1 - 2 r; tube c(t) + r (cos(psi) N + sin(psi) B), N = (cos, sin, 0), B = T x N</t>
        </is>
      </c>
      <c r="C41" s="14" t="n"/>
      <c r="D41" s="14" t="n"/>
      <c r="E41" s="14" t="n"/>
      <c r="F41" s="14" t="n"/>
      <c r="G41" s="14" t="n"/>
      <c r="H41" s="14" t="n"/>
      <c r="I41" s="14" t="n"/>
      <c r="J41" s="13" t="inlineStr">
        <is>
          <t>axis Z</t>
        </is>
      </c>
      <c r="K41" s="14" t="n"/>
      <c r="L41" s="14" t="n"/>
      <c r="M41" s="14" t="n"/>
      <c r="N41" s="14" t="n"/>
      <c r="O41" s="14" t="n"/>
      <c r="P41" s="14" t="n"/>
      <c r="Q41" s="14" t="n"/>
    </row>
    <row r="42" ht="30" customHeight="1">
      <c r="A42" s="4" t="inlineStr">
        <is>
          <t>15 grass blade</t>
        </is>
      </c>
      <c r="B42" s="13" t="inlineStr">
        <is>
          <t>strip x = +-0.625 at y = t - 0.5 (t = 0, 0.38, 0.72), tip (0, 0.5, 0); bent and placed per instance in the grass vertex shader</t>
        </is>
      </c>
      <c r="C42" s="14" t="n"/>
      <c r="D42" s="14" t="n"/>
      <c r="E42" s="14" t="n"/>
      <c r="F42" s="14" t="n"/>
      <c r="G42" s="14" t="n"/>
      <c r="H42" s="14" t="n"/>
      <c r="I42" s="14" t="n"/>
      <c r="J42" s="13" t="inlineStr">
        <is>
          <t>Y up, plane z = 0 (1.25 wide)</t>
        </is>
      </c>
      <c r="K42" s="14" t="n"/>
      <c r="L42" s="14" t="n"/>
      <c r="M42" s="14" t="n"/>
      <c r="N42" s="14" t="n"/>
      <c r="O42" s="14" t="n"/>
      <c r="P42" s="14" t="n"/>
      <c r="Q42" s="14" t="n"/>
    </row>
    <row r="43" ht="15" customHeight="1">
      <c r="A43" s="4" t="inlineStr">
        <is>
          <t>16 terrain disc</t>
        </is>
      </c>
      <c r="B43" s="13" t="inlineStr">
        <is>
          <t>polar grid r = R i / k, phi = 2 pi j / s, y = terrainHeight(x, z), n = terrain normal</t>
        </is>
      </c>
      <c r="C43" s="14" t="n"/>
      <c r="D43" s="14" t="n"/>
      <c r="E43" s="14" t="n"/>
      <c r="F43" s="14" t="n"/>
      <c r="G43" s="14" t="n"/>
      <c r="H43" s="14" t="n"/>
      <c r="I43" s="14" t="n"/>
      <c r="J43" s="13" t="inlineStr">
        <is>
          <t>world units (radius R), Y up</t>
        </is>
      </c>
      <c r="K43" s="14" t="n"/>
      <c r="L43" s="14" t="n"/>
      <c r="M43" s="14" t="n"/>
      <c r="N43" s="14" t="n"/>
      <c r="O43" s="14" t="n"/>
      <c r="P43" s="14" t="n"/>
      <c r="Q43" s="14" t="n"/>
    </row>
  </sheetData>
  <mergeCells count="34">
    <mergeCell ref="J39:Q39"/>
    <mergeCell ref="J29:Q29"/>
    <mergeCell ref="J38:Q38"/>
    <mergeCell ref="B31:I31"/>
    <mergeCell ref="J28:Q28"/>
    <mergeCell ref="B27:I27"/>
    <mergeCell ref="J37:Q37"/>
    <mergeCell ref="J40:Q40"/>
    <mergeCell ref="B43:I43"/>
    <mergeCell ref="J34:Q34"/>
    <mergeCell ref="B39:I39"/>
    <mergeCell ref="J30:Q30"/>
    <mergeCell ref="B42:I42"/>
    <mergeCell ref="B32:I32"/>
    <mergeCell ref="J36:Q36"/>
    <mergeCell ref="J27:Q27"/>
    <mergeCell ref="J35:Q35"/>
    <mergeCell ref="B29:I29"/>
    <mergeCell ref="B38:I38"/>
    <mergeCell ref="B34:I34"/>
    <mergeCell ref="B28:I28"/>
    <mergeCell ref="J41:Q41"/>
    <mergeCell ref="B37:I37"/>
    <mergeCell ref="J32:Q32"/>
    <mergeCell ref="J31:Q31"/>
    <mergeCell ref="B40:I40"/>
    <mergeCell ref="B30:I30"/>
    <mergeCell ref="J43:Q43"/>
    <mergeCell ref="B33:I33"/>
    <mergeCell ref="J33:Q33"/>
    <mergeCell ref="B36:I36"/>
    <mergeCell ref="J42:Q42"/>
    <mergeCell ref="B41:I41"/>
    <mergeCell ref="B35:I35"/>
  </mergeCells>
  <printOptions gridLines="0"/>
  <pageMargins left="0.4" right="0.4" top="0.4" bottom="0.4" header="0.2" footer="0.2"/>
  <pageSetup orientation="landscape" paperSize="9" scale="78"/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C2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2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7" customWidth="1" min="14" max="14"/>
    <col width="10" customWidth="1" min="15" max="15"/>
    <col width="9" customWidth="1" min="16" max="16"/>
    <col width="8" customWidth="1" min="17" max="17"/>
    <col width="10" customWidth="1" min="18" max="18"/>
    <col width="9" customWidth="1" min="19" max="19"/>
    <col width="8" customWidth="1" min="20" max="20"/>
  </cols>
  <sheetData>
    <row r="1">
      <c r="A1" s="1" t="inlineStr">
        <is>
          <t>Decomposition: objects as hierarchies of primitive parts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ts --export-docs 'components' (S, R_deg, T, parent, colour, specular, shininess) and 'objects'; objects/*.cpp Builder. Rows below list every drawn part (leaf) of UAV-1 and of Soldier 1.</t>
        </is>
      </c>
    </row>
    <row r="5">
      <c r="A5" s="10" t="inlineStr">
        <is>
          <t>1. Object-level primitive totals (whole scene, from the export)</t>
        </is>
      </c>
      <c r="W5" s="10" t="inlineStr">
        <is>
          <t>2. Parts per primitive (COUNTIFS over the part rows)</t>
        </is>
      </c>
    </row>
    <row r="6" ht="42" customHeight="1">
      <c r="A6" s="3" t="inlineStr">
        <is>
          <t>Object</t>
        </is>
      </c>
      <c r="B6" s="3" t="inlineStr">
        <is>
          <t>Cube</t>
        </is>
      </c>
      <c r="C6" s="3" t="inlineStr">
        <is>
          <t>Wedge</t>
        </is>
      </c>
      <c r="D6" s="3" t="inlineStr">
        <is>
          <t>Tapered box</t>
        </is>
      </c>
      <c r="E6" s="3" t="inlineStr">
        <is>
          <t>Pyramid</t>
        </is>
      </c>
      <c r="F6" s="3" t="inlineStr">
        <is>
          <t>Sphere</t>
        </is>
      </c>
      <c r="G6" s="3" t="inlineStr">
        <is>
          <t>Hemisphere</t>
        </is>
      </c>
      <c r="H6" s="3" t="inlineStr">
        <is>
          <t>Capsule</t>
        </is>
      </c>
      <c r="I6" s="3" t="inlineStr">
        <is>
          <t>Cylinder</t>
        </is>
      </c>
      <c r="J6" s="3" t="inlineStr">
        <is>
          <t>Cylinder (frustum)</t>
        </is>
      </c>
      <c r="K6" s="3" t="inlineStr">
        <is>
          <t>Cone</t>
        </is>
      </c>
      <c r="L6" s="3" t="inlineStr">
        <is>
          <t>Torus</t>
        </is>
      </c>
      <c r="M6" s="3" t="inlineStr">
        <is>
          <t>Annulus</t>
        </is>
      </c>
      <c r="N6" s="3" t="inlineStr">
        <is>
          <t>Helix</t>
        </is>
      </c>
      <c r="O6" s="3" t="inlineStr">
        <is>
          <t>Terrain disc</t>
        </is>
      </c>
      <c r="P6" s="3" t="inlineStr">
        <is>
          <t>parts (sum)</t>
        </is>
      </c>
      <c r="Q6" s="3" t="inlineStr">
        <is>
          <t>parts export</t>
        </is>
      </c>
      <c r="R6" s="3" t="inlineStr">
        <is>
          <t>check</t>
        </is>
      </c>
      <c r="S6" s="3" t="inlineStr">
        <is>
          <t>groups</t>
        </is>
      </c>
      <c r="T6" s="3" t="inlineStr">
        <is>
          <t>animated nodes</t>
        </is>
      </c>
      <c r="W6" s="3" t="inlineStr">
        <is>
          <t>Primitive</t>
        </is>
      </c>
      <c r="X6" s="3" t="inlineStr">
        <is>
          <t>UAV-1 COUNTIFS</t>
        </is>
      </c>
      <c r="Y6" s="3" t="inlineStr">
        <is>
          <t>UAV-1 export</t>
        </is>
      </c>
      <c r="Z6" s="3" t="inlineStr">
        <is>
          <t>check</t>
        </is>
      </c>
      <c r="AA6" s="3" t="inlineStr">
        <is>
          <t>Soldier 1 COUNTIFS</t>
        </is>
      </c>
      <c r="AB6" s="3" t="inlineStr">
        <is>
          <t>Soldier 1 export</t>
        </is>
      </c>
      <c r="AC6" s="3" t="inlineStr">
        <is>
          <t>check</t>
        </is>
      </c>
    </row>
    <row r="7">
      <c r="A7" s="4" t="inlineStr">
        <is>
          <t>Terrain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8" t="n">
        <v>1</v>
      </c>
      <c r="P7" s="7">
        <f>SUM(B7:O7)</f>
        <v/>
      </c>
      <c r="Q7" s="8" t="n">
        <v>1</v>
      </c>
      <c r="R7" s="15">
        <f>IF(P7=Q7,"OK","DIFF")</f>
        <v/>
      </c>
      <c r="S7" s="8" t="n">
        <v>1</v>
      </c>
      <c r="T7" s="8" t="n">
        <v>0</v>
      </c>
      <c r="W7" s="4" t="inlineStr">
        <is>
          <t>Cube</t>
        </is>
      </c>
      <c r="X7" s="7">
        <f>COUNTIFS($C$45:$C$123,W7)</f>
        <v/>
      </c>
      <c r="Y7" s="8" t="n">
        <v>34</v>
      </c>
      <c r="Z7" s="15">
        <f>IF(X7=Y7,"OK","DIFF")</f>
        <v/>
      </c>
      <c r="AA7" s="7">
        <f>COUNTIFS($C$128:$C$202,W7)</f>
        <v/>
      </c>
      <c r="AB7" s="8" t="n">
        <v>16</v>
      </c>
      <c r="AC7" s="15">
        <f>IF(AA7=AB7,"OK","DIFF")</f>
        <v/>
      </c>
    </row>
    <row r="8">
      <c r="A8" s="4" t="inlineStr">
        <is>
          <t>Backdrop</t>
        </is>
      </c>
      <c r="B8" s="7" t="n"/>
      <c r="C8" s="7" t="n"/>
      <c r="D8" s="7" t="n"/>
      <c r="E8" s="7" t="n"/>
      <c r="F8" s="8" t="n">
        <v>24</v>
      </c>
      <c r="G8" s="7" t="n"/>
      <c r="H8" s="7" t="n"/>
      <c r="I8" s="8" t="n">
        <v>10</v>
      </c>
      <c r="J8" s="7" t="n"/>
      <c r="K8" s="8" t="n">
        <v>86</v>
      </c>
      <c r="L8" s="7" t="n"/>
      <c r="M8" s="7" t="n"/>
      <c r="N8" s="7" t="n"/>
      <c r="O8" s="7" t="n"/>
      <c r="P8" s="7">
        <f>SUM(B8:O8)</f>
        <v/>
      </c>
      <c r="Q8" s="8" t="n">
        <v>120</v>
      </c>
      <c r="R8" s="15">
        <f>IF(P8=Q8,"OK","DIFF")</f>
        <v/>
      </c>
      <c r="S8" s="8" t="n">
        <v>47</v>
      </c>
      <c r="T8" s="8" t="n">
        <v>3</v>
      </c>
      <c r="W8" s="4" t="inlineStr">
        <is>
          <t>Wedge</t>
        </is>
      </c>
      <c r="X8" s="7">
        <f>COUNTIFS($C$45:$C$123,W8)</f>
        <v/>
      </c>
      <c r="Y8" s="8" t="n">
        <v>0</v>
      </c>
      <c r="Z8" s="15">
        <f>IF(X8=Y8,"OK","DIFF")</f>
        <v/>
      </c>
      <c r="AA8" s="7">
        <f>COUNTIFS($C$128:$C$202,W8)</f>
        <v/>
      </c>
      <c r="AB8" s="8" t="n">
        <v>0</v>
      </c>
      <c r="AC8" s="15">
        <f>IF(AA8=AB8,"OK","DIFF")</f>
        <v/>
      </c>
    </row>
    <row r="9">
      <c r="A9" s="4" t="inlineStr">
        <is>
          <t>Environment</t>
        </is>
      </c>
      <c r="B9" s="8" t="n">
        <v>46</v>
      </c>
      <c r="C9" s="7" t="n"/>
      <c r="D9" s="7" t="n"/>
      <c r="E9" s="7" t="n"/>
      <c r="F9" s="8" t="n">
        <v>201</v>
      </c>
      <c r="G9" s="7" t="n"/>
      <c r="H9" s="8" t="n">
        <v>57</v>
      </c>
      <c r="I9" s="8" t="n">
        <v>180</v>
      </c>
      <c r="J9" s="7" t="n"/>
      <c r="K9" s="8" t="n">
        <v>168</v>
      </c>
      <c r="L9" s="7" t="n"/>
      <c r="M9" s="7" t="n"/>
      <c r="N9" s="7" t="n"/>
      <c r="O9" s="7" t="n"/>
      <c r="P9" s="7">
        <f>SUM(B9:O9)</f>
        <v/>
      </c>
      <c r="Q9" s="8" t="n">
        <v>652</v>
      </c>
      <c r="R9" s="15">
        <f>IF(P9=Q9,"OK","DIFF")</f>
        <v/>
      </c>
      <c r="S9" s="8" t="n">
        <v>89</v>
      </c>
      <c r="T9" s="8" t="n">
        <v>2</v>
      </c>
      <c r="W9" s="4" t="inlineStr">
        <is>
          <t>Tapered box</t>
        </is>
      </c>
      <c r="X9" s="7">
        <f>COUNTIFS($C$45:$C$123,W9)</f>
        <v/>
      </c>
      <c r="Y9" s="8" t="n">
        <v>0</v>
      </c>
      <c r="Z9" s="15">
        <f>IF(X9=Y9,"OK","DIFF")</f>
        <v/>
      </c>
      <c r="AA9" s="7">
        <f>COUNTIFS($C$128:$C$202,W9)</f>
        <v/>
      </c>
      <c r="AB9" s="8" t="n">
        <v>1</v>
      </c>
      <c r="AC9" s="15">
        <f>IF(AA9=AB9,"OK","DIFF")</f>
        <v/>
      </c>
    </row>
    <row r="10">
      <c r="A10" s="4" t="inlineStr">
        <is>
          <t>Command Bunker</t>
        </is>
      </c>
      <c r="B10" s="8" t="n">
        <v>308</v>
      </c>
      <c r="C10" s="8" t="n">
        <v>1</v>
      </c>
      <c r="D10" s="7" t="n"/>
      <c r="E10" s="7" t="n"/>
      <c r="F10" s="8" t="n">
        <v>18</v>
      </c>
      <c r="G10" s="8" t="n">
        <v>1</v>
      </c>
      <c r="H10" s="8" t="n">
        <v>9</v>
      </c>
      <c r="I10" s="8" t="n">
        <v>90</v>
      </c>
      <c r="J10" s="7" t="n"/>
      <c r="K10" s="7" t="n"/>
      <c r="L10" s="7" t="n"/>
      <c r="M10" s="7" t="n"/>
      <c r="N10" s="7" t="n"/>
      <c r="O10" s="7" t="n"/>
      <c r="P10" s="7">
        <f>SUM(B10:O10)</f>
        <v/>
      </c>
      <c r="Q10" s="8" t="n">
        <v>427</v>
      </c>
      <c r="R10" s="15">
        <f>IF(P10=Q10,"OK","DIFF")</f>
        <v/>
      </c>
      <c r="S10" s="8" t="n">
        <v>18</v>
      </c>
      <c r="T10" s="8" t="n">
        <v>18</v>
      </c>
      <c r="W10" s="4" t="inlineStr">
        <is>
          <t>Pyramid</t>
        </is>
      </c>
      <c r="X10" s="7">
        <f>COUNTIFS($C$45:$C$123,W10)</f>
        <v/>
      </c>
      <c r="Y10" s="8" t="n">
        <v>0</v>
      </c>
      <c r="Z10" s="15">
        <f>IF(X10=Y10,"OK","DIFF")</f>
        <v/>
      </c>
      <c r="AA10" s="7">
        <f>COUNTIFS($C$128:$C$202,W10)</f>
        <v/>
      </c>
      <c r="AB10" s="8" t="n">
        <v>0</v>
      </c>
      <c r="AC10" s="15">
        <f>IF(AA10=AB10,"OK","DIFF")</f>
        <v/>
      </c>
    </row>
    <row r="11">
      <c r="A11" s="4" t="inlineStr">
        <is>
          <t>Autonomous UAV</t>
        </is>
      </c>
      <c r="B11" s="8" t="n">
        <v>68</v>
      </c>
      <c r="C11" s="7" t="n"/>
      <c r="D11" s="7" t="n"/>
      <c r="E11" s="7" t="n"/>
      <c r="F11" s="8" t="n">
        <v>26</v>
      </c>
      <c r="G11" s="7" t="n"/>
      <c r="H11" s="7" t="n"/>
      <c r="I11" s="8" t="n">
        <v>46</v>
      </c>
      <c r="J11" s="8" t="n">
        <v>2</v>
      </c>
      <c r="K11" s="8" t="n">
        <v>8</v>
      </c>
      <c r="L11" s="8" t="n">
        <v>8</v>
      </c>
      <c r="M11" s="7" t="n"/>
      <c r="N11" s="7" t="n"/>
      <c r="O11" s="7" t="n"/>
      <c r="P11" s="7">
        <f>SUM(B11:O11)</f>
        <v/>
      </c>
      <c r="Q11" s="8" t="n">
        <v>158</v>
      </c>
      <c r="R11" s="15">
        <f>IF(P11=Q11,"OK","DIFF")</f>
        <v/>
      </c>
      <c r="S11" s="8" t="n">
        <v>34</v>
      </c>
      <c r="T11" s="8" t="n">
        <v>26</v>
      </c>
      <c r="W11" s="4" t="inlineStr">
        <is>
          <t>Sphere</t>
        </is>
      </c>
      <c r="X11" s="7">
        <f>COUNTIFS($C$45:$C$123,W11)</f>
        <v/>
      </c>
      <c r="Y11" s="8" t="n">
        <v>13</v>
      </c>
      <c r="Z11" s="15">
        <f>IF(X11=Y11,"OK","DIFF")</f>
        <v/>
      </c>
      <c r="AA11" s="7">
        <f>COUNTIFS($C$128:$C$202,W11)</f>
        <v/>
      </c>
      <c r="AB11" s="8" t="n">
        <v>37</v>
      </c>
      <c r="AC11" s="15">
        <f>IF(AA11=AB11,"OK","DIFF")</f>
        <v/>
      </c>
    </row>
    <row r="12">
      <c r="A12" s="4" t="inlineStr">
        <is>
          <t>Base</t>
        </is>
      </c>
      <c r="B12" s="8" t="n">
        <v>556</v>
      </c>
      <c r="C12" s="7" t="n"/>
      <c r="D12" s="7" t="n"/>
      <c r="E12" s="8" t="n">
        <v>2</v>
      </c>
      <c r="F12" s="8" t="n">
        <v>41</v>
      </c>
      <c r="G12" s="7" t="n"/>
      <c r="H12" s="8" t="n">
        <v>71</v>
      </c>
      <c r="I12" s="8" t="n">
        <v>271</v>
      </c>
      <c r="J12" s="7" t="n"/>
      <c r="K12" s="7" t="n"/>
      <c r="L12" s="7" t="n"/>
      <c r="M12" s="7" t="n"/>
      <c r="N12" s="8" t="n">
        <v>52</v>
      </c>
      <c r="O12" s="7" t="n"/>
      <c r="P12" s="7">
        <f>SUM(B12:O12)</f>
        <v/>
      </c>
      <c r="Q12" s="8" t="n">
        <v>993</v>
      </c>
      <c r="R12" s="15">
        <f>IF(P12=Q12,"OK","DIFF")</f>
        <v/>
      </c>
      <c r="S12" s="8" t="n">
        <v>33</v>
      </c>
      <c r="T12" s="8" t="n">
        <v>0</v>
      </c>
      <c r="W12" s="4" t="inlineStr">
        <is>
          <t>Hemisphere</t>
        </is>
      </c>
      <c r="X12" s="7">
        <f>COUNTIFS($C$45:$C$123,W12)</f>
        <v/>
      </c>
      <c r="Y12" s="8" t="n">
        <v>0</v>
      </c>
      <c r="Z12" s="15">
        <f>IF(X12=Y12,"OK","DIFF")</f>
        <v/>
      </c>
      <c r="AA12" s="7">
        <f>COUNTIFS($C$128:$C$202,W12)</f>
        <v/>
      </c>
      <c r="AB12" s="8" t="n">
        <v>1</v>
      </c>
      <c r="AC12" s="15">
        <f>IF(AA12=AB12,"OK","DIFF")</f>
        <v/>
      </c>
    </row>
    <row r="13">
      <c r="A13" s="4" t="inlineStr">
        <is>
          <t>Barracks hall</t>
        </is>
      </c>
      <c r="B13" s="8" t="n">
        <v>225</v>
      </c>
      <c r="C13" s="7" t="n"/>
      <c r="D13" s="7" t="n"/>
      <c r="E13" s="7" t="n"/>
      <c r="F13" s="8" t="n">
        <v>2</v>
      </c>
      <c r="G13" s="7" t="n"/>
      <c r="H13" s="7" t="n"/>
      <c r="I13" s="8" t="n">
        <v>50</v>
      </c>
      <c r="J13" s="7" t="n"/>
      <c r="K13" s="7" t="n"/>
      <c r="L13" s="7" t="n"/>
      <c r="M13" s="7" t="n"/>
      <c r="N13" s="7" t="n"/>
      <c r="O13" s="7" t="n"/>
      <c r="P13" s="7">
        <f>SUM(B13:O13)</f>
        <v/>
      </c>
      <c r="Q13" s="8" t="n">
        <v>277</v>
      </c>
      <c r="R13" s="15">
        <f>IF(P13=Q13,"OK","DIFF")</f>
        <v/>
      </c>
      <c r="S13" s="8" t="n">
        <v>5</v>
      </c>
      <c r="T13" s="8" t="n">
        <v>1</v>
      </c>
      <c r="W13" s="4" t="inlineStr">
        <is>
          <t>Capsule</t>
        </is>
      </c>
      <c r="X13" s="7">
        <f>COUNTIFS($C$45:$C$123,W13)</f>
        <v/>
      </c>
      <c r="Y13" s="8" t="n">
        <v>0</v>
      </c>
      <c r="Z13" s="15">
        <f>IF(X13=Y13,"OK","DIFF")</f>
        <v/>
      </c>
      <c r="AA13" s="7">
        <f>COUNTIFS($C$128:$C$202,W13)</f>
        <v/>
      </c>
      <c r="AB13" s="8" t="n">
        <v>0</v>
      </c>
      <c r="AC13" s="15">
        <f>IF(AA13=AB13,"OK","DIFF")</f>
        <v/>
      </c>
    </row>
    <row r="14">
      <c r="A14" s="4" t="inlineStr">
        <is>
          <t>UAV pads</t>
        </is>
      </c>
      <c r="B14" s="8" t="n">
        <v>4</v>
      </c>
      <c r="C14" s="7" t="n"/>
      <c r="D14" s="7" t="n"/>
      <c r="E14" s="7" t="n"/>
      <c r="F14" s="8" t="n">
        <v>8</v>
      </c>
      <c r="G14" s="7" t="n"/>
      <c r="H14" s="7" t="n"/>
      <c r="I14" s="8" t="n">
        <v>4</v>
      </c>
      <c r="J14" s="7" t="n"/>
      <c r="K14" s="7" t="n"/>
      <c r="L14" s="7" t="n"/>
      <c r="M14" s="8" t="n">
        <v>2</v>
      </c>
      <c r="N14" s="7" t="n"/>
      <c r="O14" s="7" t="n"/>
      <c r="P14" s="7">
        <f>SUM(B14:O14)</f>
        <v/>
      </c>
      <c r="Q14" s="8" t="n">
        <v>18</v>
      </c>
      <c r="R14" s="15">
        <f>IF(P14=Q14,"OK","DIFF")</f>
        <v/>
      </c>
      <c r="S14" s="8" t="n">
        <v>3</v>
      </c>
      <c r="T14" s="8" t="n">
        <v>0</v>
      </c>
      <c r="W14" s="4" t="inlineStr">
        <is>
          <t>Cylinder</t>
        </is>
      </c>
      <c r="X14" s="7">
        <f>COUNTIFS($C$45:$C$123,W14)</f>
        <v/>
      </c>
      <c r="Y14" s="8" t="n">
        <v>23</v>
      </c>
      <c r="Z14" s="15">
        <f>IF(X14=Y14,"OK","DIFF")</f>
        <v/>
      </c>
      <c r="AA14" s="7">
        <f>COUNTIFS($C$128:$C$202,W14)</f>
        <v/>
      </c>
      <c r="AB14" s="8" t="n">
        <v>20</v>
      </c>
      <c r="AC14" s="15">
        <f>IF(AA14=AB14,"OK","DIFF")</f>
        <v/>
      </c>
    </row>
    <row r="15">
      <c r="A15" s="4" t="inlineStr">
        <is>
          <t>Target Rover</t>
        </is>
      </c>
      <c r="B15" s="8" t="n">
        <v>36</v>
      </c>
      <c r="C15" s="7" t="n"/>
      <c r="D15" s="7" t="n"/>
      <c r="E15" s="7" t="n"/>
      <c r="F15" s="8" t="n">
        <v>72</v>
      </c>
      <c r="G15" s="7" t="n"/>
      <c r="H15" s="7" t="n"/>
      <c r="I15" s="8" t="n">
        <v>48</v>
      </c>
      <c r="J15" s="7" t="n"/>
      <c r="K15" s="7" t="n"/>
      <c r="L15" s="7" t="n"/>
      <c r="M15" s="7" t="n"/>
      <c r="N15" s="7" t="n"/>
      <c r="O15" s="7" t="n"/>
      <c r="P15" s="7">
        <f>SUM(B15:O15)</f>
        <v/>
      </c>
      <c r="Q15" s="8" t="n">
        <v>156</v>
      </c>
      <c r="R15" s="15">
        <f>IF(P15=Q15,"OK","DIFF")</f>
        <v/>
      </c>
      <c r="S15" s="8" t="n">
        <v>12</v>
      </c>
      <c r="T15" s="8" t="n">
        <v>48</v>
      </c>
      <c r="W15" s="4" t="inlineStr">
        <is>
          <t>Cylinder (frustum)</t>
        </is>
      </c>
      <c r="X15" s="7">
        <f>COUNTIFS($C$45:$C$123,W15)</f>
        <v/>
      </c>
      <c r="Y15" s="8" t="n">
        <v>1</v>
      </c>
      <c r="Z15" s="15">
        <f>IF(X15=Y15,"OK","DIFF")</f>
        <v/>
      </c>
      <c r="AA15" s="7">
        <f>COUNTIFS($C$128:$C$202,W15)</f>
        <v/>
      </c>
      <c r="AB15" s="8" t="n">
        <v>0</v>
      </c>
      <c r="AC15" s="15">
        <f>IF(AA15=AB15,"OK","DIFF")</f>
        <v/>
      </c>
    </row>
    <row r="16">
      <c r="A16" s="4" t="inlineStr">
        <is>
          <t>Main Battle Tank</t>
        </is>
      </c>
      <c r="B16" s="8" t="n">
        <v>168</v>
      </c>
      <c r="C16" s="8" t="n">
        <v>1</v>
      </c>
      <c r="D16" s="8" t="n">
        <v>1</v>
      </c>
      <c r="E16" s="7" t="n"/>
      <c r="F16" s="8" t="n">
        <v>5</v>
      </c>
      <c r="G16" s="7" t="n"/>
      <c r="H16" s="7" t="n"/>
      <c r="I16" s="8" t="n">
        <v>61</v>
      </c>
      <c r="J16" s="7" t="n"/>
      <c r="K16" s="7" t="n"/>
      <c r="L16" s="8" t="n">
        <v>19</v>
      </c>
      <c r="M16" s="7" t="n"/>
      <c r="N16" s="7" t="n"/>
      <c r="O16" s="7" t="n"/>
      <c r="P16" s="7">
        <f>SUM(B16:O16)</f>
        <v/>
      </c>
      <c r="Q16" s="8" t="n">
        <v>255</v>
      </c>
      <c r="R16" s="15">
        <f>IF(P16=Q16,"OK","DIFF")</f>
        <v/>
      </c>
      <c r="S16" s="8" t="n">
        <v>29</v>
      </c>
      <c r="T16" s="8" t="n">
        <v>118</v>
      </c>
      <c r="W16" s="4" t="inlineStr">
        <is>
          <t>Cone</t>
        </is>
      </c>
      <c r="X16" s="7">
        <f>COUNTIFS($C$45:$C$123,W16)</f>
        <v/>
      </c>
      <c r="Y16" s="8" t="n">
        <v>4</v>
      </c>
      <c r="Z16" s="15">
        <f>IF(X16=Y16,"OK","DIFF")</f>
        <v/>
      </c>
      <c r="AA16" s="7">
        <f>COUNTIFS($C$128:$C$202,W16)</f>
        <v/>
      </c>
      <c r="AB16" s="8" t="n">
        <v>0</v>
      </c>
      <c r="AC16" s="15">
        <f>IF(AA16=AB16,"OK","DIFF")</f>
        <v/>
      </c>
    </row>
    <row r="17">
      <c r="A17" s="4" t="inlineStr">
        <is>
          <t>Scout Helicopter</t>
        </is>
      </c>
      <c r="B17" s="8" t="n">
        <v>40</v>
      </c>
      <c r="C17" s="7" t="n"/>
      <c r="D17" s="7" t="n"/>
      <c r="E17" s="7" t="n"/>
      <c r="F17" s="8" t="n">
        <v>21</v>
      </c>
      <c r="G17" s="7" t="n"/>
      <c r="H17" s="7" t="n"/>
      <c r="I17" s="8" t="n">
        <v>28</v>
      </c>
      <c r="J17" s="8" t="n">
        <v>1</v>
      </c>
      <c r="K17" s="8" t="n">
        <v>1</v>
      </c>
      <c r="L17" s="7" t="n"/>
      <c r="M17" s="7" t="n"/>
      <c r="N17" s="7" t="n"/>
      <c r="O17" s="7" t="n"/>
      <c r="P17" s="7">
        <f>SUM(B17:O17)</f>
        <v/>
      </c>
      <c r="Q17" s="8" t="n">
        <v>91</v>
      </c>
      <c r="R17" s="15">
        <f>IF(P17=Q17,"OK","DIFF")</f>
        <v/>
      </c>
      <c r="S17" s="8" t="n">
        <v>19</v>
      </c>
      <c r="T17" s="8" t="n">
        <v>17</v>
      </c>
      <c r="W17" s="4" t="inlineStr">
        <is>
          <t>Torus</t>
        </is>
      </c>
      <c r="X17" s="7">
        <f>COUNTIFS($C$45:$C$123,W17)</f>
        <v/>
      </c>
      <c r="Y17" s="8" t="n">
        <v>4</v>
      </c>
      <c r="Z17" s="15">
        <f>IF(X17=Y17,"OK","DIFF")</f>
        <v/>
      </c>
      <c r="AA17" s="7">
        <f>COUNTIFS($C$128:$C$202,W17)</f>
        <v/>
      </c>
      <c r="AB17" s="8" t="n">
        <v>0</v>
      </c>
      <c r="AC17" s="15">
        <f>IF(AA17=AB17,"OK","DIFF")</f>
        <v/>
      </c>
    </row>
    <row r="18">
      <c r="A18" s="4" t="inlineStr">
        <is>
          <t>AA Gatling Gun</t>
        </is>
      </c>
      <c r="B18" s="8" t="n">
        <v>19</v>
      </c>
      <c r="C18" s="7" t="n"/>
      <c r="D18" s="7" t="n"/>
      <c r="E18" s="7" t="n"/>
      <c r="F18" s="8" t="n">
        <v>4</v>
      </c>
      <c r="G18" s="8" t="n">
        <v>1</v>
      </c>
      <c r="H18" s="7" t="n"/>
      <c r="I18" s="8" t="n">
        <v>54</v>
      </c>
      <c r="J18" s="7" t="n"/>
      <c r="K18" s="7" t="n"/>
      <c r="L18" s="7" t="n"/>
      <c r="M18" s="7" t="n"/>
      <c r="N18" s="7" t="n"/>
      <c r="O18" s="7" t="n"/>
      <c r="P18" s="7">
        <f>SUM(B18:O18)</f>
        <v/>
      </c>
      <c r="Q18" s="8" t="n">
        <v>78</v>
      </c>
      <c r="R18" s="15">
        <f>IF(P18=Q18,"OK","DIFF")</f>
        <v/>
      </c>
      <c r="S18" s="8" t="n">
        <v>5</v>
      </c>
      <c r="T18" s="8" t="n">
        <v>26</v>
      </c>
      <c r="W18" s="4" t="inlineStr">
        <is>
          <t>Annulus</t>
        </is>
      </c>
      <c r="X18" s="7">
        <f>COUNTIFS($C$45:$C$123,W18)</f>
        <v/>
      </c>
      <c r="Y18" s="8" t="n">
        <v>0</v>
      </c>
      <c r="Z18" s="15">
        <f>IF(X18=Y18,"OK","DIFF")</f>
        <v/>
      </c>
      <c r="AA18" s="7">
        <f>COUNTIFS($C$128:$C$202,W18)</f>
        <v/>
      </c>
      <c r="AB18" s="8" t="n">
        <v>0</v>
      </c>
      <c r="AC18" s="15">
        <f>IF(AA18=AB18,"OK","DIFF")</f>
        <v/>
      </c>
    </row>
    <row r="19">
      <c r="A19" s="4" t="inlineStr">
        <is>
          <t>Air-defence radar</t>
        </is>
      </c>
      <c r="B19" s="8" t="n">
        <v>62</v>
      </c>
      <c r="C19" s="7" t="n"/>
      <c r="D19" s="7" t="n"/>
      <c r="E19" s="7" t="n"/>
      <c r="F19" s="8" t="n">
        <v>3</v>
      </c>
      <c r="G19" s="7" t="n"/>
      <c r="H19" s="7" t="n"/>
      <c r="I19" s="8" t="n">
        <v>42</v>
      </c>
      <c r="J19" s="7" t="n"/>
      <c r="K19" s="8" t="n">
        <v>1</v>
      </c>
      <c r="L19" s="7" t="n"/>
      <c r="M19" s="7" t="n"/>
      <c r="N19" s="7" t="n"/>
      <c r="O19" s="7" t="n"/>
      <c r="P19" s="7">
        <f>SUM(B19:O19)</f>
        <v/>
      </c>
      <c r="Q19" s="8" t="n">
        <v>108</v>
      </c>
      <c r="R19" s="15">
        <f>IF(P19=Q19,"OK","DIFF")</f>
        <v/>
      </c>
      <c r="S19" s="8" t="n">
        <v>4</v>
      </c>
      <c r="T19" s="8" t="n">
        <v>4</v>
      </c>
      <c r="W19" s="4" t="inlineStr">
        <is>
          <t>Helix</t>
        </is>
      </c>
      <c r="X19" s="7">
        <f>COUNTIFS($C$45:$C$123,W19)</f>
        <v/>
      </c>
      <c r="Y19" s="8" t="n">
        <v>0</v>
      </c>
      <c r="Z19" s="15">
        <f>IF(X19=Y19,"OK","DIFF")</f>
        <v/>
      </c>
      <c r="AA19" s="7">
        <f>COUNTIFS($C$128:$C$202,W19)</f>
        <v/>
      </c>
      <c r="AB19" s="8" t="n">
        <v>0</v>
      </c>
      <c r="AC19" s="15">
        <f>IF(AA19=AB19,"OK","DIFF")</f>
        <v/>
      </c>
    </row>
    <row r="20">
      <c r="A20" s="4" t="inlineStr">
        <is>
          <t>SAM launcher</t>
        </is>
      </c>
      <c r="B20" s="8" t="n">
        <v>74</v>
      </c>
      <c r="C20" s="7" t="n"/>
      <c r="D20" s="7" t="n"/>
      <c r="E20" s="7" t="n"/>
      <c r="F20" s="8" t="n">
        <v>5</v>
      </c>
      <c r="G20" s="7" t="n"/>
      <c r="H20" s="7" t="n"/>
      <c r="I20" s="8" t="n">
        <v>24</v>
      </c>
      <c r="J20" s="7" t="n"/>
      <c r="K20" s="8" t="n">
        <v>1</v>
      </c>
      <c r="L20" s="8" t="n">
        <v>8</v>
      </c>
      <c r="M20" s="7" t="n"/>
      <c r="N20" s="7" t="n"/>
      <c r="O20" s="7" t="n"/>
      <c r="P20" s="7">
        <f>SUM(B20:O20)</f>
        <v/>
      </c>
      <c r="Q20" s="8" t="n">
        <v>112</v>
      </c>
      <c r="R20" s="15">
        <f>IF(P20=Q20,"OK","DIFF")</f>
        <v/>
      </c>
      <c r="S20" s="8" t="n">
        <v>9</v>
      </c>
      <c r="T20" s="8" t="n">
        <v>10</v>
      </c>
      <c r="W20" s="4" t="inlineStr">
        <is>
          <t>Total parts</t>
        </is>
      </c>
      <c r="X20" s="7">
        <f>SUM(X7:X19)</f>
        <v/>
      </c>
      <c r="Y20" s="7">
        <f>SUM(Y7:Y19)</f>
        <v/>
      </c>
      <c r="Z20" s="15">
        <f>IF(X20=Y20,"OK","DIFF")</f>
        <v/>
      </c>
      <c r="AA20" s="7">
        <f>SUM(AA7:AA19)</f>
        <v/>
      </c>
      <c r="AB20" s="7">
        <f>SUM(AB7:AB19)</f>
        <v/>
      </c>
      <c r="AC20" s="15">
        <f>IF(AA20=AB20,"OK","DIFF")</f>
        <v/>
      </c>
    </row>
    <row r="21">
      <c r="A21" s="4" t="inlineStr">
        <is>
          <t>MLRS rocket truck</t>
        </is>
      </c>
      <c r="B21" s="8" t="n">
        <v>45</v>
      </c>
      <c r="C21" s="7" t="n"/>
      <c r="D21" s="7" t="n"/>
      <c r="E21" s="7" t="n"/>
      <c r="F21" s="8" t="n">
        <v>9</v>
      </c>
      <c r="G21" s="7" t="n"/>
      <c r="H21" s="7" t="n"/>
      <c r="I21" s="8" t="n">
        <v>52</v>
      </c>
      <c r="J21" s="7" t="n"/>
      <c r="K21" s="8" t="n">
        <v>6</v>
      </c>
      <c r="L21" s="8" t="n">
        <v>24</v>
      </c>
      <c r="M21" s="7" t="n"/>
      <c r="N21" s="7" t="n"/>
      <c r="O21" s="7" t="n"/>
      <c r="P21" s="7">
        <f>SUM(B21:O21)</f>
        <v/>
      </c>
      <c r="Q21" s="8" t="n">
        <v>136</v>
      </c>
      <c r="R21" s="15">
        <f>IF(P21=Q21,"OK","DIFF")</f>
        <v/>
      </c>
      <c r="S21" s="8" t="n">
        <v>22</v>
      </c>
      <c r="T21" s="8" t="n">
        <v>28</v>
      </c>
    </row>
    <row r="22">
      <c r="A22" s="4" t="inlineStr">
        <is>
          <t>Main Battle Tank 2</t>
        </is>
      </c>
      <c r="B22" s="8" t="n">
        <v>168</v>
      </c>
      <c r="C22" s="8" t="n">
        <v>1</v>
      </c>
      <c r="D22" s="8" t="n">
        <v>1</v>
      </c>
      <c r="E22" s="7" t="n"/>
      <c r="F22" s="8" t="n">
        <v>5</v>
      </c>
      <c r="G22" s="7" t="n"/>
      <c r="H22" s="7" t="n"/>
      <c r="I22" s="8" t="n">
        <v>61</v>
      </c>
      <c r="J22" s="7" t="n"/>
      <c r="K22" s="7" t="n"/>
      <c r="L22" s="8" t="n">
        <v>19</v>
      </c>
      <c r="M22" s="7" t="n"/>
      <c r="N22" s="7" t="n"/>
      <c r="O22" s="7" t="n"/>
      <c r="P22" s="7">
        <f>SUM(B22:O22)</f>
        <v/>
      </c>
      <c r="Q22" s="8" t="n">
        <v>255</v>
      </c>
      <c r="R22" s="15">
        <f>IF(P22=Q22,"OK","DIFF")</f>
        <v/>
      </c>
      <c r="S22" s="8" t="n">
        <v>29</v>
      </c>
      <c r="T22" s="8" t="n">
        <v>118</v>
      </c>
      <c r="W22" s="2" t="inlineStr">
        <is>
          <t>UAV-1 export = controllable 'UAV-1 DRONE' (root UAV-00);</t>
        </is>
      </c>
    </row>
    <row r="23">
      <c r="A23" s="4" t="inlineStr">
        <is>
          <t>Main Battle Tank 3</t>
        </is>
      </c>
      <c r="B23" s="8" t="n">
        <v>168</v>
      </c>
      <c r="C23" s="8" t="n">
        <v>1</v>
      </c>
      <c r="D23" s="8" t="n">
        <v>1</v>
      </c>
      <c r="E23" s="7" t="n"/>
      <c r="F23" s="8" t="n">
        <v>5</v>
      </c>
      <c r="G23" s="7" t="n"/>
      <c r="H23" s="7" t="n"/>
      <c r="I23" s="8" t="n">
        <v>61</v>
      </c>
      <c r="J23" s="7" t="n"/>
      <c r="K23" s="7" t="n"/>
      <c r="L23" s="8" t="n">
        <v>19</v>
      </c>
      <c r="M23" s="7" t="n"/>
      <c r="N23" s="7" t="n"/>
      <c r="O23" s="7" t="n"/>
      <c r="P23" s="7">
        <f>SUM(B23:O23)</f>
        <v/>
      </c>
      <c r="Q23" s="8" t="n">
        <v>255</v>
      </c>
      <c r="R23" s="15">
        <f>IF(P23=Q23,"OK","DIFF")</f>
        <v/>
      </c>
      <c r="S23" s="8" t="n">
        <v>29</v>
      </c>
      <c r="T23" s="8" t="n">
        <v>118</v>
      </c>
      <c r="W23" s="2" t="inlineStr">
        <is>
          <t>the object 'Autonomous UAV' below counts both UAVs.</t>
        </is>
      </c>
    </row>
    <row r="24">
      <c r="A24" s="4" t="inlineStr">
        <is>
          <t>Ammunition bunker</t>
        </is>
      </c>
      <c r="B24" s="8" t="n">
        <v>17</v>
      </c>
      <c r="C24" s="8" t="n">
        <v>2</v>
      </c>
      <c r="D24" s="7" t="n"/>
      <c r="E24" s="7" t="n"/>
      <c r="F24" s="8" t="n">
        <v>10</v>
      </c>
      <c r="G24" s="7" t="n"/>
      <c r="H24" s="8" t="n">
        <v>8</v>
      </c>
      <c r="I24" s="8" t="n">
        <v>6</v>
      </c>
      <c r="J24" s="7" t="n"/>
      <c r="K24" s="7" t="n"/>
      <c r="L24" s="7" t="n"/>
      <c r="M24" s="7" t="n"/>
      <c r="N24" s="7" t="n"/>
      <c r="O24" s="7" t="n"/>
      <c r="P24" s="7">
        <f>SUM(B24:O24)</f>
        <v/>
      </c>
      <c r="Q24" s="8" t="n">
        <v>43</v>
      </c>
      <c r="R24" s="15">
        <f>IF(P24=Q24,"OK","DIFF")</f>
        <v/>
      </c>
      <c r="S24" s="8" t="n">
        <v>2</v>
      </c>
      <c r="T24" s="8" t="n">
        <v>0</v>
      </c>
    </row>
    <row r="25">
      <c r="A25" s="4" t="inlineStr">
        <is>
          <t>Camp camouflage</t>
        </is>
      </c>
      <c r="B25" s="8" t="n">
        <v>277</v>
      </c>
      <c r="C25" s="7" t="n"/>
      <c r="D25" s="7" t="n"/>
      <c r="E25" s="7" t="n"/>
      <c r="F25" s="8" t="n">
        <v>48</v>
      </c>
      <c r="G25" s="7" t="n"/>
      <c r="H25" s="8" t="n">
        <v>219</v>
      </c>
      <c r="I25" s="8" t="n">
        <v>90</v>
      </c>
      <c r="J25" s="7" t="n"/>
      <c r="K25" s="8" t="n">
        <v>24</v>
      </c>
      <c r="L25" s="7" t="n"/>
      <c r="M25" s="7" t="n"/>
      <c r="N25" s="7" t="n"/>
      <c r="O25" s="7" t="n"/>
      <c r="P25" s="7">
        <f>SUM(B25:O25)</f>
        <v/>
      </c>
      <c r="Q25" s="8" t="n">
        <v>658</v>
      </c>
      <c r="R25" s="15">
        <f>IF(P25=Q25,"OK","DIFF")</f>
        <v/>
      </c>
      <c r="S25" s="8" t="n">
        <v>21</v>
      </c>
      <c r="T25" s="8" t="n">
        <v>0</v>
      </c>
    </row>
    <row r="26">
      <c r="A26" s="4" t="inlineStr">
        <is>
          <t>Boom barrier</t>
        </is>
      </c>
      <c r="B26" s="8" t="n">
        <v>17</v>
      </c>
      <c r="C26" s="7" t="n"/>
      <c r="D26" s="7" t="n"/>
      <c r="E26" s="7" t="n"/>
      <c r="F26" s="8" t="n">
        <v>2</v>
      </c>
      <c r="G26" s="7" t="n"/>
      <c r="H26" s="7" t="n"/>
      <c r="I26" s="8" t="n">
        <v>1</v>
      </c>
      <c r="J26" s="7" t="n"/>
      <c r="K26" s="7" t="n"/>
      <c r="L26" s="7" t="n"/>
      <c r="M26" s="7" t="n"/>
      <c r="N26" s="7" t="n"/>
      <c r="O26" s="7" t="n"/>
      <c r="P26" s="7">
        <f>SUM(B26:O26)</f>
        <v/>
      </c>
      <c r="Q26" s="8" t="n">
        <v>20</v>
      </c>
      <c r="R26" s="15">
        <f>IF(P26=Q26,"OK","DIFF")</f>
        <v/>
      </c>
      <c r="S26" s="8" t="n">
        <v>2</v>
      </c>
      <c r="T26" s="8" t="n">
        <v>2</v>
      </c>
    </row>
    <row r="27">
      <c r="A27" s="4" t="inlineStr">
        <is>
          <t>Windsock</t>
        </is>
      </c>
      <c r="B27" s="8" t="n">
        <v>1</v>
      </c>
      <c r="C27" s="7" t="n"/>
      <c r="D27" s="7" t="n"/>
      <c r="E27" s="7" t="n"/>
      <c r="F27" s="7" t="n"/>
      <c r="G27" s="7" t="n"/>
      <c r="H27" s="7" t="n"/>
      <c r="I27" s="8" t="n">
        <v>14</v>
      </c>
      <c r="J27" s="7" t="n"/>
      <c r="K27" s="7" t="n"/>
      <c r="L27" s="7" t="n"/>
      <c r="M27" s="7" t="n"/>
      <c r="N27" s="7" t="n"/>
      <c r="O27" s="7" t="n"/>
      <c r="P27" s="7">
        <f>SUM(B27:O27)</f>
        <v/>
      </c>
      <c r="Q27" s="8" t="n">
        <v>15</v>
      </c>
      <c r="R27" s="15">
        <f>IF(P27=Q27,"OK","DIFF")</f>
        <v/>
      </c>
      <c r="S27" s="8" t="n">
        <v>7</v>
      </c>
      <c r="T27" s="8" t="n">
        <v>6</v>
      </c>
    </row>
    <row r="28">
      <c r="A28" s="4" t="inlineStr">
        <is>
          <t>Flag</t>
        </is>
      </c>
      <c r="B28" s="8" t="n">
        <v>40</v>
      </c>
      <c r="C28" s="7" t="n"/>
      <c r="D28" s="7" t="n"/>
      <c r="E28" s="7" t="n"/>
      <c r="F28" s="8" t="n">
        <v>2</v>
      </c>
      <c r="G28" s="7" t="n"/>
      <c r="H28" s="7" t="n"/>
      <c r="I28" s="8" t="n">
        <v>5</v>
      </c>
      <c r="J28" s="7" t="n"/>
      <c r="K28" s="7" t="n"/>
      <c r="L28" s="7" t="n"/>
      <c r="M28" s="7" t="n"/>
      <c r="N28" s="7" t="n"/>
      <c r="O28" s="7" t="n"/>
      <c r="P28" s="7">
        <f>SUM(B28:O28)</f>
        <v/>
      </c>
      <c r="Q28" s="8" t="n">
        <v>47</v>
      </c>
      <c r="R28" s="15">
        <f>IF(P28=Q28,"OK","DIFF")</f>
        <v/>
      </c>
      <c r="S28" s="8" t="n">
        <v>14</v>
      </c>
      <c r="T28" s="8" t="n">
        <v>13</v>
      </c>
    </row>
    <row r="29">
      <c r="A29" s="4" t="inlineStr">
        <is>
          <t>Soldier 1</t>
        </is>
      </c>
      <c r="B29" s="8" t="n">
        <v>16</v>
      </c>
      <c r="C29" s="7" t="n"/>
      <c r="D29" s="8" t="n">
        <v>1</v>
      </c>
      <c r="E29" s="7" t="n"/>
      <c r="F29" s="8" t="n">
        <v>37</v>
      </c>
      <c r="G29" s="8" t="n">
        <v>1</v>
      </c>
      <c r="H29" s="7" t="n"/>
      <c r="I29" s="8" t="n">
        <v>20</v>
      </c>
      <c r="J29" s="7" t="n"/>
      <c r="K29" s="7" t="n"/>
      <c r="L29" s="7" t="n"/>
      <c r="M29" s="7" t="n"/>
      <c r="N29" s="7" t="n"/>
      <c r="O29" s="7" t="n"/>
      <c r="P29" s="7">
        <f>SUM(B29:O29)</f>
        <v/>
      </c>
      <c r="Q29" s="8" t="n">
        <v>75</v>
      </c>
      <c r="R29" s="15">
        <f>IF(P29=Q29,"OK","DIFF")</f>
        <v/>
      </c>
      <c r="S29" s="8" t="n">
        <v>20</v>
      </c>
      <c r="T29" s="8" t="n">
        <v>15</v>
      </c>
    </row>
    <row r="30">
      <c r="A30" s="4" t="inlineStr">
        <is>
          <t>Soldier 2</t>
        </is>
      </c>
      <c r="B30" s="8" t="n">
        <v>16</v>
      </c>
      <c r="C30" s="7" t="n"/>
      <c r="D30" s="8" t="n">
        <v>1</v>
      </c>
      <c r="E30" s="7" t="n"/>
      <c r="F30" s="8" t="n">
        <v>37</v>
      </c>
      <c r="G30" s="8" t="n">
        <v>1</v>
      </c>
      <c r="H30" s="7" t="n"/>
      <c r="I30" s="8" t="n">
        <v>20</v>
      </c>
      <c r="J30" s="7" t="n"/>
      <c r="K30" s="7" t="n"/>
      <c r="L30" s="7" t="n"/>
      <c r="M30" s="7" t="n"/>
      <c r="N30" s="7" t="n"/>
      <c r="O30" s="7" t="n"/>
      <c r="P30" s="7">
        <f>SUM(B30:O30)</f>
        <v/>
      </c>
      <c r="Q30" s="8" t="n">
        <v>75</v>
      </c>
      <c r="R30" s="15">
        <f>IF(P30=Q30,"OK","DIFF")</f>
        <v/>
      </c>
      <c r="S30" s="8" t="n">
        <v>20</v>
      </c>
      <c r="T30" s="8" t="n">
        <v>15</v>
      </c>
    </row>
    <row r="31">
      <c r="A31" s="4" t="inlineStr">
        <is>
          <t>Soldier 3</t>
        </is>
      </c>
      <c r="B31" s="8" t="n">
        <v>16</v>
      </c>
      <c r="C31" s="7" t="n"/>
      <c r="D31" s="8" t="n">
        <v>1</v>
      </c>
      <c r="E31" s="7" t="n"/>
      <c r="F31" s="8" t="n">
        <v>37</v>
      </c>
      <c r="G31" s="8" t="n">
        <v>1</v>
      </c>
      <c r="H31" s="7" t="n"/>
      <c r="I31" s="8" t="n">
        <v>20</v>
      </c>
      <c r="J31" s="7" t="n"/>
      <c r="K31" s="7" t="n"/>
      <c r="L31" s="7" t="n"/>
      <c r="M31" s="7" t="n"/>
      <c r="N31" s="7" t="n"/>
      <c r="O31" s="7" t="n"/>
      <c r="P31" s="7">
        <f>SUM(B31:O31)</f>
        <v/>
      </c>
      <c r="Q31" s="8" t="n">
        <v>75</v>
      </c>
      <c r="R31" s="15">
        <f>IF(P31=Q31,"OK","DIFF")</f>
        <v/>
      </c>
      <c r="S31" s="8" t="n">
        <v>20</v>
      </c>
      <c r="T31" s="8" t="n">
        <v>15</v>
      </c>
    </row>
    <row r="32">
      <c r="A32" s="4" t="inlineStr">
        <is>
          <t>Soldier 4</t>
        </is>
      </c>
      <c r="B32" s="8" t="n">
        <v>16</v>
      </c>
      <c r="C32" s="7" t="n"/>
      <c r="D32" s="8" t="n">
        <v>1</v>
      </c>
      <c r="E32" s="7" t="n"/>
      <c r="F32" s="8" t="n">
        <v>37</v>
      </c>
      <c r="G32" s="8" t="n">
        <v>1</v>
      </c>
      <c r="H32" s="7" t="n"/>
      <c r="I32" s="8" t="n">
        <v>20</v>
      </c>
      <c r="J32" s="7" t="n"/>
      <c r="K32" s="7" t="n"/>
      <c r="L32" s="7" t="n"/>
      <c r="M32" s="7" t="n"/>
      <c r="N32" s="7" t="n"/>
      <c r="O32" s="7" t="n"/>
      <c r="P32" s="7">
        <f>SUM(B32:O32)</f>
        <v/>
      </c>
      <c r="Q32" s="8" t="n">
        <v>75</v>
      </c>
      <c r="R32" s="15">
        <f>IF(P32=Q32,"OK","DIFF")</f>
        <v/>
      </c>
      <c r="S32" s="8" t="n">
        <v>20</v>
      </c>
      <c r="T32" s="8" t="n">
        <v>15</v>
      </c>
    </row>
    <row r="33">
      <c r="A33" s="4" t="inlineStr">
        <is>
          <t>Soldier 5</t>
        </is>
      </c>
      <c r="B33" s="8" t="n">
        <v>16</v>
      </c>
      <c r="C33" s="7" t="n"/>
      <c r="D33" s="8" t="n">
        <v>1</v>
      </c>
      <c r="E33" s="7" t="n"/>
      <c r="F33" s="8" t="n">
        <v>37</v>
      </c>
      <c r="G33" s="8" t="n">
        <v>1</v>
      </c>
      <c r="H33" s="7" t="n"/>
      <c r="I33" s="8" t="n">
        <v>20</v>
      </c>
      <c r="J33" s="7" t="n"/>
      <c r="K33" s="7" t="n"/>
      <c r="L33" s="7" t="n"/>
      <c r="M33" s="7" t="n"/>
      <c r="N33" s="7" t="n"/>
      <c r="O33" s="7" t="n"/>
      <c r="P33" s="7">
        <f>SUM(B33:O33)</f>
        <v/>
      </c>
      <c r="Q33" s="8" t="n">
        <v>75</v>
      </c>
      <c r="R33" s="15">
        <f>IF(P33=Q33,"OK","DIFF")</f>
        <v/>
      </c>
      <c r="S33" s="8" t="n">
        <v>20</v>
      </c>
      <c r="T33" s="8" t="n">
        <v>15</v>
      </c>
    </row>
    <row r="34">
      <c r="A34" s="4" t="inlineStr">
        <is>
          <t>Soldier 6</t>
        </is>
      </c>
      <c r="B34" s="8" t="n">
        <v>16</v>
      </c>
      <c r="C34" s="7" t="n"/>
      <c r="D34" s="8" t="n">
        <v>1</v>
      </c>
      <c r="E34" s="7" t="n"/>
      <c r="F34" s="8" t="n">
        <v>37</v>
      </c>
      <c r="G34" s="8" t="n">
        <v>1</v>
      </c>
      <c r="H34" s="7" t="n"/>
      <c r="I34" s="8" t="n">
        <v>20</v>
      </c>
      <c r="J34" s="7" t="n"/>
      <c r="K34" s="7" t="n"/>
      <c r="L34" s="7" t="n"/>
      <c r="M34" s="7" t="n"/>
      <c r="N34" s="7" t="n"/>
      <c r="O34" s="7" t="n"/>
      <c r="P34" s="7">
        <f>SUM(B34:O34)</f>
        <v/>
      </c>
      <c r="Q34" s="8" t="n">
        <v>75</v>
      </c>
      <c r="R34" s="15">
        <f>IF(P34=Q34,"OK","DIFF")</f>
        <v/>
      </c>
      <c r="S34" s="8" t="n">
        <v>20</v>
      </c>
      <c r="T34" s="8" t="n">
        <v>15</v>
      </c>
    </row>
    <row r="35">
      <c r="A35" s="4" t="inlineStr">
        <is>
          <t>Soldier 7</t>
        </is>
      </c>
      <c r="B35" s="8" t="n">
        <v>16</v>
      </c>
      <c r="C35" s="7" t="n"/>
      <c r="D35" s="8" t="n">
        <v>1</v>
      </c>
      <c r="E35" s="7" t="n"/>
      <c r="F35" s="8" t="n">
        <v>37</v>
      </c>
      <c r="G35" s="8" t="n">
        <v>1</v>
      </c>
      <c r="H35" s="7" t="n"/>
      <c r="I35" s="8" t="n">
        <v>20</v>
      </c>
      <c r="J35" s="7" t="n"/>
      <c r="K35" s="7" t="n"/>
      <c r="L35" s="7" t="n"/>
      <c r="M35" s="7" t="n"/>
      <c r="N35" s="7" t="n"/>
      <c r="O35" s="7" t="n"/>
      <c r="P35" s="7">
        <f>SUM(B35:O35)</f>
        <v/>
      </c>
      <c r="Q35" s="8" t="n">
        <v>75</v>
      </c>
      <c r="R35" s="15">
        <f>IF(P35=Q35,"OK","DIFF")</f>
        <v/>
      </c>
      <c r="S35" s="8" t="n">
        <v>20</v>
      </c>
      <c r="T35" s="8" t="n">
        <v>15</v>
      </c>
    </row>
    <row r="36">
      <c r="A36" s="4" t="inlineStr">
        <is>
          <t>Soldier 8</t>
        </is>
      </c>
      <c r="B36" s="8" t="n">
        <v>16</v>
      </c>
      <c r="C36" s="7" t="n"/>
      <c r="D36" s="8" t="n">
        <v>1</v>
      </c>
      <c r="E36" s="7" t="n"/>
      <c r="F36" s="8" t="n">
        <v>37</v>
      </c>
      <c r="G36" s="8" t="n">
        <v>1</v>
      </c>
      <c r="H36" s="7" t="n"/>
      <c r="I36" s="8" t="n">
        <v>20</v>
      </c>
      <c r="J36" s="7" t="n"/>
      <c r="K36" s="7" t="n"/>
      <c r="L36" s="7" t="n"/>
      <c r="M36" s="7" t="n"/>
      <c r="N36" s="7" t="n"/>
      <c r="O36" s="7" t="n"/>
      <c r="P36" s="7">
        <f>SUM(B36:O36)</f>
        <v/>
      </c>
      <c r="Q36" s="8" t="n">
        <v>75</v>
      </c>
      <c r="R36" s="15">
        <f>IF(P36=Q36,"OK","DIFF")</f>
        <v/>
      </c>
      <c r="S36" s="8" t="n">
        <v>20</v>
      </c>
      <c r="T36" s="8" t="n">
        <v>15</v>
      </c>
    </row>
    <row r="37">
      <c r="A37" s="4" t="inlineStr">
        <is>
          <t>Sky Clock</t>
        </is>
      </c>
      <c r="B37" s="7" t="n"/>
      <c r="C37" s="7" t="n"/>
      <c r="D37" s="7" t="n"/>
      <c r="E37" s="7" t="n"/>
      <c r="F37" s="8" t="n">
        <v>1</v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>
        <f>SUM(B37:O37)</f>
        <v/>
      </c>
      <c r="Q37" s="8" t="n">
        <v>1</v>
      </c>
      <c r="R37" s="15">
        <f>IF(P37=Q37,"OK","DIFF")</f>
        <v/>
      </c>
      <c r="S37" s="8" t="n">
        <v>1</v>
      </c>
      <c r="T37" s="8" t="n">
        <v>0</v>
      </c>
    </row>
    <row r="38">
      <c r="A38" s="4" t="inlineStr">
        <is>
          <t>Scene total</t>
        </is>
      </c>
      <c r="B38" s="7">
        <f>SUM(B7:B37)</f>
        <v/>
      </c>
      <c r="C38" s="7">
        <f>SUM(C7:C37)</f>
        <v/>
      </c>
      <c r="D38" s="7">
        <f>SUM(D7:D37)</f>
        <v/>
      </c>
      <c r="E38" s="7">
        <f>SUM(E7:E37)</f>
        <v/>
      </c>
      <c r="F38" s="7">
        <f>SUM(F7:F37)</f>
        <v/>
      </c>
      <c r="G38" s="7">
        <f>SUM(G7:G37)</f>
        <v/>
      </c>
      <c r="H38" s="7">
        <f>SUM(H7:H37)</f>
        <v/>
      </c>
      <c r="I38" s="7">
        <f>SUM(I7:I37)</f>
        <v/>
      </c>
      <c r="J38" s="7">
        <f>SUM(J7:J37)</f>
        <v/>
      </c>
      <c r="K38" s="7">
        <f>SUM(K7:K37)</f>
        <v/>
      </c>
      <c r="L38" s="7">
        <f>SUM(L7:L37)</f>
        <v/>
      </c>
      <c r="M38" s="7">
        <f>SUM(M7:M37)</f>
        <v/>
      </c>
      <c r="N38" s="7">
        <f>SUM(N7:N37)</f>
        <v/>
      </c>
      <c r="O38" s="7">
        <f>SUM(O7:O37)</f>
        <v/>
      </c>
      <c r="P38" s="7">
        <f>SUM(P7:P37)</f>
        <v/>
      </c>
      <c r="Q38" s="7">
        <f>SUM(Q7:Q37)</f>
        <v/>
      </c>
      <c r="S38" s="7">
        <f>SUM(S7:S37)</f>
        <v/>
      </c>
      <c r="T38" s="7">
        <f>SUM(T7:T37)</f>
        <v/>
      </c>
    </row>
    <row r="39">
      <c r="A39" s="4" t="inlineStr">
        <is>
          <t>Instances (export)</t>
        </is>
      </c>
      <c r="B39" s="8" t="n">
        <v>2467</v>
      </c>
      <c r="C39" s="8" t="n">
        <v>6</v>
      </c>
      <c r="D39" s="8" t="n">
        <v>11</v>
      </c>
      <c r="E39" s="8" t="n">
        <v>2</v>
      </c>
      <c r="F39" s="8" t="n">
        <v>808</v>
      </c>
      <c r="G39" s="8" t="n">
        <v>10</v>
      </c>
      <c r="H39" s="8" t="n">
        <v>364</v>
      </c>
      <c r="I39" s="8" t="n">
        <v>1358</v>
      </c>
      <c r="J39" s="8" t="n">
        <v>3</v>
      </c>
      <c r="K39" s="8" t="n">
        <v>295</v>
      </c>
      <c r="L39" s="8" t="n">
        <v>97</v>
      </c>
      <c r="M39" s="8" t="n">
        <v>2</v>
      </c>
      <c r="N39" s="8" t="n">
        <v>52</v>
      </c>
      <c r="O39" s="8" t="n">
        <v>1</v>
      </c>
      <c r="P39" s="7">
        <f>SUM(B39:O39)</f>
        <v/>
      </c>
      <c r="Q39" s="8" t="n">
        <v>5476</v>
      </c>
    </row>
    <row r="40">
      <c r="A40" s="4" t="inlineStr">
        <is>
          <t>check</t>
        </is>
      </c>
      <c r="B40" s="15">
        <f>IF(B38=B39,"OK","DIFF")</f>
        <v/>
      </c>
      <c r="C40" s="15">
        <f>IF(C38=C39,"OK","DIFF")</f>
        <v/>
      </c>
      <c r="D40" s="15">
        <f>IF(D38=D39,"OK","DIFF")</f>
        <v/>
      </c>
      <c r="E40" s="15">
        <f>IF(E38=E39,"OK","DIFF")</f>
        <v/>
      </c>
      <c r="F40" s="15">
        <f>IF(F38=F39,"OK","DIFF")</f>
        <v/>
      </c>
      <c r="G40" s="15">
        <f>IF(G38=G39,"OK","DIFF")</f>
        <v/>
      </c>
      <c r="H40" s="15">
        <f>IF(H38=H39,"OK","DIFF")</f>
        <v/>
      </c>
      <c r="I40" s="15">
        <f>IF(I38=I39,"OK","DIFF")</f>
        <v/>
      </c>
      <c r="J40" s="15">
        <f>IF(J38=J39,"OK","DIFF")</f>
        <v/>
      </c>
      <c r="K40" s="15">
        <f>IF(K38=K39,"OK","DIFF")</f>
        <v/>
      </c>
      <c r="L40" s="15">
        <f>IF(L38=L39,"OK","DIFF")</f>
        <v/>
      </c>
      <c r="M40" s="15">
        <f>IF(M38=M39,"OK","DIFF")</f>
        <v/>
      </c>
      <c r="N40" s="15">
        <f>IF(N38=N39,"OK","DIFF")</f>
        <v/>
      </c>
      <c r="O40" s="15">
        <f>IF(O38=O39,"OK","DIFF")</f>
        <v/>
      </c>
      <c r="P40" s="15">
        <f>IF(P38=P39,"OK","DIFF")</f>
        <v/>
      </c>
      <c r="Q40" s="15">
        <f>IF(Q38=Q39,"OK","DIFF")</f>
        <v/>
      </c>
    </row>
    <row r="43">
      <c r="A43" s="10" t="inlineStr">
        <is>
          <t>3. UAV-1 (root UAV-00 'Autonomous UAV'): 79 drawn parts. M = T Ry Rx Rz S, world = parent_world M (the export's object 'Autonomous UAV' holds 2 UAVs).</t>
        </is>
      </c>
    </row>
    <row r="44" ht="28" customHeight="1">
      <c r="A44" s="3" t="inlineStr">
        <is>
          <t>ID</t>
        </is>
      </c>
      <c r="B44" s="3" t="inlineStr">
        <is>
          <t>Part</t>
        </is>
      </c>
      <c r="C44" s="3" t="inlineStr">
        <is>
          <t>Primitive</t>
        </is>
      </c>
      <c r="D44" s="3" t="inlineStr">
        <is>
          <t>Parent (group)</t>
        </is>
      </c>
      <c r="E44" s="3" t="inlineStr">
        <is>
          <t>Sx</t>
        </is>
      </c>
      <c r="F44" s="3" t="inlineStr">
        <is>
          <t>Sy</t>
        </is>
      </c>
      <c r="G44" s="3" t="inlineStr">
        <is>
          <t>Sz</t>
        </is>
      </c>
      <c r="H44" s="3" t="inlineStr">
        <is>
          <t>Rx (deg)</t>
        </is>
      </c>
      <c r="I44" s="3" t="inlineStr">
        <is>
          <t>Ry (deg)</t>
        </is>
      </c>
      <c r="J44" s="3" t="inlineStr">
        <is>
          <t>Rz (deg)</t>
        </is>
      </c>
      <c r="K44" s="3" t="inlineStr">
        <is>
          <t>Tx (m)</t>
        </is>
      </c>
      <c r="L44" s="3" t="inlineStr">
        <is>
          <t>Ty (m)</t>
        </is>
      </c>
      <c r="M44" s="3" t="inlineStr">
        <is>
          <t>Tz (m)</t>
        </is>
      </c>
      <c r="N44" s="3" t="inlineStr">
        <is>
          <t>R</t>
        </is>
      </c>
      <c r="O44" s="3" t="inlineStr">
        <is>
          <t>G</t>
        </is>
      </c>
      <c r="P44" s="3" t="inlineStr">
        <is>
          <t>B</t>
        </is>
      </c>
      <c r="Q44" s="3" t="inlineStr">
        <is>
          <t>ks</t>
        </is>
      </c>
      <c r="R44" s="3" t="inlineStr">
        <is>
          <t>shininess n</t>
        </is>
      </c>
    </row>
    <row r="45">
      <c r="A45" s="5" t="inlineStr">
        <is>
          <t>UAV-01</t>
        </is>
      </c>
      <c r="B45" s="5" t="inlineStr">
        <is>
          <t>Fuselage</t>
        </is>
      </c>
      <c r="C45" s="5" t="inlineStr">
        <is>
          <t>Cube</t>
        </is>
      </c>
      <c r="D45" s="5" t="inlineStr">
        <is>
          <t>Autonomous UAV (UAV-00)</t>
        </is>
      </c>
      <c r="E45" s="16" t="n">
        <v>0.16</v>
      </c>
      <c r="F45" s="16" t="n">
        <v>0.07000000000000001</v>
      </c>
      <c r="G45" s="16" t="n">
        <v>0.26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0.08</v>
      </c>
      <c r="O45" s="16" t="n">
        <v>0.08</v>
      </c>
      <c r="P45" s="16" t="n">
        <v>0.09</v>
      </c>
      <c r="Q45" s="16" t="n">
        <v>0.6</v>
      </c>
      <c r="R45" s="16" t="n">
        <v>64</v>
      </c>
    </row>
    <row r="46">
      <c r="A46" s="5" t="inlineStr">
        <is>
          <t>UAV-02</t>
        </is>
      </c>
      <c r="B46" s="5" t="inlineStr">
        <is>
          <t>Canopy</t>
        </is>
      </c>
      <c r="C46" s="5" t="inlineStr">
        <is>
          <t>Sphere</t>
        </is>
      </c>
      <c r="D46" s="5" t="inlineStr">
        <is>
          <t>Autonomous UAV (UAV-00)</t>
        </is>
      </c>
      <c r="E46" s="16" t="n">
        <v>0.15</v>
      </c>
      <c r="F46" s="16" t="n">
        <v>0.08</v>
      </c>
      <c r="G46" s="16" t="n">
        <v>0.22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0.04</v>
      </c>
      <c r="M46" s="16" t="n">
        <v>0.01</v>
      </c>
      <c r="N46" s="16" t="n">
        <v>0.62</v>
      </c>
      <c r="O46" s="16" t="n">
        <v>0.64</v>
      </c>
      <c r="P46" s="16" t="n">
        <v>0.66</v>
      </c>
      <c r="Q46" s="16" t="n">
        <v>0.85</v>
      </c>
      <c r="R46" s="16" t="n">
        <v>96</v>
      </c>
    </row>
    <row r="47">
      <c r="A47" s="5" t="inlineStr">
        <is>
          <t>UAV-03</t>
        </is>
      </c>
      <c r="B47" s="5" t="inlineStr">
        <is>
          <t>Battery</t>
        </is>
      </c>
      <c r="C47" s="5" t="inlineStr">
        <is>
          <t>Cube</t>
        </is>
      </c>
      <c r="D47" s="5" t="inlineStr">
        <is>
          <t>Autonomous UAV (UAV-00)</t>
        </is>
      </c>
      <c r="E47" s="16" t="n">
        <v>0.1</v>
      </c>
      <c r="F47" s="16" t="n">
        <v>0.04</v>
      </c>
      <c r="G47" s="16" t="n">
        <v>0.16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-0.055</v>
      </c>
      <c r="M47" s="16" t="n">
        <v>-0.02</v>
      </c>
      <c r="N47" s="16" t="n">
        <v>0.14</v>
      </c>
      <c r="O47" s="16" t="n">
        <v>0.15</v>
      </c>
      <c r="P47" s="16" t="n">
        <v>0.2</v>
      </c>
      <c r="Q47" s="16" t="n">
        <v>0.4</v>
      </c>
      <c r="R47" s="16" t="n">
        <v>48</v>
      </c>
    </row>
    <row r="48">
      <c r="A48" s="5" t="inlineStr">
        <is>
          <t>UAV-04</t>
        </is>
      </c>
      <c r="B48" s="5" t="inlineStr">
        <is>
          <t>GPS mast</t>
        </is>
      </c>
      <c r="C48" s="5" t="inlineStr">
        <is>
          <t>Cylinder</t>
        </is>
      </c>
      <c r="D48" s="5" t="inlineStr">
        <is>
          <t>Autonomous UAV (UAV-00)</t>
        </is>
      </c>
      <c r="E48" s="16" t="n">
        <v>0.008</v>
      </c>
      <c r="F48" s="16" t="n">
        <v>0.008</v>
      </c>
      <c r="G48" s="16" t="n">
        <v>0.05</v>
      </c>
      <c r="H48" s="16" t="n">
        <v>90</v>
      </c>
      <c r="I48" s="16" t="n">
        <v>0</v>
      </c>
      <c r="J48" s="16" t="n">
        <v>0</v>
      </c>
      <c r="K48" s="16" t="n">
        <v>0</v>
      </c>
      <c r="L48" s="16" t="n">
        <v>0.07000000000000001</v>
      </c>
      <c r="M48" s="16" t="n">
        <v>-0.07000000000000001</v>
      </c>
      <c r="N48" s="16" t="n">
        <v>0.08</v>
      </c>
      <c r="O48" s="16" t="n">
        <v>0.08</v>
      </c>
      <c r="P48" s="16" t="n">
        <v>0.09</v>
      </c>
      <c r="Q48" s="16" t="n">
        <v>0.6</v>
      </c>
      <c r="R48" s="16" t="n">
        <v>64</v>
      </c>
    </row>
    <row r="49">
      <c r="A49" s="5" t="inlineStr">
        <is>
          <t>UAV-05</t>
        </is>
      </c>
      <c r="B49" s="5" t="inlineStr">
        <is>
          <t>GPS puck</t>
        </is>
      </c>
      <c r="C49" s="5" t="inlineStr">
        <is>
          <t>Cylinder</t>
        </is>
      </c>
      <c r="D49" s="5" t="inlineStr">
        <is>
          <t>Autonomous UAV (UAV-00)</t>
        </is>
      </c>
      <c r="E49" s="16" t="n">
        <v>0.05</v>
      </c>
      <c r="F49" s="16" t="n">
        <v>0.05</v>
      </c>
      <c r="G49" s="16" t="n">
        <v>0.012</v>
      </c>
      <c r="H49" s="16" t="n">
        <v>90</v>
      </c>
      <c r="I49" s="16" t="n">
        <v>0</v>
      </c>
      <c r="J49" s="16" t="n">
        <v>0</v>
      </c>
      <c r="K49" s="16" t="n">
        <v>0</v>
      </c>
      <c r="L49" s="16" t="n">
        <v>0.098</v>
      </c>
      <c r="M49" s="16" t="n">
        <v>-0.07000000000000001</v>
      </c>
      <c r="N49" s="16" t="n">
        <v>0.62</v>
      </c>
      <c r="O49" s="16" t="n">
        <v>0.64</v>
      </c>
      <c r="P49" s="16" t="n">
        <v>0.66</v>
      </c>
      <c r="Q49" s="16" t="n">
        <v>0.85</v>
      </c>
      <c r="R49" s="16" t="n">
        <v>96</v>
      </c>
    </row>
    <row r="50">
      <c r="A50" s="5" t="inlineStr">
        <is>
          <t>UAV-06</t>
        </is>
      </c>
      <c r="B50" s="5" t="inlineStr">
        <is>
          <t>Arm Front-left</t>
        </is>
      </c>
      <c r="C50" s="5" t="inlineStr">
        <is>
          <t>Cube</t>
        </is>
      </c>
      <c r="D50" s="5" t="inlineStr">
        <is>
          <t>Autonomous UAV (UAV-00)</t>
        </is>
      </c>
      <c r="E50" s="16" t="n">
        <v>0.025</v>
      </c>
      <c r="F50" s="16" t="n">
        <v>0.018</v>
      </c>
      <c r="G50" s="16" t="n">
        <v>0.22</v>
      </c>
      <c r="H50" s="16" t="n">
        <v>0</v>
      </c>
      <c r="I50" s="16" t="n">
        <v>45</v>
      </c>
      <c r="J50" s="16" t="n">
        <v>0</v>
      </c>
      <c r="K50" s="16" t="n">
        <v>0.1061</v>
      </c>
      <c r="L50" s="16" t="n">
        <v>0</v>
      </c>
      <c r="M50" s="16" t="n">
        <v>0.1061</v>
      </c>
      <c r="N50" s="16" t="n">
        <v>0.08</v>
      </c>
      <c r="O50" s="16" t="n">
        <v>0.08</v>
      </c>
      <c r="P50" s="16" t="n">
        <v>0.09</v>
      </c>
      <c r="Q50" s="16" t="n">
        <v>0.6</v>
      </c>
      <c r="R50" s="16" t="n">
        <v>64</v>
      </c>
    </row>
    <row r="51">
      <c r="A51" s="5" t="inlineStr">
        <is>
          <t>UAV-08</t>
        </is>
      </c>
      <c r="B51" s="5" t="inlineStr">
        <is>
          <t>Motor</t>
        </is>
      </c>
      <c r="C51" s="5" t="inlineStr">
        <is>
          <t>Cylinder</t>
        </is>
      </c>
      <c r="D51" s="5" t="inlineStr">
        <is>
          <t>Motor mount Front-left (UAV-07)</t>
        </is>
      </c>
      <c r="E51" s="16" t="n">
        <v>0.045</v>
      </c>
      <c r="F51" s="16" t="n">
        <v>0.045</v>
      </c>
      <c r="G51" s="16" t="n">
        <v>0.035</v>
      </c>
      <c r="H51" s="16" t="n">
        <v>90</v>
      </c>
      <c r="I51" s="16" t="n">
        <v>0</v>
      </c>
      <c r="J51" s="16" t="n">
        <v>0</v>
      </c>
      <c r="K51" s="16" t="n">
        <v>0</v>
      </c>
      <c r="L51" s="16" t="n">
        <v>0.02</v>
      </c>
      <c r="M51" s="16" t="n">
        <v>0</v>
      </c>
      <c r="N51" s="16" t="n">
        <v>0.45</v>
      </c>
      <c r="O51" s="16" t="n">
        <v>0.46</v>
      </c>
      <c r="P51" s="16" t="n">
        <v>0.5</v>
      </c>
      <c r="Q51" s="16" t="n">
        <v>0.9</v>
      </c>
      <c r="R51" s="16" t="n">
        <v>128</v>
      </c>
    </row>
    <row r="52">
      <c r="A52" s="5" t="inlineStr">
        <is>
          <t>UAV-10</t>
        </is>
      </c>
      <c r="B52" s="5" t="inlineStr">
        <is>
          <t>Prop hub</t>
        </is>
      </c>
      <c r="C52" s="5" t="inlineStr">
        <is>
          <t>Sphere</t>
        </is>
      </c>
      <c r="D52" s="5" t="inlineStr">
        <is>
          <t>Rotor (UAV-09)</t>
        </is>
      </c>
      <c r="E52" s="16" t="n">
        <v>0.025</v>
      </c>
      <c r="F52" s="16" t="n">
        <v>0.025</v>
      </c>
      <c r="G52" s="16" t="n">
        <v>0.025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0.45</v>
      </c>
      <c r="O52" s="16" t="n">
        <v>0.46</v>
      </c>
      <c r="P52" s="16" t="n">
        <v>0.5</v>
      </c>
      <c r="Q52" s="16" t="n">
        <v>0.9</v>
      </c>
      <c r="R52" s="16" t="n">
        <v>128</v>
      </c>
    </row>
    <row r="53">
      <c r="A53" s="5" t="inlineStr">
        <is>
          <t>UAV-11</t>
        </is>
      </c>
      <c r="B53" s="5" t="inlineStr">
        <is>
          <t>Prop blade</t>
        </is>
      </c>
      <c r="C53" s="5" t="inlineStr">
        <is>
          <t>Cube</t>
        </is>
      </c>
      <c r="D53" s="5" t="inlineStr">
        <is>
          <t>Rotor (UAV-09)</t>
        </is>
      </c>
      <c r="E53" s="16" t="n">
        <v>0.2</v>
      </c>
      <c r="F53" s="16" t="n">
        <v>0.004</v>
      </c>
      <c r="G53" s="16" t="n">
        <v>0.018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0.1</v>
      </c>
      <c r="O53" s="16" t="n">
        <v>0.1</v>
      </c>
      <c r="P53" s="16" t="n">
        <v>0.11</v>
      </c>
      <c r="Q53" s="16" t="n">
        <v>0.3</v>
      </c>
      <c r="R53" s="16" t="n">
        <v>32</v>
      </c>
    </row>
    <row r="54">
      <c r="A54" s="5" t="inlineStr">
        <is>
          <t>UAV-12</t>
        </is>
      </c>
      <c r="B54" s="5" t="inlineStr">
        <is>
          <t>Rotor blur disc</t>
        </is>
      </c>
      <c r="C54" s="5" t="inlineStr">
        <is>
          <t>Cylinder</t>
        </is>
      </c>
      <c r="D54" s="5" t="inlineStr">
        <is>
          <t>Motor mount Front-left (UAV-07)</t>
        </is>
      </c>
      <c r="E54" s="16" t="n">
        <v>0.205</v>
      </c>
      <c r="F54" s="16" t="n">
        <v>0.205</v>
      </c>
      <c r="G54" s="16" t="n">
        <v>0.002</v>
      </c>
      <c r="H54" s="16" t="n">
        <v>90</v>
      </c>
      <c r="I54" s="16" t="n">
        <v>0</v>
      </c>
      <c r="J54" s="16" t="n">
        <v>0</v>
      </c>
      <c r="K54" s="16" t="n">
        <v>0</v>
      </c>
      <c r="L54" s="16" t="n">
        <v>0.045</v>
      </c>
      <c r="M54" s="16" t="n">
        <v>0</v>
      </c>
      <c r="N54" s="16" t="n">
        <v>0.1</v>
      </c>
      <c r="O54" s="16" t="n">
        <v>0.1</v>
      </c>
      <c r="P54" s="16" t="n">
        <v>0.11</v>
      </c>
      <c r="Q54" s="16" t="n">
        <v>0.2</v>
      </c>
      <c r="R54" s="16" t="n">
        <v>16</v>
      </c>
    </row>
    <row r="55">
      <c r="A55" s="5" t="inlineStr">
        <is>
          <t>UAV-13</t>
        </is>
      </c>
      <c r="B55" s="5" t="inlineStr">
        <is>
          <t>Nav LED</t>
        </is>
      </c>
      <c r="C55" s="5" t="inlineStr">
        <is>
          <t>Sphere</t>
        </is>
      </c>
      <c r="D55" s="5" t="inlineStr">
        <is>
          <t>Motor mount Front-left (UAV-07)</t>
        </is>
      </c>
      <c r="E55" s="16" t="n">
        <v>0.018</v>
      </c>
      <c r="F55" s="16" t="n">
        <v>0.018</v>
      </c>
      <c r="G55" s="16" t="n">
        <v>0.018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-0.012</v>
      </c>
      <c r="M55" s="16" t="n">
        <v>0</v>
      </c>
      <c r="N55" s="16" t="n">
        <v>1</v>
      </c>
      <c r="O55" s="16" t="n">
        <v>0.1</v>
      </c>
      <c r="P55" s="16" t="n">
        <v>0.05</v>
      </c>
      <c r="Q55" s="16" t="n">
        <v>0.4</v>
      </c>
      <c r="R55" s="16" t="n">
        <v>64</v>
      </c>
    </row>
    <row r="56">
      <c r="A56" s="5" t="inlineStr">
        <is>
          <t>UAV-84</t>
        </is>
      </c>
      <c r="B56" s="5" t="inlineStr">
        <is>
          <t>Motor cooling ring</t>
        </is>
      </c>
      <c r="C56" s="5" t="inlineStr">
        <is>
          <t>Torus</t>
        </is>
      </c>
      <c r="D56" s="5" t="inlineStr">
        <is>
          <t>Motor mount Front-left (UAV-07)</t>
        </is>
      </c>
      <c r="E56" s="16" t="n">
        <v>0.05</v>
      </c>
      <c r="F56" s="16" t="n">
        <v>0.05</v>
      </c>
      <c r="G56" s="16" t="n">
        <v>0.0333</v>
      </c>
      <c r="H56" s="16" t="n">
        <v>90</v>
      </c>
      <c r="I56" s="16" t="n">
        <v>0</v>
      </c>
      <c r="J56" s="16" t="n">
        <v>0</v>
      </c>
      <c r="K56" s="16" t="n">
        <v>0</v>
      </c>
      <c r="L56" s="16" t="n">
        <v>0.004</v>
      </c>
      <c r="M56" s="16" t="n">
        <v>0</v>
      </c>
      <c r="N56" s="16" t="n">
        <v>0.12</v>
      </c>
      <c r="O56" s="16" t="n">
        <v>0.12</v>
      </c>
      <c r="P56" s="16" t="n">
        <v>0.13</v>
      </c>
      <c r="Q56" s="16" t="n">
        <v>0.6</v>
      </c>
      <c r="R56" s="16" t="n">
        <v>64</v>
      </c>
    </row>
    <row r="57">
      <c r="A57" s="5" t="inlineStr">
        <is>
          <t>UAV-14</t>
        </is>
      </c>
      <c r="B57" s="5" t="inlineStr">
        <is>
          <t>Arm Front-right</t>
        </is>
      </c>
      <c r="C57" s="5" t="inlineStr">
        <is>
          <t>Cube</t>
        </is>
      </c>
      <c r="D57" s="5" t="inlineStr">
        <is>
          <t>Autonomous UAV (UAV-00)</t>
        </is>
      </c>
      <c r="E57" s="16" t="n">
        <v>0.025</v>
      </c>
      <c r="F57" s="16" t="n">
        <v>0.018</v>
      </c>
      <c r="G57" s="16" t="n">
        <v>0.22</v>
      </c>
      <c r="H57" s="16" t="n">
        <v>0</v>
      </c>
      <c r="I57" s="16" t="n">
        <v>-45</v>
      </c>
      <c r="J57" s="16" t="n">
        <v>0</v>
      </c>
      <c r="K57" s="16" t="n">
        <v>-0.1061</v>
      </c>
      <c r="L57" s="16" t="n">
        <v>0</v>
      </c>
      <c r="M57" s="16" t="n">
        <v>0.1061</v>
      </c>
      <c r="N57" s="16" t="n">
        <v>0.08</v>
      </c>
      <c r="O57" s="16" t="n">
        <v>0.08</v>
      </c>
      <c r="P57" s="16" t="n">
        <v>0.09</v>
      </c>
      <c r="Q57" s="16" t="n">
        <v>0.6</v>
      </c>
      <c r="R57" s="16" t="n">
        <v>64</v>
      </c>
    </row>
    <row r="58">
      <c r="A58" s="5" t="inlineStr">
        <is>
          <t>UAV-16</t>
        </is>
      </c>
      <c r="B58" s="5" t="inlineStr">
        <is>
          <t>Motor</t>
        </is>
      </c>
      <c r="C58" s="5" t="inlineStr">
        <is>
          <t>Cylinder</t>
        </is>
      </c>
      <c r="D58" s="5" t="inlineStr">
        <is>
          <t>Motor mount Front-right (UAV-15)</t>
        </is>
      </c>
      <c r="E58" s="16" t="n">
        <v>0.045</v>
      </c>
      <c r="F58" s="16" t="n">
        <v>0.045</v>
      </c>
      <c r="G58" s="16" t="n">
        <v>0.035</v>
      </c>
      <c r="H58" s="16" t="n">
        <v>90</v>
      </c>
      <c r="I58" s="16" t="n">
        <v>0</v>
      </c>
      <c r="J58" s="16" t="n">
        <v>0</v>
      </c>
      <c r="K58" s="16" t="n">
        <v>0</v>
      </c>
      <c r="L58" s="16" t="n">
        <v>0.02</v>
      </c>
      <c r="M58" s="16" t="n">
        <v>0</v>
      </c>
      <c r="N58" s="16" t="n">
        <v>0.45</v>
      </c>
      <c r="O58" s="16" t="n">
        <v>0.46</v>
      </c>
      <c r="P58" s="16" t="n">
        <v>0.5</v>
      </c>
      <c r="Q58" s="16" t="n">
        <v>0.9</v>
      </c>
      <c r="R58" s="16" t="n">
        <v>128</v>
      </c>
    </row>
    <row r="59">
      <c r="A59" s="5" t="inlineStr">
        <is>
          <t>UAV-18</t>
        </is>
      </c>
      <c r="B59" s="5" t="inlineStr">
        <is>
          <t>Prop hub</t>
        </is>
      </c>
      <c r="C59" s="5" t="inlineStr">
        <is>
          <t>Sphere</t>
        </is>
      </c>
      <c r="D59" s="5" t="inlineStr">
        <is>
          <t>Rotor (UAV-17)</t>
        </is>
      </c>
      <c r="E59" s="16" t="n">
        <v>0.025</v>
      </c>
      <c r="F59" s="16" t="n">
        <v>0.025</v>
      </c>
      <c r="G59" s="16" t="n">
        <v>0.025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0.45</v>
      </c>
      <c r="O59" s="16" t="n">
        <v>0.46</v>
      </c>
      <c r="P59" s="16" t="n">
        <v>0.5</v>
      </c>
      <c r="Q59" s="16" t="n">
        <v>0.9</v>
      </c>
      <c r="R59" s="16" t="n">
        <v>128</v>
      </c>
    </row>
    <row r="60">
      <c r="A60" s="5" t="inlineStr">
        <is>
          <t>UAV-19</t>
        </is>
      </c>
      <c r="B60" s="5" t="inlineStr">
        <is>
          <t>Prop blade</t>
        </is>
      </c>
      <c r="C60" s="5" t="inlineStr">
        <is>
          <t>Cube</t>
        </is>
      </c>
      <c r="D60" s="5" t="inlineStr">
        <is>
          <t>Rotor (UAV-17)</t>
        </is>
      </c>
      <c r="E60" s="16" t="n">
        <v>0.2</v>
      </c>
      <c r="F60" s="16" t="n">
        <v>0.004</v>
      </c>
      <c r="G60" s="16" t="n">
        <v>0.018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0.1</v>
      </c>
      <c r="O60" s="16" t="n">
        <v>0.1</v>
      </c>
      <c r="P60" s="16" t="n">
        <v>0.11</v>
      </c>
      <c r="Q60" s="16" t="n">
        <v>0.3</v>
      </c>
      <c r="R60" s="16" t="n">
        <v>32</v>
      </c>
    </row>
    <row r="61">
      <c r="A61" s="5" t="inlineStr">
        <is>
          <t>UAV-20</t>
        </is>
      </c>
      <c r="B61" s="5" t="inlineStr">
        <is>
          <t>Rotor blur disc</t>
        </is>
      </c>
      <c r="C61" s="5" t="inlineStr">
        <is>
          <t>Cylinder</t>
        </is>
      </c>
      <c r="D61" s="5" t="inlineStr">
        <is>
          <t>Motor mount Front-right (UAV-15)</t>
        </is>
      </c>
      <c r="E61" s="16" t="n">
        <v>0.205</v>
      </c>
      <c r="F61" s="16" t="n">
        <v>0.205</v>
      </c>
      <c r="G61" s="16" t="n">
        <v>0.002</v>
      </c>
      <c r="H61" s="16" t="n">
        <v>90</v>
      </c>
      <c r="I61" s="16" t="n">
        <v>0</v>
      </c>
      <c r="J61" s="16" t="n">
        <v>0</v>
      </c>
      <c r="K61" s="16" t="n">
        <v>0</v>
      </c>
      <c r="L61" s="16" t="n">
        <v>0.045</v>
      </c>
      <c r="M61" s="16" t="n">
        <v>0</v>
      </c>
      <c r="N61" s="16" t="n">
        <v>0.1</v>
      </c>
      <c r="O61" s="16" t="n">
        <v>0.1</v>
      </c>
      <c r="P61" s="16" t="n">
        <v>0.11</v>
      </c>
      <c r="Q61" s="16" t="n">
        <v>0.2</v>
      </c>
      <c r="R61" s="16" t="n">
        <v>16</v>
      </c>
    </row>
    <row r="62">
      <c r="A62" s="5" t="inlineStr">
        <is>
          <t>UAV-21</t>
        </is>
      </c>
      <c r="B62" s="5" t="inlineStr">
        <is>
          <t>Nav LED</t>
        </is>
      </c>
      <c r="C62" s="5" t="inlineStr">
        <is>
          <t>Sphere</t>
        </is>
      </c>
      <c r="D62" s="5" t="inlineStr">
        <is>
          <t>Motor mount Front-right (UAV-15)</t>
        </is>
      </c>
      <c r="E62" s="16" t="n">
        <v>0.018</v>
      </c>
      <c r="F62" s="16" t="n">
        <v>0.018</v>
      </c>
      <c r="G62" s="16" t="n">
        <v>0.018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-0.012</v>
      </c>
      <c r="M62" s="16" t="n">
        <v>0</v>
      </c>
      <c r="N62" s="16" t="n">
        <v>0.1</v>
      </c>
      <c r="O62" s="16" t="n">
        <v>1</v>
      </c>
      <c r="P62" s="16" t="n">
        <v>0.25</v>
      </c>
      <c r="Q62" s="16" t="n">
        <v>0.4</v>
      </c>
      <c r="R62" s="16" t="n">
        <v>64</v>
      </c>
    </row>
    <row r="63">
      <c r="A63" s="5" t="inlineStr">
        <is>
          <t>UAV-85</t>
        </is>
      </c>
      <c r="B63" s="5" t="inlineStr">
        <is>
          <t>Motor cooling ring</t>
        </is>
      </c>
      <c r="C63" s="5" t="inlineStr">
        <is>
          <t>Torus</t>
        </is>
      </c>
      <c r="D63" s="5" t="inlineStr">
        <is>
          <t>Motor mount Front-right (UAV-15)</t>
        </is>
      </c>
      <c r="E63" s="16" t="n">
        <v>0.05</v>
      </c>
      <c r="F63" s="16" t="n">
        <v>0.05</v>
      </c>
      <c r="G63" s="16" t="n">
        <v>0.0333</v>
      </c>
      <c r="H63" s="16" t="n">
        <v>90</v>
      </c>
      <c r="I63" s="16" t="n">
        <v>0</v>
      </c>
      <c r="J63" s="16" t="n">
        <v>0</v>
      </c>
      <c r="K63" s="16" t="n">
        <v>0</v>
      </c>
      <c r="L63" s="16" t="n">
        <v>0.004</v>
      </c>
      <c r="M63" s="16" t="n">
        <v>0</v>
      </c>
      <c r="N63" s="16" t="n">
        <v>0.12</v>
      </c>
      <c r="O63" s="16" t="n">
        <v>0.12</v>
      </c>
      <c r="P63" s="16" t="n">
        <v>0.13</v>
      </c>
      <c r="Q63" s="16" t="n">
        <v>0.6</v>
      </c>
      <c r="R63" s="16" t="n">
        <v>64</v>
      </c>
    </row>
    <row r="64">
      <c r="A64" s="5" t="inlineStr">
        <is>
          <t>UAV-22</t>
        </is>
      </c>
      <c r="B64" s="5" t="inlineStr">
        <is>
          <t>Arm Rear-left</t>
        </is>
      </c>
      <c r="C64" s="5" t="inlineStr">
        <is>
          <t>Cube</t>
        </is>
      </c>
      <c r="D64" s="5" t="inlineStr">
        <is>
          <t>Autonomous UAV (UAV-00)</t>
        </is>
      </c>
      <c r="E64" s="16" t="n">
        <v>0.025</v>
      </c>
      <c r="F64" s="16" t="n">
        <v>0.018</v>
      </c>
      <c r="G64" s="16" t="n">
        <v>0.22</v>
      </c>
      <c r="H64" s="16" t="n">
        <v>0</v>
      </c>
      <c r="I64" s="16" t="n">
        <v>135</v>
      </c>
      <c r="J64" s="16" t="n">
        <v>0</v>
      </c>
      <c r="K64" s="16" t="n">
        <v>0.1061</v>
      </c>
      <c r="L64" s="16" t="n">
        <v>0</v>
      </c>
      <c r="M64" s="16" t="n">
        <v>-0.1061</v>
      </c>
      <c r="N64" s="16" t="n">
        <v>0.08</v>
      </c>
      <c r="O64" s="16" t="n">
        <v>0.08</v>
      </c>
      <c r="P64" s="16" t="n">
        <v>0.09</v>
      </c>
      <c r="Q64" s="16" t="n">
        <v>0.6</v>
      </c>
      <c r="R64" s="16" t="n">
        <v>64</v>
      </c>
    </row>
    <row r="65">
      <c r="A65" s="5" t="inlineStr">
        <is>
          <t>UAV-24</t>
        </is>
      </c>
      <c r="B65" s="5" t="inlineStr">
        <is>
          <t>Motor</t>
        </is>
      </c>
      <c r="C65" s="5" t="inlineStr">
        <is>
          <t>Cylinder</t>
        </is>
      </c>
      <c r="D65" s="5" t="inlineStr">
        <is>
          <t>Motor mount Rear-left (UAV-23)</t>
        </is>
      </c>
      <c r="E65" s="16" t="n">
        <v>0.045</v>
      </c>
      <c r="F65" s="16" t="n">
        <v>0.045</v>
      </c>
      <c r="G65" s="16" t="n">
        <v>0.035</v>
      </c>
      <c r="H65" s="16" t="n">
        <v>90</v>
      </c>
      <c r="I65" s="16" t="n">
        <v>0</v>
      </c>
      <c r="J65" s="16" t="n">
        <v>0</v>
      </c>
      <c r="K65" s="16" t="n">
        <v>0</v>
      </c>
      <c r="L65" s="16" t="n">
        <v>0.02</v>
      </c>
      <c r="M65" s="16" t="n">
        <v>0</v>
      </c>
      <c r="N65" s="16" t="n">
        <v>0.45</v>
      </c>
      <c r="O65" s="16" t="n">
        <v>0.46</v>
      </c>
      <c r="P65" s="16" t="n">
        <v>0.5</v>
      </c>
      <c r="Q65" s="16" t="n">
        <v>0.9</v>
      </c>
      <c r="R65" s="16" t="n">
        <v>128</v>
      </c>
    </row>
    <row r="66">
      <c r="A66" s="5" t="inlineStr">
        <is>
          <t>UAV-26</t>
        </is>
      </c>
      <c r="B66" s="5" t="inlineStr">
        <is>
          <t>Prop hub</t>
        </is>
      </c>
      <c r="C66" s="5" t="inlineStr">
        <is>
          <t>Sphere</t>
        </is>
      </c>
      <c r="D66" s="5" t="inlineStr">
        <is>
          <t>Rotor (UAV-25)</t>
        </is>
      </c>
      <c r="E66" s="16" t="n">
        <v>0.025</v>
      </c>
      <c r="F66" s="16" t="n">
        <v>0.025</v>
      </c>
      <c r="G66" s="16" t="n">
        <v>0.025</v>
      </c>
      <c r="H66" s="16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0.45</v>
      </c>
      <c r="O66" s="16" t="n">
        <v>0.46</v>
      </c>
      <c r="P66" s="16" t="n">
        <v>0.5</v>
      </c>
      <c r="Q66" s="16" t="n">
        <v>0.9</v>
      </c>
      <c r="R66" s="16" t="n">
        <v>128</v>
      </c>
    </row>
    <row r="67">
      <c r="A67" s="5" t="inlineStr">
        <is>
          <t>UAV-27</t>
        </is>
      </c>
      <c r="B67" s="5" t="inlineStr">
        <is>
          <t>Prop blade</t>
        </is>
      </c>
      <c r="C67" s="5" t="inlineStr">
        <is>
          <t>Cube</t>
        </is>
      </c>
      <c r="D67" s="5" t="inlineStr">
        <is>
          <t>Rotor (UAV-25)</t>
        </is>
      </c>
      <c r="E67" s="16" t="n">
        <v>0.2</v>
      </c>
      <c r="F67" s="16" t="n">
        <v>0.004</v>
      </c>
      <c r="G67" s="16" t="n">
        <v>0.018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0.1</v>
      </c>
      <c r="O67" s="16" t="n">
        <v>0.1</v>
      </c>
      <c r="P67" s="16" t="n">
        <v>0.11</v>
      </c>
      <c r="Q67" s="16" t="n">
        <v>0.3</v>
      </c>
      <c r="R67" s="16" t="n">
        <v>32</v>
      </c>
    </row>
    <row r="68">
      <c r="A68" s="5" t="inlineStr">
        <is>
          <t>UAV-28</t>
        </is>
      </c>
      <c r="B68" s="5" t="inlineStr">
        <is>
          <t>Rotor blur disc</t>
        </is>
      </c>
      <c r="C68" s="5" t="inlineStr">
        <is>
          <t>Cylinder</t>
        </is>
      </c>
      <c r="D68" s="5" t="inlineStr">
        <is>
          <t>Motor mount Rear-left (UAV-23)</t>
        </is>
      </c>
      <c r="E68" s="16" t="n">
        <v>0.205</v>
      </c>
      <c r="F68" s="16" t="n">
        <v>0.205</v>
      </c>
      <c r="G68" s="16" t="n">
        <v>0.002</v>
      </c>
      <c r="H68" s="16" t="n">
        <v>90</v>
      </c>
      <c r="I68" s="16" t="n">
        <v>0</v>
      </c>
      <c r="J68" s="16" t="n">
        <v>0</v>
      </c>
      <c r="K68" s="16" t="n">
        <v>0</v>
      </c>
      <c r="L68" s="16" t="n">
        <v>0.045</v>
      </c>
      <c r="M68" s="16" t="n">
        <v>0</v>
      </c>
      <c r="N68" s="16" t="n">
        <v>0.1</v>
      </c>
      <c r="O68" s="16" t="n">
        <v>0.1</v>
      </c>
      <c r="P68" s="16" t="n">
        <v>0.11</v>
      </c>
      <c r="Q68" s="16" t="n">
        <v>0.2</v>
      </c>
      <c r="R68" s="16" t="n">
        <v>16</v>
      </c>
    </row>
    <row r="69">
      <c r="A69" s="5" t="inlineStr">
        <is>
          <t>UAV-86</t>
        </is>
      </c>
      <c r="B69" s="5" t="inlineStr">
        <is>
          <t>Motor cooling ring</t>
        </is>
      </c>
      <c r="C69" s="5" t="inlineStr">
        <is>
          <t>Torus</t>
        </is>
      </c>
      <c r="D69" s="5" t="inlineStr">
        <is>
          <t>Motor mount Rear-left (UAV-23)</t>
        </is>
      </c>
      <c r="E69" s="16" t="n">
        <v>0.05</v>
      </c>
      <c r="F69" s="16" t="n">
        <v>0.05</v>
      </c>
      <c r="G69" s="16" t="n">
        <v>0.0333</v>
      </c>
      <c r="H69" s="16" t="n">
        <v>90</v>
      </c>
      <c r="I69" s="16" t="n">
        <v>0</v>
      </c>
      <c r="J69" s="16" t="n">
        <v>0</v>
      </c>
      <c r="K69" s="16" t="n">
        <v>0</v>
      </c>
      <c r="L69" s="16" t="n">
        <v>0.004</v>
      </c>
      <c r="M69" s="16" t="n">
        <v>0</v>
      </c>
      <c r="N69" s="16" t="n">
        <v>0.12</v>
      </c>
      <c r="O69" s="16" t="n">
        <v>0.12</v>
      </c>
      <c r="P69" s="16" t="n">
        <v>0.13</v>
      </c>
      <c r="Q69" s="16" t="n">
        <v>0.6</v>
      </c>
      <c r="R69" s="16" t="n">
        <v>64</v>
      </c>
    </row>
    <row r="70">
      <c r="A70" s="5" t="inlineStr">
        <is>
          <t>UAV-87</t>
        </is>
      </c>
      <c r="B70" s="5" t="inlineStr">
        <is>
          <t>Status LED</t>
        </is>
      </c>
      <c r="C70" s="5" t="inlineStr">
        <is>
          <t>Sphere</t>
        </is>
      </c>
      <c r="D70" s="5" t="inlineStr">
        <is>
          <t>Motor mount Rear-left (UAV-23)</t>
        </is>
      </c>
      <c r="E70" s="16" t="n">
        <v>0.016</v>
      </c>
      <c r="F70" s="16" t="n">
        <v>0.016</v>
      </c>
      <c r="G70" s="16" t="n">
        <v>0.016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-0.012</v>
      </c>
      <c r="M70" s="16" t="n">
        <v>0</v>
      </c>
      <c r="N70" s="16" t="n">
        <v>1</v>
      </c>
      <c r="O70" s="16" t="n">
        <v>0.55</v>
      </c>
      <c r="P70" s="16" t="n">
        <v>0.08</v>
      </c>
      <c r="Q70" s="16" t="n">
        <v>0.295</v>
      </c>
      <c r="R70" s="16" t="n">
        <v>111.43</v>
      </c>
    </row>
    <row r="71">
      <c r="A71" s="5" t="inlineStr">
        <is>
          <t>UAV-29</t>
        </is>
      </c>
      <c r="B71" s="5" t="inlineStr">
        <is>
          <t>Arm Rear-right</t>
        </is>
      </c>
      <c r="C71" s="5" t="inlineStr">
        <is>
          <t>Cube</t>
        </is>
      </c>
      <c r="D71" s="5" t="inlineStr">
        <is>
          <t>Autonomous UAV (UAV-00)</t>
        </is>
      </c>
      <c r="E71" s="16" t="n">
        <v>0.025</v>
      </c>
      <c r="F71" s="16" t="n">
        <v>0.018</v>
      </c>
      <c r="G71" s="16" t="n">
        <v>0.22</v>
      </c>
      <c r="H71" s="16" t="n">
        <v>0</v>
      </c>
      <c r="I71" s="16" t="n">
        <v>-135</v>
      </c>
      <c r="J71" s="16" t="n">
        <v>0</v>
      </c>
      <c r="K71" s="16" t="n">
        <v>-0.1061</v>
      </c>
      <c r="L71" s="16" t="n">
        <v>0</v>
      </c>
      <c r="M71" s="16" t="n">
        <v>-0.1061</v>
      </c>
      <c r="N71" s="16" t="n">
        <v>0.08</v>
      </c>
      <c r="O71" s="16" t="n">
        <v>0.08</v>
      </c>
      <c r="P71" s="16" t="n">
        <v>0.09</v>
      </c>
      <c r="Q71" s="16" t="n">
        <v>0.6</v>
      </c>
      <c r="R71" s="16" t="n">
        <v>64</v>
      </c>
    </row>
    <row r="72">
      <c r="A72" s="5" t="inlineStr">
        <is>
          <t>UAV-31</t>
        </is>
      </c>
      <c r="B72" s="5" t="inlineStr">
        <is>
          <t>Motor</t>
        </is>
      </c>
      <c r="C72" s="5" t="inlineStr">
        <is>
          <t>Cylinder</t>
        </is>
      </c>
      <c r="D72" s="5" t="inlineStr">
        <is>
          <t>Motor mount Rear-right (UAV-30)</t>
        </is>
      </c>
      <c r="E72" s="16" t="n">
        <v>0.045</v>
      </c>
      <c r="F72" s="16" t="n">
        <v>0.045</v>
      </c>
      <c r="G72" s="16" t="n">
        <v>0.035</v>
      </c>
      <c r="H72" s="16" t="n">
        <v>90</v>
      </c>
      <c r="I72" s="16" t="n">
        <v>0</v>
      </c>
      <c r="J72" s="16" t="n">
        <v>0</v>
      </c>
      <c r="K72" s="16" t="n">
        <v>0</v>
      </c>
      <c r="L72" s="16" t="n">
        <v>0.02</v>
      </c>
      <c r="M72" s="16" t="n">
        <v>0</v>
      </c>
      <c r="N72" s="16" t="n">
        <v>0.45</v>
      </c>
      <c r="O72" s="16" t="n">
        <v>0.46</v>
      </c>
      <c r="P72" s="16" t="n">
        <v>0.5</v>
      </c>
      <c r="Q72" s="16" t="n">
        <v>0.9</v>
      </c>
      <c r="R72" s="16" t="n">
        <v>128</v>
      </c>
    </row>
    <row r="73">
      <c r="A73" s="5" t="inlineStr">
        <is>
          <t>UAV-33</t>
        </is>
      </c>
      <c r="B73" s="5" t="inlineStr">
        <is>
          <t>Prop hub</t>
        </is>
      </c>
      <c r="C73" s="5" t="inlineStr">
        <is>
          <t>Sphere</t>
        </is>
      </c>
      <c r="D73" s="5" t="inlineStr">
        <is>
          <t>Rotor (UAV-32)</t>
        </is>
      </c>
      <c r="E73" s="16" t="n">
        <v>0.025</v>
      </c>
      <c r="F73" s="16" t="n">
        <v>0.025</v>
      </c>
      <c r="G73" s="16" t="n">
        <v>0.025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0.45</v>
      </c>
      <c r="O73" s="16" t="n">
        <v>0.46</v>
      </c>
      <c r="P73" s="16" t="n">
        <v>0.5</v>
      </c>
      <c r="Q73" s="16" t="n">
        <v>0.9</v>
      </c>
      <c r="R73" s="16" t="n">
        <v>128</v>
      </c>
    </row>
    <row r="74">
      <c r="A74" s="5" t="inlineStr">
        <is>
          <t>UAV-34</t>
        </is>
      </c>
      <c r="B74" s="5" t="inlineStr">
        <is>
          <t>Prop blade</t>
        </is>
      </c>
      <c r="C74" s="5" t="inlineStr">
        <is>
          <t>Cube</t>
        </is>
      </c>
      <c r="D74" s="5" t="inlineStr">
        <is>
          <t>Rotor (UAV-32)</t>
        </is>
      </c>
      <c r="E74" s="16" t="n">
        <v>0.2</v>
      </c>
      <c r="F74" s="16" t="n">
        <v>0.004</v>
      </c>
      <c r="G74" s="16" t="n">
        <v>0.018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0.1</v>
      </c>
      <c r="O74" s="16" t="n">
        <v>0.1</v>
      </c>
      <c r="P74" s="16" t="n">
        <v>0.11</v>
      </c>
      <c r="Q74" s="16" t="n">
        <v>0.3</v>
      </c>
      <c r="R74" s="16" t="n">
        <v>32</v>
      </c>
    </row>
    <row r="75">
      <c r="A75" s="5" t="inlineStr">
        <is>
          <t>UAV-35</t>
        </is>
      </c>
      <c r="B75" s="5" t="inlineStr">
        <is>
          <t>Rotor blur disc</t>
        </is>
      </c>
      <c r="C75" s="5" t="inlineStr">
        <is>
          <t>Cylinder</t>
        </is>
      </c>
      <c r="D75" s="5" t="inlineStr">
        <is>
          <t>Motor mount Rear-right (UAV-30)</t>
        </is>
      </c>
      <c r="E75" s="16" t="n">
        <v>0.205</v>
      </c>
      <c r="F75" s="16" t="n">
        <v>0.205</v>
      </c>
      <c r="G75" s="16" t="n">
        <v>0.002</v>
      </c>
      <c r="H75" s="16" t="n">
        <v>90</v>
      </c>
      <c r="I75" s="16" t="n">
        <v>0</v>
      </c>
      <c r="J75" s="16" t="n">
        <v>0</v>
      </c>
      <c r="K75" s="16" t="n">
        <v>0</v>
      </c>
      <c r="L75" s="16" t="n">
        <v>0.045</v>
      </c>
      <c r="M75" s="16" t="n">
        <v>0</v>
      </c>
      <c r="N75" s="16" t="n">
        <v>0.1</v>
      </c>
      <c r="O75" s="16" t="n">
        <v>0.1</v>
      </c>
      <c r="P75" s="16" t="n">
        <v>0.11</v>
      </c>
      <c r="Q75" s="16" t="n">
        <v>0.2</v>
      </c>
      <c r="R75" s="16" t="n">
        <v>16</v>
      </c>
    </row>
    <row r="76">
      <c r="A76" s="5" t="inlineStr">
        <is>
          <t>UAV-88</t>
        </is>
      </c>
      <c r="B76" s="5" t="inlineStr">
        <is>
          <t>Motor cooling ring</t>
        </is>
      </c>
      <c r="C76" s="5" t="inlineStr">
        <is>
          <t>Torus</t>
        </is>
      </c>
      <c r="D76" s="5" t="inlineStr">
        <is>
          <t>Motor mount Rear-right (UAV-30)</t>
        </is>
      </c>
      <c r="E76" s="16" t="n">
        <v>0.05</v>
      </c>
      <c r="F76" s="16" t="n">
        <v>0.05</v>
      </c>
      <c r="G76" s="16" t="n">
        <v>0.0333</v>
      </c>
      <c r="H76" s="16" t="n">
        <v>90</v>
      </c>
      <c r="I76" s="16" t="n">
        <v>0</v>
      </c>
      <c r="J76" s="16" t="n">
        <v>0</v>
      </c>
      <c r="K76" s="16" t="n">
        <v>0</v>
      </c>
      <c r="L76" s="16" t="n">
        <v>0.004</v>
      </c>
      <c r="M76" s="16" t="n">
        <v>0</v>
      </c>
      <c r="N76" s="16" t="n">
        <v>0.12</v>
      </c>
      <c r="O76" s="16" t="n">
        <v>0.12</v>
      </c>
      <c r="P76" s="16" t="n">
        <v>0.13</v>
      </c>
      <c r="Q76" s="16" t="n">
        <v>0.6</v>
      </c>
      <c r="R76" s="16" t="n">
        <v>64</v>
      </c>
    </row>
    <row r="77">
      <c r="A77" s="5" t="inlineStr">
        <is>
          <t>UAV-89</t>
        </is>
      </c>
      <c r="B77" s="5" t="inlineStr">
        <is>
          <t>Status LED</t>
        </is>
      </c>
      <c r="C77" s="5" t="inlineStr">
        <is>
          <t>Sphere</t>
        </is>
      </c>
      <c r="D77" s="5" t="inlineStr">
        <is>
          <t>Motor mount Rear-right (UAV-30)</t>
        </is>
      </c>
      <c r="E77" s="16" t="n">
        <v>0.016</v>
      </c>
      <c r="F77" s="16" t="n">
        <v>0.016</v>
      </c>
      <c r="G77" s="16" t="n">
        <v>0.016</v>
      </c>
      <c r="H77" s="16" t="n">
        <v>0</v>
      </c>
      <c r="I77" s="16" t="n">
        <v>0</v>
      </c>
      <c r="J77" s="16" t="n">
        <v>0</v>
      </c>
      <c r="K77" s="16" t="n">
        <v>0</v>
      </c>
      <c r="L77" s="16" t="n">
        <v>-0.012</v>
      </c>
      <c r="M77" s="16" t="n">
        <v>0</v>
      </c>
      <c r="N77" s="16" t="n">
        <v>1</v>
      </c>
      <c r="O77" s="16" t="n">
        <v>0.55</v>
      </c>
      <c r="P77" s="16" t="n">
        <v>0.08</v>
      </c>
      <c r="Q77" s="16" t="n">
        <v>0.295</v>
      </c>
      <c r="R77" s="16" t="n">
        <v>111.43</v>
      </c>
    </row>
    <row r="78">
      <c r="A78" s="5" t="inlineStr">
        <is>
          <t>UAV-36</t>
        </is>
      </c>
      <c r="B78" s="5" t="inlineStr">
        <is>
          <t>Strobe</t>
        </is>
      </c>
      <c r="C78" s="5" t="inlineStr">
        <is>
          <t>Sphere</t>
        </is>
      </c>
      <c r="D78" s="5" t="inlineStr">
        <is>
          <t>Autonomous UAV (UAV-00)</t>
        </is>
      </c>
      <c r="E78" s="16" t="n">
        <v>0.022</v>
      </c>
      <c r="F78" s="16" t="n">
        <v>0.016</v>
      </c>
      <c r="G78" s="16" t="n">
        <v>0.022</v>
      </c>
      <c r="H78" s="16" t="n">
        <v>0</v>
      </c>
      <c r="I78" s="16" t="n">
        <v>0</v>
      </c>
      <c r="J78" s="16" t="n">
        <v>0</v>
      </c>
      <c r="K78" s="16" t="n">
        <v>0</v>
      </c>
      <c r="L78" s="16" t="n">
        <v>0.02</v>
      </c>
      <c r="M78" s="16" t="n">
        <v>-0.135</v>
      </c>
      <c r="N78" s="16" t="n">
        <v>1</v>
      </c>
      <c r="O78" s="16" t="n">
        <v>1</v>
      </c>
      <c r="P78" s="16" t="n">
        <v>1</v>
      </c>
      <c r="Q78" s="16" t="n">
        <v>0.5</v>
      </c>
      <c r="R78" s="16" t="n">
        <v>64</v>
      </c>
    </row>
    <row r="79">
      <c r="A79" s="5" t="inlineStr">
        <is>
          <t>UAV-37</t>
        </is>
      </c>
      <c r="B79" s="5" t="inlineStr">
        <is>
          <t>Landing strut</t>
        </is>
      </c>
      <c r="C79" s="5" t="inlineStr">
        <is>
          <t>Cylinder</t>
        </is>
      </c>
      <c r="D79" s="5" t="inlineStr">
        <is>
          <t>Autonomous UAV (UAV-00)</t>
        </is>
      </c>
      <c r="E79" s="16" t="n">
        <v>0.012</v>
      </c>
      <c r="F79" s="16" t="n">
        <v>0.012</v>
      </c>
      <c r="G79" s="16" t="n">
        <v>0.09</v>
      </c>
      <c r="H79" s="16" t="n">
        <v>90</v>
      </c>
      <c r="I79" s="16" t="n">
        <v>0</v>
      </c>
      <c r="J79" s="16" t="n">
        <v>0</v>
      </c>
      <c r="K79" s="16" t="n">
        <v>-0.06</v>
      </c>
      <c r="L79" s="16" t="n">
        <v>-0.08</v>
      </c>
      <c r="M79" s="16" t="n">
        <v>-0.07000000000000001</v>
      </c>
      <c r="N79" s="16" t="n">
        <v>0.08</v>
      </c>
      <c r="O79" s="16" t="n">
        <v>0.08</v>
      </c>
      <c r="P79" s="16" t="n">
        <v>0.09</v>
      </c>
      <c r="Q79" s="16" t="n">
        <v>0.6</v>
      </c>
      <c r="R79" s="16" t="n">
        <v>64</v>
      </c>
    </row>
    <row r="80">
      <c r="A80" s="5" t="inlineStr">
        <is>
          <t>UAV-38</t>
        </is>
      </c>
      <c r="B80" s="5" t="inlineStr">
        <is>
          <t>Landing strut</t>
        </is>
      </c>
      <c r="C80" s="5" t="inlineStr">
        <is>
          <t>Cylinder</t>
        </is>
      </c>
      <c r="D80" s="5" t="inlineStr">
        <is>
          <t>Autonomous UAV (UAV-00)</t>
        </is>
      </c>
      <c r="E80" s="16" t="n">
        <v>0.012</v>
      </c>
      <c r="F80" s="16" t="n">
        <v>0.012</v>
      </c>
      <c r="G80" s="16" t="n">
        <v>0.09</v>
      </c>
      <c r="H80" s="16" t="n">
        <v>90</v>
      </c>
      <c r="I80" s="16" t="n">
        <v>0</v>
      </c>
      <c r="J80" s="16" t="n">
        <v>0</v>
      </c>
      <c r="K80" s="16" t="n">
        <v>-0.06</v>
      </c>
      <c r="L80" s="16" t="n">
        <v>-0.08</v>
      </c>
      <c r="M80" s="16" t="n">
        <v>0.07000000000000001</v>
      </c>
      <c r="N80" s="16" t="n">
        <v>0.08</v>
      </c>
      <c r="O80" s="16" t="n">
        <v>0.08</v>
      </c>
      <c r="P80" s="16" t="n">
        <v>0.09</v>
      </c>
      <c r="Q80" s="16" t="n">
        <v>0.6</v>
      </c>
      <c r="R80" s="16" t="n">
        <v>64</v>
      </c>
    </row>
    <row r="81">
      <c r="A81" s="5" t="inlineStr">
        <is>
          <t>UAV-39</t>
        </is>
      </c>
      <c r="B81" s="5" t="inlineStr">
        <is>
          <t>Landing skid</t>
        </is>
      </c>
      <c r="C81" s="5" t="inlineStr">
        <is>
          <t>Cylinder</t>
        </is>
      </c>
      <c r="D81" s="5" t="inlineStr">
        <is>
          <t>Autonomous UAV (UAV-00)</t>
        </is>
      </c>
      <c r="E81" s="16" t="n">
        <v>0.014</v>
      </c>
      <c r="F81" s="16" t="n">
        <v>0.014</v>
      </c>
      <c r="G81" s="16" t="n">
        <v>0.24</v>
      </c>
      <c r="H81" s="16" t="n">
        <v>0</v>
      </c>
      <c r="I81" s="16" t="n">
        <v>0</v>
      </c>
      <c r="J81" s="16" t="n">
        <v>0</v>
      </c>
      <c r="K81" s="16" t="n">
        <v>-0.06</v>
      </c>
      <c r="L81" s="16" t="n">
        <v>-0.125</v>
      </c>
      <c r="M81" s="16" t="n">
        <v>0</v>
      </c>
      <c r="N81" s="16" t="n">
        <v>0.08</v>
      </c>
      <c r="O81" s="16" t="n">
        <v>0.08</v>
      </c>
      <c r="P81" s="16" t="n">
        <v>0.09</v>
      </c>
      <c r="Q81" s="16" t="n">
        <v>0.6</v>
      </c>
      <c r="R81" s="16" t="n">
        <v>64</v>
      </c>
    </row>
    <row r="82">
      <c r="A82" s="5" t="inlineStr">
        <is>
          <t>UAV-40</t>
        </is>
      </c>
      <c r="B82" s="5" t="inlineStr">
        <is>
          <t>Landing strut</t>
        </is>
      </c>
      <c r="C82" s="5" t="inlineStr">
        <is>
          <t>Cylinder</t>
        </is>
      </c>
      <c r="D82" s="5" t="inlineStr">
        <is>
          <t>Autonomous UAV (UAV-00)</t>
        </is>
      </c>
      <c r="E82" s="16" t="n">
        <v>0.012</v>
      </c>
      <c r="F82" s="16" t="n">
        <v>0.012</v>
      </c>
      <c r="G82" s="16" t="n">
        <v>0.09</v>
      </c>
      <c r="H82" s="16" t="n">
        <v>90</v>
      </c>
      <c r="I82" s="16" t="n">
        <v>0</v>
      </c>
      <c r="J82" s="16" t="n">
        <v>0</v>
      </c>
      <c r="K82" s="16" t="n">
        <v>0.06</v>
      </c>
      <c r="L82" s="16" t="n">
        <v>-0.08</v>
      </c>
      <c r="M82" s="16" t="n">
        <v>-0.07000000000000001</v>
      </c>
      <c r="N82" s="16" t="n">
        <v>0.08</v>
      </c>
      <c r="O82" s="16" t="n">
        <v>0.08</v>
      </c>
      <c r="P82" s="16" t="n">
        <v>0.09</v>
      </c>
      <c r="Q82" s="16" t="n">
        <v>0.6</v>
      </c>
      <c r="R82" s="16" t="n">
        <v>64</v>
      </c>
    </row>
    <row r="83">
      <c r="A83" s="5" t="inlineStr">
        <is>
          <t>UAV-41</t>
        </is>
      </c>
      <c r="B83" s="5" t="inlineStr">
        <is>
          <t>Landing strut</t>
        </is>
      </c>
      <c r="C83" s="5" t="inlineStr">
        <is>
          <t>Cylinder</t>
        </is>
      </c>
      <c r="D83" s="5" t="inlineStr">
        <is>
          <t>Autonomous UAV (UAV-00)</t>
        </is>
      </c>
      <c r="E83" s="16" t="n">
        <v>0.012</v>
      </c>
      <c r="F83" s="16" t="n">
        <v>0.012</v>
      </c>
      <c r="G83" s="16" t="n">
        <v>0.09</v>
      </c>
      <c r="H83" s="16" t="n">
        <v>90</v>
      </c>
      <c r="I83" s="16" t="n">
        <v>0</v>
      </c>
      <c r="J83" s="16" t="n">
        <v>0</v>
      </c>
      <c r="K83" s="16" t="n">
        <v>0.06</v>
      </c>
      <c r="L83" s="16" t="n">
        <v>-0.08</v>
      </c>
      <c r="M83" s="16" t="n">
        <v>0.07000000000000001</v>
      </c>
      <c r="N83" s="16" t="n">
        <v>0.08</v>
      </c>
      <c r="O83" s="16" t="n">
        <v>0.08</v>
      </c>
      <c r="P83" s="16" t="n">
        <v>0.09</v>
      </c>
      <c r="Q83" s="16" t="n">
        <v>0.6</v>
      </c>
      <c r="R83" s="16" t="n">
        <v>64</v>
      </c>
    </row>
    <row r="84">
      <c r="A84" s="5" t="inlineStr">
        <is>
          <t>UAV-42</t>
        </is>
      </c>
      <c r="B84" s="5" t="inlineStr">
        <is>
          <t>Landing skid</t>
        </is>
      </c>
      <c r="C84" s="5" t="inlineStr">
        <is>
          <t>Cylinder</t>
        </is>
      </c>
      <c r="D84" s="5" t="inlineStr">
        <is>
          <t>Autonomous UAV (UAV-00)</t>
        </is>
      </c>
      <c r="E84" s="16" t="n">
        <v>0.014</v>
      </c>
      <c r="F84" s="16" t="n">
        <v>0.014</v>
      </c>
      <c r="G84" s="16" t="n">
        <v>0.24</v>
      </c>
      <c r="H84" s="16" t="n">
        <v>0</v>
      </c>
      <c r="I84" s="16" t="n">
        <v>0</v>
      </c>
      <c r="J84" s="16" t="n">
        <v>0</v>
      </c>
      <c r="K84" s="16" t="n">
        <v>0.06</v>
      </c>
      <c r="L84" s="16" t="n">
        <v>-0.125</v>
      </c>
      <c r="M84" s="16" t="n">
        <v>0</v>
      </c>
      <c r="N84" s="16" t="n">
        <v>0.08</v>
      </c>
      <c r="O84" s="16" t="n">
        <v>0.08</v>
      </c>
      <c r="P84" s="16" t="n">
        <v>0.09</v>
      </c>
      <c r="Q84" s="16" t="n">
        <v>0.6</v>
      </c>
      <c r="R84" s="16" t="n">
        <v>64</v>
      </c>
    </row>
    <row r="85">
      <c r="A85" s="5" t="inlineStr">
        <is>
          <t>UAV-44</t>
        </is>
      </c>
      <c r="B85" s="5" t="inlineStr">
        <is>
          <t>Gimbal yoke</t>
        </is>
      </c>
      <c r="C85" s="5" t="inlineStr">
        <is>
          <t>Cube</t>
        </is>
      </c>
      <c r="D85" s="5" t="inlineStr">
        <is>
          <t>Gimbal yaw (UAV-43)</t>
        </is>
      </c>
      <c r="E85" s="16" t="n">
        <v>0.07000000000000001</v>
      </c>
      <c r="F85" s="16" t="n">
        <v>0.03</v>
      </c>
      <c r="G85" s="16" t="n">
        <v>0.05</v>
      </c>
      <c r="H85" s="16" t="n">
        <v>0</v>
      </c>
      <c r="I85" s="16" t="n">
        <v>0</v>
      </c>
      <c r="J85" s="16" t="n">
        <v>0</v>
      </c>
      <c r="K85" s="16" t="n">
        <v>0</v>
      </c>
      <c r="L85" s="16" t="n">
        <v>-0.015</v>
      </c>
      <c r="M85" s="16" t="n">
        <v>0</v>
      </c>
      <c r="N85" s="16" t="n">
        <v>0.08</v>
      </c>
      <c r="O85" s="16" t="n">
        <v>0.08</v>
      </c>
      <c r="P85" s="16" t="n">
        <v>0.09</v>
      </c>
      <c r="Q85" s="16" t="n">
        <v>0.6</v>
      </c>
      <c r="R85" s="16" t="n">
        <v>64</v>
      </c>
    </row>
    <row r="86">
      <c r="A86" s="5" t="inlineStr">
        <is>
          <t>UAV-46</t>
        </is>
      </c>
      <c r="B86" s="5" t="inlineStr">
        <is>
          <t>Lamp housing</t>
        </is>
      </c>
      <c r="C86" s="5" t="inlineStr">
        <is>
          <t>Cylinder</t>
        </is>
      </c>
      <c r="D86" s="5" t="inlineStr">
        <is>
          <t>Gimbal pitch (UAV-45)</t>
        </is>
      </c>
      <c r="E86" s="16" t="n">
        <v>0.06</v>
      </c>
      <c r="F86" s="16" t="n">
        <v>0.06</v>
      </c>
      <c r="G86" s="16" t="n">
        <v>0.08</v>
      </c>
      <c r="H86" s="16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0.3</v>
      </c>
      <c r="O86" s="16" t="n">
        <v>0.31</v>
      </c>
      <c r="P86" s="16" t="n">
        <v>0.33</v>
      </c>
      <c r="Q86" s="16" t="n">
        <v>0.8</v>
      </c>
      <c r="R86" s="16" t="n">
        <v>96</v>
      </c>
    </row>
    <row r="87">
      <c r="A87" s="5" t="inlineStr">
        <is>
          <t>UAV-47</t>
        </is>
      </c>
      <c r="B87" s="5" t="inlineStr">
        <is>
          <t>Lens</t>
        </is>
      </c>
      <c r="C87" s="5" t="inlineStr">
        <is>
          <t>Sphere</t>
        </is>
      </c>
      <c r="D87" s="5" t="inlineStr">
        <is>
          <t>Gimbal pitch (UAV-45)</t>
        </is>
      </c>
      <c r="E87" s="16" t="n">
        <v>0.05</v>
      </c>
      <c r="F87" s="16" t="n">
        <v>0.05</v>
      </c>
      <c r="G87" s="16" t="n">
        <v>0.015</v>
      </c>
      <c r="H87" s="16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16" t="n">
        <v>0.045</v>
      </c>
      <c r="N87" s="16" t="n">
        <v>1</v>
      </c>
      <c r="O87" s="16" t="n">
        <v>0.97</v>
      </c>
      <c r="P87" s="16" t="n">
        <v>0.85</v>
      </c>
      <c r="Q87" s="16" t="n">
        <v>1</v>
      </c>
      <c r="R87" s="16" t="n">
        <v>128</v>
      </c>
    </row>
    <row r="88">
      <c r="A88" s="5" t="inlineStr">
        <is>
          <t>UAV-48</t>
        </is>
      </c>
      <c r="B88" s="5" t="inlineStr">
        <is>
          <t>Thermal camera</t>
        </is>
      </c>
      <c r="C88" s="5" t="inlineStr">
        <is>
          <t>Cube</t>
        </is>
      </c>
      <c r="D88" s="5" t="inlineStr">
        <is>
          <t>Gimbal pitch (UAV-45)</t>
        </is>
      </c>
      <c r="E88" s="16" t="n">
        <v>0.03</v>
      </c>
      <c r="F88" s="16" t="n">
        <v>0.025</v>
      </c>
      <c r="G88" s="16" t="n">
        <v>0.035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0.042</v>
      </c>
      <c r="M88" s="16" t="n">
        <v>0</v>
      </c>
      <c r="N88" s="16" t="n">
        <v>0.08</v>
      </c>
      <c r="O88" s="16" t="n">
        <v>0.08</v>
      </c>
      <c r="P88" s="16" t="n">
        <v>0.09</v>
      </c>
      <c r="Q88" s="16" t="n">
        <v>0.6</v>
      </c>
      <c r="R88" s="16" t="n">
        <v>64</v>
      </c>
    </row>
    <row r="89">
      <c r="A89" s="5" t="inlineStr">
        <is>
          <t>UAV-83</t>
        </is>
      </c>
      <c r="B89" s="5" t="inlineStr">
        <is>
          <t>Light cone</t>
        </is>
      </c>
      <c r="C89" s="5" t="inlineStr">
        <is>
          <t>Cylinder (frustum)</t>
        </is>
      </c>
      <c r="D89" s="5" t="inlineStr">
        <is>
          <t>Gimbal pitch (UAV-45)</t>
        </is>
      </c>
      <c r="E89" s="16" t="n">
        <v>4.8588</v>
      </c>
      <c r="F89" s="16" t="n">
        <v>4.8588</v>
      </c>
      <c r="G89" s="16" t="n">
        <v>9.7437</v>
      </c>
      <c r="H89" s="16" t="n">
        <v>0</v>
      </c>
      <c r="I89" s="16" t="n">
        <v>0</v>
      </c>
      <c r="J89" s="16" t="n">
        <v>0</v>
      </c>
      <c r="K89" s="16" t="n">
        <v>0</v>
      </c>
      <c r="L89" s="16" t="n">
        <v>0</v>
      </c>
      <c r="M89" s="16" t="n">
        <v>4.9169</v>
      </c>
      <c r="N89" s="16" t="n">
        <v>1</v>
      </c>
      <c r="O89" s="16" t="n">
        <v>0.95</v>
      </c>
      <c r="P89" s="16" t="n">
        <v>0.8</v>
      </c>
      <c r="Q89" s="16" t="n">
        <v>0</v>
      </c>
      <c r="R89" s="16" t="n">
        <v>1</v>
      </c>
    </row>
    <row r="90">
      <c r="A90" s="5" t="inlineStr">
        <is>
          <t>UAV-94</t>
        </is>
      </c>
      <c r="B90" s="5" t="inlineStr">
        <is>
          <t>Camera window</t>
        </is>
      </c>
      <c r="C90" s="5" t="inlineStr">
        <is>
          <t>Sphere</t>
        </is>
      </c>
      <c r="D90" s="5" t="inlineStr">
        <is>
          <t>Gimbal pitch (UAV-45)</t>
        </is>
      </c>
      <c r="E90" s="16" t="n">
        <v>0.018</v>
      </c>
      <c r="F90" s="16" t="n">
        <v>0.018</v>
      </c>
      <c r="G90" s="16" t="n">
        <v>0.006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0.042</v>
      </c>
      <c r="M90" s="16" t="n">
        <v>0.018</v>
      </c>
      <c r="N90" s="16" t="n">
        <v>0.05</v>
      </c>
      <c r="O90" s="16" t="n">
        <v>0.05</v>
      </c>
      <c r="P90" s="16" t="n">
        <v>0.06</v>
      </c>
      <c r="Q90" s="16" t="n">
        <v>0.9</v>
      </c>
      <c r="R90" s="16" t="n">
        <v>128</v>
      </c>
    </row>
    <row r="91">
      <c r="A91" s="5" t="inlineStr">
        <is>
          <t>UAV-50</t>
        </is>
      </c>
      <c r="B91" s="5" t="inlineStr">
        <is>
          <t>Rail</t>
        </is>
      </c>
      <c r="C91" s="5" t="inlineStr">
        <is>
          <t>Cube</t>
        </is>
      </c>
      <c r="D91" s="5" t="inlineStr">
        <is>
          <t>Launcher rail L (UAV-49)</t>
        </is>
      </c>
      <c r="E91" s="16" t="n">
        <v>0.012</v>
      </c>
      <c r="F91" s="16" t="n">
        <v>0.012</v>
      </c>
      <c r="G91" s="16" t="n">
        <v>0.22</v>
      </c>
      <c r="H91" s="16" t="n">
        <v>0</v>
      </c>
      <c r="I91" s="16" t="n">
        <v>0</v>
      </c>
      <c r="J91" s="16" t="n">
        <v>0</v>
      </c>
      <c r="K91" s="16" t="n">
        <v>0</v>
      </c>
      <c r="L91" s="16" t="n">
        <v>0.012</v>
      </c>
      <c r="M91" s="16" t="n">
        <v>0</v>
      </c>
      <c r="N91" s="16" t="n">
        <v>0.2</v>
      </c>
      <c r="O91" s="16" t="n">
        <v>0.21</v>
      </c>
      <c r="P91" s="16" t="n">
        <v>0.2</v>
      </c>
      <c r="Q91" s="16" t="n">
        <v>0.5</v>
      </c>
      <c r="R91" s="16" t="n">
        <v>64</v>
      </c>
    </row>
    <row r="92">
      <c r="A92" s="5" t="inlineStr">
        <is>
          <t>UAV-51</t>
        </is>
      </c>
      <c r="B92" s="5" t="inlineStr">
        <is>
          <t>Rail strut</t>
        </is>
      </c>
      <c r="C92" s="5" t="inlineStr">
        <is>
          <t>Cube</t>
        </is>
      </c>
      <c r="D92" s="5" t="inlineStr">
        <is>
          <t>Launcher rail L (UAV-49)</t>
        </is>
      </c>
      <c r="E92" s="16" t="n">
        <v>0.008</v>
      </c>
      <c r="F92" s="16" t="n">
        <v>0.02</v>
      </c>
      <c r="G92" s="16" t="n">
        <v>0.008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0.025</v>
      </c>
      <c r="M92" s="16" t="n">
        <v>0.05</v>
      </c>
      <c r="N92" s="16" t="n">
        <v>0.2</v>
      </c>
      <c r="O92" s="16" t="n">
        <v>0.21</v>
      </c>
      <c r="P92" s="16" t="n">
        <v>0.2</v>
      </c>
      <c r="Q92" s="16" t="n">
        <v>0.5</v>
      </c>
      <c r="R92" s="16" t="n">
        <v>64</v>
      </c>
    </row>
    <row r="93">
      <c r="A93" s="5" t="inlineStr">
        <is>
          <t>UAV-53</t>
        </is>
      </c>
      <c r="B93" s="5" t="inlineStr">
        <is>
          <t>Round body</t>
        </is>
      </c>
      <c r="C93" s="5" t="inlineStr">
        <is>
          <t>Cylinder</t>
        </is>
      </c>
      <c r="D93" s="5" t="inlineStr">
        <is>
          <t>Round (UAV-52)</t>
        </is>
      </c>
      <c r="E93" s="16" t="n">
        <v>0.022</v>
      </c>
      <c r="F93" s="16" t="n">
        <v>0.022</v>
      </c>
      <c r="G93" s="16" t="n">
        <v>0.17</v>
      </c>
      <c r="H93" s="16" t="n">
        <v>0</v>
      </c>
      <c r="I93" s="16" t="n">
        <v>0</v>
      </c>
      <c r="J93" s="16" t="n">
        <v>0</v>
      </c>
      <c r="K93" s="16" t="n">
        <v>0</v>
      </c>
      <c r="L93" s="16" t="n">
        <v>0</v>
      </c>
      <c r="M93" s="16" t="n">
        <v>0</v>
      </c>
      <c r="N93" s="16" t="n">
        <v>0.32</v>
      </c>
      <c r="O93" s="16" t="n">
        <v>0.34</v>
      </c>
      <c r="P93" s="16" t="n">
        <v>0.28</v>
      </c>
      <c r="Q93" s="16" t="n">
        <v>0.5</v>
      </c>
      <c r="R93" s="16" t="n">
        <v>64</v>
      </c>
    </row>
    <row r="94">
      <c r="A94" s="5" t="inlineStr">
        <is>
          <t>UAV-54</t>
        </is>
      </c>
      <c r="B94" s="5" t="inlineStr">
        <is>
          <t>Round nose</t>
        </is>
      </c>
      <c r="C94" s="5" t="inlineStr">
        <is>
          <t>Cone</t>
        </is>
      </c>
      <c r="D94" s="5" t="inlineStr">
        <is>
          <t>Round (UAV-52)</t>
        </is>
      </c>
      <c r="E94" s="16" t="n">
        <v>0.022</v>
      </c>
      <c r="F94" s="16" t="n">
        <v>0.022</v>
      </c>
      <c r="G94" s="16" t="n">
        <v>0.04</v>
      </c>
      <c r="H94" s="16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16" t="n">
        <v>0.105</v>
      </c>
      <c r="N94" s="16" t="n">
        <v>0.05</v>
      </c>
      <c r="O94" s="16" t="n">
        <v>0.05</v>
      </c>
      <c r="P94" s="16" t="n">
        <v>0.06</v>
      </c>
      <c r="Q94" s="16" t="n">
        <v>0.9</v>
      </c>
      <c r="R94" s="16" t="n">
        <v>128</v>
      </c>
    </row>
    <row r="95">
      <c r="A95" s="5" t="inlineStr">
        <is>
          <t>UAV-55</t>
        </is>
      </c>
      <c r="B95" s="5" t="inlineStr">
        <is>
          <t>Round fin</t>
        </is>
      </c>
      <c r="C95" s="5" t="inlineStr">
        <is>
          <t>Cube</t>
        </is>
      </c>
      <c r="D95" s="5" t="inlineStr">
        <is>
          <t>Round (UAV-52)</t>
        </is>
      </c>
      <c r="E95" s="16" t="n">
        <v>0.002</v>
      </c>
      <c r="F95" s="16" t="n">
        <v>0.03</v>
      </c>
      <c r="G95" s="16" t="n">
        <v>0.03</v>
      </c>
      <c r="H95" s="16" t="n">
        <v>0</v>
      </c>
      <c r="I95" s="16" t="n">
        <v>0</v>
      </c>
      <c r="J95" s="16" t="n">
        <v>45</v>
      </c>
      <c r="K95" s="16" t="n">
        <v>0</v>
      </c>
      <c r="L95" s="16" t="n">
        <v>0</v>
      </c>
      <c r="M95" s="16" t="n">
        <v>-0.07000000000000001</v>
      </c>
      <c r="N95" s="16" t="n">
        <v>0.2</v>
      </c>
      <c r="O95" s="16" t="n">
        <v>0.21</v>
      </c>
      <c r="P95" s="16" t="n">
        <v>0.2</v>
      </c>
      <c r="Q95" s="16" t="n">
        <v>0.5</v>
      </c>
      <c r="R95" s="16" t="n">
        <v>64</v>
      </c>
    </row>
    <row r="96">
      <c r="A96" s="5" t="inlineStr">
        <is>
          <t>UAV-56</t>
        </is>
      </c>
      <c r="B96" s="5" t="inlineStr">
        <is>
          <t>Round fin</t>
        </is>
      </c>
      <c r="C96" s="5" t="inlineStr">
        <is>
          <t>Cube</t>
        </is>
      </c>
      <c r="D96" s="5" t="inlineStr">
        <is>
          <t>Round (UAV-52)</t>
        </is>
      </c>
      <c r="E96" s="16" t="n">
        <v>0.002</v>
      </c>
      <c r="F96" s="16" t="n">
        <v>0.03</v>
      </c>
      <c r="G96" s="16" t="n">
        <v>0.03</v>
      </c>
      <c r="H96" s="16" t="n">
        <v>0</v>
      </c>
      <c r="I96" s="16" t="n">
        <v>0</v>
      </c>
      <c r="J96" s="16" t="n">
        <v>135</v>
      </c>
      <c r="K96" s="16" t="n">
        <v>0</v>
      </c>
      <c r="L96" s="16" t="n">
        <v>0</v>
      </c>
      <c r="M96" s="16" t="n">
        <v>-0.07000000000000001</v>
      </c>
      <c r="N96" s="16" t="n">
        <v>0.2</v>
      </c>
      <c r="O96" s="16" t="n">
        <v>0.21</v>
      </c>
      <c r="P96" s="16" t="n">
        <v>0.2</v>
      </c>
      <c r="Q96" s="16" t="n">
        <v>0.5</v>
      </c>
      <c r="R96" s="16" t="n">
        <v>64</v>
      </c>
    </row>
    <row r="97">
      <c r="A97" s="5" t="inlineStr">
        <is>
          <t>UAV-57</t>
        </is>
      </c>
      <c r="B97" s="5" t="inlineStr">
        <is>
          <t>Round fin</t>
        </is>
      </c>
      <c r="C97" s="5" t="inlineStr">
        <is>
          <t>Cube</t>
        </is>
      </c>
      <c r="D97" s="5" t="inlineStr">
        <is>
          <t>Round (UAV-52)</t>
        </is>
      </c>
      <c r="E97" s="16" t="n">
        <v>0.002</v>
      </c>
      <c r="F97" s="16" t="n">
        <v>0.03</v>
      </c>
      <c r="G97" s="16" t="n">
        <v>0.03</v>
      </c>
      <c r="H97" s="16" t="n">
        <v>0</v>
      </c>
      <c r="I97" s="16" t="n">
        <v>0</v>
      </c>
      <c r="J97" s="16" t="n">
        <v>225</v>
      </c>
      <c r="K97" s="16" t="n">
        <v>0</v>
      </c>
      <c r="L97" s="16" t="n">
        <v>0</v>
      </c>
      <c r="M97" s="16" t="n">
        <v>-0.07000000000000001</v>
      </c>
      <c r="N97" s="16" t="n">
        <v>0.2</v>
      </c>
      <c r="O97" s="16" t="n">
        <v>0.21</v>
      </c>
      <c r="P97" s="16" t="n">
        <v>0.2</v>
      </c>
      <c r="Q97" s="16" t="n">
        <v>0.5</v>
      </c>
      <c r="R97" s="16" t="n">
        <v>64</v>
      </c>
    </row>
    <row r="98">
      <c r="A98" s="5" t="inlineStr">
        <is>
          <t>UAV-58</t>
        </is>
      </c>
      <c r="B98" s="5" t="inlineStr">
        <is>
          <t>Round fin</t>
        </is>
      </c>
      <c r="C98" s="5" t="inlineStr">
        <is>
          <t>Cube</t>
        </is>
      </c>
      <c r="D98" s="5" t="inlineStr">
        <is>
          <t>Round (UAV-52)</t>
        </is>
      </c>
      <c r="E98" s="16" t="n">
        <v>0.002</v>
      </c>
      <c r="F98" s="16" t="n">
        <v>0.03</v>
      </c>
      <c r="G98" s="16" t="n">
        <v>0.03</v>
      </c>
      <c r="H98" s="16" t="n">
        <v>0</v>
      </c>
      <c r="I98" s="16" t="n">
        <v>0</v>
      </c>
      <c r="J98" s="16" t="n">
        <v>315</v>
      </c>
      <c r="K98" s="16" t="n">
        <v>0</v>
      </c>
      <c r="L98" s="16" t="n">
        <v>0</v>
      </c>
      <c r="M98" s="16" t="n">
        <v>-0.07000000000000001</v>
      </c>
      <c r="N98" s="16" t="n">
        <v>0.2</v>
      </c>
      <c r="O98" s="16" t="n">
        <v>0.21</v>
      </c>
      <c r="P98" s="16" t="n">
        <v>0.2</v>
      </c>
      <c r="Q98" s="16" t="n">
        <v>0.5</v>
      </c>
      <c r="R98" s="16" t="n">
        <v>64</v>
      </c>
    </row>
    <row r="99">
      <c r="A99" s="5" t="inlineStr">
        <is>
          <t>UAV-60</t>
        </is>
      </c>
      <c r="B99" s="5" t="inlineStr">
        <is>
          <t>Round body</t>
        </is>
      </c>
      <c r="C99" s="5" t="inlineStr">
        <is>
          <t>Cylinder</t>
        </is>
      </c>
      <c r="D99" s="5" t="inlineStr">
        <is>
          <t>Round (UAV-59)</t>
        </is>
      </c>
      <c r="E99" s="16" t="n">
        <v>0.022</v>
      </c>
      <c r="F99" s="16" t="n">
        <v>0.022</v>
      </c>
      <c r="G99" s="16" t="n">
        <v>0.17</v>
      </c>
      <c r="H99" s="16" t="n">
        <v>0</v>
      </c>
      <c r="I99" s="16" t="n">
        <v>0</v>
      </c>
      <c r="J99" s="16" t="n">
        <v>0</v>
      </c>
      <c r="K99" s="16" t="n">
        <v>0</v>
      </c>
      <c r="L99" s="16" t="n">
        <v>0</v>
      </c>
      <c r="M99" s="16" t="n">
        <v>0</v>
      </c>
      <c r="N99" s="16" t="n">
        <v>0.32</v>
      </c>
      <c r="O99" s="16" t="n">
        <v>0.34</v>
      </c>
      <c r="P99" s="16" t="n">
        <v>0.28</v>
      </c>
      <c r="Q99" s="16" t="n">
        <v>0.5</v>
      </c>
      <c r="R99" s="16" t="n">
        <v>64</v>
      </c>
    </row>
    <row r="100">
      <c r="A100" s="5" t="inlineStr">
        <is>
          <t>UAV-61</t>
        </is>
      </c>
      <c r="B100" s="5" t="inlineStr">
        <is>
          <t>Round nose</t>
        </is>
      </c>
      <c r="C100" s="5" t="inlineStr">
        <is>
          <t>Cone</t>
        </is>
      </c>
      <c r="D100" s="5" t="inlineStr">
        <is>
          <t>Round (UAV-59)</t>
        </is>
      </c>
      <c r="E100" s="16" t="n">
        <v>0.022</v>
      </c>
      <c r="F100" s="16" t="n">
        <v>0.022</v>
      </c>
      <c r="G100" s="16" t="n">
        <v>0.04</v>
      </c>
      <c r="H100" s="16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16" t="n">
        <v>0.105</v>
      </c>
      <c r="N100" s="16" t="n">
        <v>0.05</v>
      </c>
      <c r="O100" s="16" t="n">
        <v>0.05</v>
      </c>
      <c r="P100" s="16" t="n">
        <v>0.06</v>
      </c>
      <c r="Q100" s="16" t="n">
        <v>0.9</v>
      </c>
      <c r="R100" s="16" t="n">
        <v>128</v>
      </c>
    </row>
    <row r="101">
      <c r="A101" s="5" t="inlineStr">
        <is>
          <t>UAV-62</t>
        </is>
      </c>
      <c r="B101" s="5" t="inlineStr">
        <is>
          <t>Round fin</t>
        </is>
      </c>
      <c r="C101" s="5" t="inlineStr">
        <is>
          <t>Cube</t>
        </is>
      </c>
      <c r="D101" s="5" t="inlineStr">
        <is>
          <t>Round (UAV-59)</t>
        </is>
      </c>
      <c r="E101" s="16" t="n">
        <v>0.002</v>
      </c>
      <c r="F101" s="16" t="n">
        <v>0.03</v>
      </c>
      <c r="G101" s="16" t="n">
        <v>0.03</v>
      </c>
      <c r="H101" s="16" t="n">
        <v>0</v>
      </c>
      <c r="I101" s="16" t="n">
        <v>0</v>
      </c>
      <c r="J101" s="16" t="n">
        <v>45</v>
      </c>
      <c r="K101" s="16" t="n">
        <v>0</v>
      </c>
      <c r="L101" s="16" t="n">
        <v>0</v>
      </c>
      <c r="M101" s="16" t="n">
        <v>-0.07000000000000001</v>
      </c>
      <c r="N101" s="16" t="n">
        <v>0.2</v>
      </c>
      <c r="O101" s="16" t="n">
        <v>0.21</v>
      </c>
      <c r="P101" s="16" t="n">
        <v>0.2</v>
      </c>
      <c r="Q101" s="16" t="n">
        <v>0.5</v>
      </c>
      <c r="R101" s="16" t="n">
        <v>64</v>
      </c>
    </row>
    <row r="102">
      <c r="A102" s="5" t="inlineStr">
        <is>
          <t>UAV-63</t>
        </is>
      </c>
      <c r="B102" s="5" t="inlineStr">
        <is>
          <t>Round fin</t>
        </is>
      </c>
      <c r="C102" s="5" t="inlineStr">
        <is>
          <t>Cube</t>
        </is>
      </c>
      <c r="D102" s="5" t="inlineStr">
        <is>
          <t>Round (UAV-59)</t>
        </is>
      </c>
      <c r="E102" s="16" t="n">
        <v>0.002</v>
      </c>
      <c r="F102" s="16" t="n">
        <v>0.03</v>
      </c>
      <c r="G102" s="16" t="n">
        <v>0.03</v>
      </c>
      <c r="H102" s="16" t="n">
        <v>0</v>
      </c>
      <c r="I102" s="16" t="n">
        <v>0</v>
      </c>
      <c r="J102" s="16" t="n">
        <v>135</v>
      </c>
      <c r="K102" s="16" t="n">
        <v>0</v>
      </c>
      <c r="L102" s="16" t="n">
        <v>0</v>
      </c>
      <c r="M102" s="16" t="n">
        <v>-0.07000000000000001</v>
      </c>
      <c r="N102" s="16" t="n">
        <v>0.2</v>
      </c>
      <c r="O102" s="16" t="n">
        <v>0.21</v>
      </c>
      <c r="P102" s="16" t="n">
        <v>0.2</v>
      </c>
      <c r="Q102" s="16" t="n">
        <v>0.5</v>
      </c>
      <c r="R102" s="16" t="n">
        <v>64</v>
      </c>
    </row>
    <row r="103">
      <c r="A103" s="5" t="inlineStr">
        <is>
          <t>UAV-64</t>
        </is>
      </c>
      <c r="B103" s="5" t="inlineStr">
        <is>
          <t>Round fin</t>
        </is>
      </c>
      <c r="C103" s="5" t="inlineStr">
        <is>
          <t>Cube</t>
        </is>
      </c>
      <c r="D103" s="5" t="inlineStr">
        <is>
          <t>Round (UAV-59)</t>
        </is>
      </c>
      <c r="E103" s="16" t="n">
        <v>0.002</v>
      </c>
      <c r="F103" s="16" t="n">
        <v>0.03</v>
      </c>
      <c r="G103" s="16" t="n">
        <v>0.03</v>
      </c>
      <c r="H103" s="16" t="n">
        <v>0</v>
      </c>
      <c r="I103" s="16" t="n">
        <v>0</v>
      </c>
      <c r="J103" s="16" t="n">
        <v>225</v>
      </c>
      <c r="K103" s="16" t="n">
        <v>0</v>
      </c>
      <c r="L103" s="16" t="n">
        <v>0</v>
      </c>
      <c r="M103" s="16" t="n">
        <v>-0.07000000000000001</v>
      </c>
      <c r="N103" s="16" t="n">
        <v>0.2</v>
      </c>
      <c r="O103" s="16" t="n">
        <v>0.21</v>
      </c>
      <c r="P103" s="16" t="n">
        <v>0.2</v>
      </c>
      <c r="Q103" s="16" t="n">
        <v>0.5</v>
      </c>
      <c r="R103" s="16" t="n">
        <v>64</v>
      </c>
    </row>
    <row r="104">
      <c r="A104" s="5" t="inlineStr">
        <is>
          <t>UAV-65</t>
        </is>
      </c>
      <c r="B104" s="5" t="inlineStr">
        <is>
          <t>Round fin</t>
        </is>
      </c>
      <c r="C104" s="5" t="inlineStr">
        <is>
          <t>Cube</t>
        </is>
      </c>
      <c r="D104" s="5" t="inlineStr">
        <is>
          <t>Round (UAV-59)</t>
        </is>
      </c>
      <c r="E104" s="16" t="n">
        <v>0.002</v>
      </c>
      <c r="F104" s="16" t="n">
        <v>0.03</v>
      </c>
      <c r="G104" s="16" t="n">
        <v>0.03</v>
      </c>
      <c r="H104" s="16" t="n">
        <v>0</v>
      </c>
      <c r="I104" s="16" t="n">
        <v>0</v>
      </c>
      <c r="J104" s="16" t="n">
        <v>315</v>
      </c>
      <c r="K104" s="16" t="n">
        <v>0</v>
      </c>
      <c r="L104" s="16" t="n">
        <v>0</v>
      </c>
      <c r="M104" s="16" t="n">
        <v>-0.07000000000000001</v>
      </c>
      <c r="N104" s="16" t="n">
        <v>0.2</v>
      </c>
      <c r="O104" s="16" t="n">
        <v>0.21</v>
      </c>
      <c r="P104" s="16" t="n">
        <v>0.2</v>
      </c>
      <c r="Q104" s="16" t="n">
        <v>0.5</v>
      </c>
      <c r="R104" s="16" t="n">
        <v>64</v>
      </c>
    </row>
    <row r="105">
      <c r="A105" s="5" t="inlineStr">
        <is>
          <t>UAV-67</t>
        </is>
      </c>
      <c r="B105" s="5" t="inlineStr">
        <is>
          <t>Rail</t>
        </is>
      </c>
      <c r="C105" s="5" t="inlineStr">
        <is>
          <t>Cube</t>
        </is>
      </c>
      <c r="D105" s="5" t="inlineStr">
        <is>
          <t>Launcher rail R (UAV-66)</t>
        </is>
      </c>
      <c r="E105" s="16" t="n">
        <v>0.012</v>
      </c>
      <c r="F105" s="16" t="n">
        <v>0.012</v>
      </c>
      <c r="G105" s="16" t="n">
        <v>0.22</v>
      </c>
      <c r="H105" s="16" t="n">
        <v>0</v>
      </c>
      <c r="I105" s="16" t="n">
        <v>0</v>
      </c>
      <c r="J105" s="16" t="n">
        <v>0</v>
      </c>
      <c r="K105" s="16" t="n">
        <v>0</v>
      </c>
      <c r="L105" s="16" t="n">
        <v>0.012</v>
      </c>
      <c r="M105" s="16" t="n">
        <v>0</v>
      </c>
      <c r="N105" s="16" t="n">
        <v>0.2</v>
      </c>
      <c r="O105" s="16" t="n">
        <v>0.21</v>
      </c>
      <c r="P105" s="16" t="n">
        <v>0.2</v>
      </c>
      <c r="Q105" s="16" t="n">
        <v>0.5</v>
      </c>
      <c r="R105" s="16" t="n">
        <v>64</v>
      </c>
    </row>
    <row r="106">
      <c r="A106" s="5" t="inlineStr">
        <is>
          <t>UAV-68</t>
        </is>
      </c>
      <c r="B106" s="5" t="inlineStr">
        <is>
          <t>Rail strut</t>
        </is>
      </c>
      <c r="C106" s="5" t="inlineStr">
        <is>
          <t>Cube</t>
        </is>
      </c>
      <c r="D106" s="5" t="inlineStr">
        <is>
          <t>Launcher rail R (UAV-66)</t>
        </is>
      </c>
      <c r="E106" s="16" t="n">
        <v>0.008</v>
      </c>
      <c r="F106" s="16" t="n">
        <v>0.02</v>
      </c>
      <c r="G106" s="16" t="n">
        <v>0.008</v>
      </c>
      <c r="H106" s="16" t="n">
        <v>0</v>
      </c>
      <c r="I106" s="16" t="n">
        <v>0</v>
      </c>
      <c r="J106" s="16" t="n">
        <v>0</v>
      </c>
      <c r="K106" s="16" t="n">
        <v>0</v>
      </c>
      <c r="L106" s="16" t="n">
        <v>0.025</v>
      </c>
      <c r="M106" s="16" t="n">
        <v>0.05</v>
      </c>
      <c r="N106" s="16" t="n">
        <v>0.2</v>
      </c>
      <c r="O106" s="16" t="n">
        <v>0.21</v>
      </c>
      <c r="P106" s="16" t="n">
        <v>0.2</v>
      </c>
      <c r="Q106" s="16" t="n">
        <v>0.5</v>
      </c>
      <c r="R106" s="16" t="n">
        <v>64</v>
      </c>
    </row>
    <row r="107">
      <c r="A107" s="5" t="inlineStr">
        <is>
          <t>UAV-70</t>
        </is>
      </c>
      <c r="B107" s="5" t="inlineStr">
        <is>
          <t>Round body</t>
        </is>
      </c>
      <c r="C107" s="5" t="inlineStr">
        <is>
          <t>Cylinder</t>
        </is>
      </c>
      <c r="D107" s="5" t="inlineStr">
        <is>
          <t>Round (UAV-69)</t>
        </is>
      </c>
      <c r="E107" s="16" t="n">
        <v>0.022</v>
      </c>
      <c r="F107" s="16" t="n">
        <v>0.022</v>
      </c>
      <c r="G107" s="16" t="n">
        <v>0.17</v>
      </c>
      <c r="H107" s="16" t="n">
        <v>0</v>
      </c>
      <c r="I107" s="16" t="n">
        <v>0</v>
      </c>
      <c r="J107" s="16" t="n">
        <v>0</v>
      </c>
      <c r="K107" s="16" t="n">
        <v>0</v>
      </c>
      <c r="L107" s="16" t="n">
        <v>0</v>
      </c>
      <c r="M107" s="16" t="n">
        <v>0</v>
      </c>
      <c r="N107" s="16" t="n">
        <v>0.32</v>
      </c>
      <c r="O107" s="16" t="n">
        <v>0.34</v>
      </c>
      <c r="P107" s="16" t="n">
        <v>0.28</v>
      </c>
      <c r="Q107" s="16" t="n">
        <v>0.5</v>
      </c>
      <c r="R107" s="16" t="n">
        <v>64</v>
      </c>
    </row>
    <row r="108">
      <c r="A108" s="5" t="inlineStr">
        <is>
          <t>UAV-71</t>
        </is>
      </c>
      <c r="B108" s="5" t="inlineStr">
        <is>
          <t>Round nose</t>
        </is>
      </c>
      <c r="C108" s="5" t="inlineStr">
        <is>
          <t>Cone</t>
        </is>
      </c>
      <c r="D108" s="5" t="inlineStr">
        <is>
          <t>Round (UAV-69)</t>
        </is>
      </c>
      <c r="E108" s="16" t="n">
        <v>0.022</v>
      </c>
      <c r="F108" s="16" t="n">
        <v>0.022</v>
      </c>
      <c r="G108" s="16" t="n">
        <v>0.04</v>
      </c>
      <c r="H108" s="16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0.105</v>
      </c>
      <c r="N108" s="16" t="n">
        <v>0.05</v>
      </c>
      <c r="O108" s="16" t="n">
        <v>0.05</v>
      </c>
      <c r="P108" s="16" t="n">
        <v>0.06</v>
      </c>
      <c r="Q108" s="16" t="n">
        <v>0.9</v>
      </c>
      <c r="R108" s="16" t="n">
        <v>128</v>
      </c>
    </row>
    <row r="109">
      <c r="A109" s="5" t="inlineStr">
        <is>
          <t>UAV-72</t>
        </is>
      </c>
      <c r="B109" s="5" t="inlineStr">
        <is>
          <t>Round fin</t>
        </is>
      </c>
      <c r="C109" s="5" t="inlineStr">
        <is>
          <t>Cube</t>
        </is>
      </c>
      <c r="D109" s="5" t="inlineStr">
        <is>
          <t>Round (UAV-69)</t>
        </is>
      </c>
      <c r="E109" s="16" t="n">
        <v>0.002</v>
      </c>
      <c r="F109" s="16" t="n">
        <v>0.03</v>
      </c>
      <c r="G109" s="16" t="n">
        <v>0.03</v>
      </c>
      <c r="H109" s="16" t="n">
        <v>0</v>
      </c>
      <c r="I109" s="16" t="n">
        <v>0</v>
      </c>
      <c r="J109" s="16" t="n">
        <v>45</v>
      </c>
      <c r="K109" s="16" t="n">
        <v>0</v>
      </c>
      <c r="L109" s="16" t="n">
        <v>0</v>
      </c>
      <c r="M109" s="16" t="n">
        <v>-0.07000000000000001</v>
      </c>
      <c r="N109" s="16" t="n">
        <v>0.2</v>
      </c>
      <c r="O109" s="16" t="n">
        <v>0.21</v>
      </c>
      <c r="P109" s="16" t="n">
        <v>0.2</v>
      </c>
      <c r="Q109" s="16" t="n">
        <v>0.5</v>
      </c>
      <c r="R109" s="16" t="n">
        <v>64</v>
      </c>
    </row>
    <row r="110">
      <c r="A110" s="5" t="inlineStr">
        <is>
          <t>UAV-73</t>
        </is>
      </c>
      <c r="B110" s="5" t="inlineStr">
        <is>
          <t>Round fin</t>
        </is>
      </c>
      <c r="C110" s="5" t="inlineStr">
        <is>
          <t>Cube</t>
        </is>
      </c>
      <c r="D110" s="5" t="inlineStr">
        <is>
          <t>Round (UAV-69)</t>
        </is>
      </c>
      <c r="E110" s="16" t="n">
        <v>0.002</v>
      </c>
      <c r="F110" s="16" t="n">
        <v>0.03</v>
      </c>
      <c r="G110" s="16" t="n">
        <v>0.03</v>
      </c>
      <c r="H110" s="16" t="n">
        <v>0</v>
      </c>
      <c r="I110" s="16" t="n">
        <v>0</v>
      </c>
      <c r="J110" s="16" t="n">
        <v>135</v>
      </c>
      <c r="K110" s="16" t="n">
        <v>0</v>
      </c>
      <c r="L110" s="16" t="n">
        <v>0</v>
      </c>
      <c r="M110" s="16" t="n">
        <v>-0.07000000000000001</v>
      </c>
      <c r="N110" s="16" t="n">
        <v>0.2</v>
      </c>
      <c r="O110" s="16" t="n">
        <v>0.21</v>
      </c>
      <c r="P110" s="16" t="n">
        <v>0.2</v>
      </c>
      <c r="Q110" s="16" t="n">
        <v>0.5</v>
      </c>
      <c r="R110" s="16" t="n">
        <v>64</v>
      </c>
    </row>
    <row r="111">
      <c r="A111" s="5" t="inlineStr">
        <is>
          <t>UAV-74</t>
        </is>
      </c>
      <c r="B111" s="5" t="inlineStr">
        <is>
          <t>Round fin</t>
        </is>
      </c>
      <c r="C111" s="5" t="inlineStr">
        <is>
          <t>Cube</t>
        </is>
      </c>
      <c r="D111" s="5" t="inlineStr">
        <is>
          <t>Round (UAV-69)</t>
        </is>
      </c>
      <c r="E111" s="16" t="n">
        <v>0.002</v>
      </c>
      <c r="F111" s="16" t="n">
        <v>0.03</v>
      </c>
      <c r="G111" s="16" t="n">
        <v>0.03</v>
      </c>
      <c r="H111" s="16" t="n">
        <v>0</v>
      </c>
      <c r="I111" s="16" t="n">
        <v>0</v>
      </c>
      <c r="J111" s="16" t="n">
        <v>225</v>
      </c>
      <c r="K111" s="16" t="n">
        <v>0</v>
      </c>
      <c r="L111" s="16" t="n">
        <v>0</v>
      </c>
      <c r="M111" s="16" t="n">
        <v>-0.07000000000000001</v>
      </c>
      <c r="N111" s="16" t="n">
        <v>0.2</v>
      </c>
      <c r="O111" s="16" t="n">
        <v>0.21</v>
      </c>
      <c r="P111" s="16" t="n">
        <v>0.2</v>
      </c>
      <c r="Q111" s="16" t="n">
        <v>0.5</v>
      </c>
      <c r="R111" s="16" t="n">
        <v>64</v>
      </c>
    </row>
    <row r="112">
      <c r="A112" s="5" t="inlineStr">
        <is>
          <t>UAV-75</t>
        </is>
      </c>
      <c r="B112" s="5" t="inlineStr">
        <is>
          <t>Round fin</t>
        </is>
      </c>
      <c r="C112" s="5" t="inlineStr">
        <is>
          <t>Cube</t>
        </is>
      </c>
      <c r="D112" s="5" t="inlineStr">
        <is>
          <t>Round (UAV-69)</t>
        </is>
      </c>
      <c r="E112" s="16" t="n">
        <v>0.002</v>
      </c>
      <c r="F112" s="16" t="n">
        <v>0.03</v>
      </c>
      <c r="G112" s="16" t="n">
        <v>0.03</v>
      </c>
      <c r="H112" s="16" t="n">
        <v>0</v>
      </c>
      <c r="I112" s="16" t="n">
        <v>0</v>
      </c>
      <c r="J112" s="16" t="n">
        <v>315</v>
      </c>
      <c r="K112" s="16" t="n">
        <v>0</v>
      </c>
      <c r="L112" s="16" t="n">
        <v>0</v>
      </c>
      <c r="M112" s="16" t="n">
        <v>-0.07000000000000001</v>
      </c>
      <c r="N112" s="16" t="n">
        <v>0.2</v>
      </c>
      <c r="O112" s="16" t="n">
        <v>0.21</v>
      </c>
      <c r="P112" s="16" t="n">
        <v>0.2</v>
      </c>
      <c r="Q112" s="16" t="n">
        <v>0.5</v>
      </c>
      <c r="R112" s="16" t="n">
        <v>64</v>
      </c>
    </row>
    <row r="113">
      <c r="A113" s="5" t="inlineStr">
        <is>
          <t>UAV-77</t>
        </is>
      </c>
      <c r="B113" s="5" t="inlineStr">
        <is>
          <t>Round body</t>
        </is>
      </c>
      <c r="C113" s="5" t="inlineStr">
        <is>
          <t>Cylinder</t>
        </is>
      </c>
      <c r="D113" s="5" t="inlineStr">
        <is>
          <t>Round (UAV-76)</t>
        </is>
      </c>
      <c r="E113" s="16" t="n">
        <v>0.022</v>
      </c>
      <c r="F113" s="16" t="n">
        <v>0.022</v>
      </c>
      <c r="G113" s="16" t="n">
        <v>0.17</v>
      </c>
      <c r="H113" s="16" t="n">
        <v>0</v>
      </c>
      <c r="I113" s="16" t="n">
        <v>0</v>
      </c>
      <c r="J113" s="16" t="n">
        <v>0</v>
      </c>
      <c r="K113" s="16" t="n">
        <v>0</v>
      </c>
      <c r="L113" s="16" t="n">
        <v>0</v>
      </c>
      <c r="M113" s="16" t="n">
        <v>0</v>
      </c>
      <c r="N113" s="16" t="n">
        <v>0.32</v>
      </c>
      <c r="O113" s="16" t="n">
        <v>0.34</v>
      </c>
      <c r="P113" s="16" t="n">
        <v>0.28</v>
      </c>
      <c r="Q113" s="16" t="n">
        <v>0.5</v>
      </c>
      <c r="R113" s="16" t="n">
        <v>64</v>
      </c>
    </row>
    <row r="114">
      <c r="A114" s="5" t="inlineStr">
        <is>
          <t>UAV-78</t>
        </is>
      </c>
      <c r="B114" s="5" t="inlineStr">
        <is>
          <t>Round nose</t>
        </is>
      </c>
      <c r="C114" s="5" t="inlineStr">
        <is>
          <t>Cone</t>
        </is>
      </c>
      <c r="D114" s="5" t="inlineStr">
        <is>
          <t>Round (UAV-76)</t>
        </is>
      </c>
      <c r="E114" s="16" t="n">
        <v>0.022</v>
      </c>
      <c r="F114" s="16" t="n">
        <v>0.022</v>
      </c>
      <c r="G114" s="16" t="n">
        <v>0.04</v>
      </c>
      <c r="H114" s="16" t="n">
        <v>0</v>
      </c>
      <c r="I114" s="16" t="n">
        <v>0</v>
      </c>
      <c r="J114" s="16" t="n">
        <v>0</v>
      </c>
      <c r="K114" s="16" t="n">
        <v>0</v>
      </c>
      <c r="L114" s="16" t="n">
        <v>0</v>
      </c>
      <c r="M114" s="16" t="n">
        <v>0.105</v>
      </c>
      <c r="N114" s="16" t="n">
        <v>0.05</v>
      </c>
      <c r="O114" s="16" t="n">
        <v>0.05</v>
      </c>
      <c r="P114" s="16" t="n">
        <v>0.06</v>
      </c>
      <c r="Q114" s="16" t="n">
        <v>0.9</v>
      </c>
      <c r="R114" s="16" t="n">
        <v>128</v>
      </c>
    </row>
    <row r="115">
      <c r="A115" s="5" t="inlineStr">
        <is>
          <t>UAV-79</t>
        </is>
      </c>
      <c r="B115" s="5" t="inlineStr">
        <is>
          <t>Round fin</t>
        </is>
      </c>
      <c r="C115" s="5" t="inlineStr">
        <is>
          <t>Cube</t>
        </is>
      </c>
      <c r="D115" s="5" t="inlineStr">
        <is>
          <t>Round (UAV-76)</t>
        </is>
      </c>
      <c r="E115" s="16" t="n">
        <v>0.002</v>
      </c>
      <c r="F115" s="16" t="n">
        <v>0.03</v>
      </c>
      <c r="G115" s="16" t="n">
        <v>0.03</v>
      </c>
      <c r="H115" s="16" t="n">
        <v>0</v>
      </c>
      <c r="I115" s="16" t="n">
        <v>0</v>
      </c>
      <c r="J115" s="16" t="n">
        <v>45</v>
      </c>
      <c r="K115" s="16" t="n">
        <v>0</v>
      </c>
      <c r="L115" s="16" t="n">
        <v>0</v>
      </c>
      <c r="M115" s="16" t="n">
        <v>-0.07000000000000001</v>
      </c>
      <c r="N115" s="16" t="n">
        <v>0.2</v>
      </c>
      <c r="O115" s="16" t="n">
        <v>0.21</v>
      </c>
      <c r="P115" s="16" t="n">
        <v>0.2</v>
      </c>
      <c r="Q115" s="16" t="n">
        <v>0.5</v>
      </c>
      <c r="R115" s="16" t="n">
        <v>64</v>
      </c>
    </row>
    <row r="116">
      <c r="A116" s="5" t="inlineStr">
        <is>
          <t>UAV-80</t>
        </is>
      </c>
      <c r="B116" s="5" t="inlineStr">
        <is>
          <t>Round fin</t>
        </is>
      </c>
      <c r="C116" s="5" t="inlineStr">
        <is>
          <t>Cube</t>
        </is>
      </c>
      <c r="D116" s="5" t="inlineStr">
        <is>
          <t>Round (UAV-76)</t>
        </is>
      </c>
      <c r="E116" s="16" t="n">
        <v>0.002</v>
      </c>
      <c r="F116" s="16" t="n">
        <v>0.03</v>
      </c>
      <c r="G116" s="16" t="n">
        <v>0.03</v>
      </c>
      <c r="H116" s="16" t="n">
        <v>0</v>
      </c>
      <c r="I116" s="16" t="n">
        <v>0</v>
      </c>
      <c r="J116" s="16" t="n">
        <v>135</v>
      </c>
      <c r="K116" s="16" t="n">
        <v>0</v>
      </c>
      <c r="L116" s="16" t="n">
        <v>0</v>
      </c>
      <c r="M116" s="16" t="n">
        <v>-0.07000000000000001</v>
      </c>
      <c r="N116" s="16" t="n">
        <v>0.2</v>
      </c>
      <c r="O116" s="16" t="n">
        <v>0.21</v>
      </c>
      <c r="P116" s="16" t="n">
        <v>0.2</v>
      </c>
      <c r="Q116" s="16" t="n">
        <v>0.5</v>
      </c>
      <c r="R116" s="16" t="n">
        <v>64</v>
      </c>
    </row>
    <row r="117">
      <c r="A117" s="5" t="inlineStr">
        <is>
          <t>UAV-81</t>
        </is>
      </c>
      <c r="B117" s="5" t="inlineStr">
        <is>
          <t>Round fin</t>
        </is>
      </c>
      <c r="C117" s="5" t="inlineStr">
        <is>
          <t>Cube</t>
        </is>
      </c>
      <c r="D117" s="5" t="inlineStr">
        <is>
          <t>Round (UAV-76)</t>
        </is>
      </c>
      <c r="E117" s="16" t="n">
        <v>0.002</v>
      </c>
      <c r="F117" s="16" t="n">
        <v>0.03</v>
      </c>
      <c r="G117" s="16" t="n">
        <v>0.03</v>
      </c>
      <c r="H117" s="16" t="n">
        <v>0</v>
      </c>
      <c r="I117" s="16" t="n">
        <v>0</v>
      </c>
      <c r="J117" s="16" t="n">
        <v>225</v>
      </c>
      <c r="K117" s="16" t="n">
        <v>0</v>
      </c>
      <c r="L117" s="16" t="n">
        <v>0</v>
      </c>
      <c r="M117" s="16" t="n">
        <v>-0.07000000000000001</v>
      </c>
      <c r="N117" s="16" t="n">
        <v>0.2</v>
      </c>
      <c r="O117" s="16" t="n">
        <v>0.21</v>
      </c>
      <c r="P117" s="16" t="n">
        <v>0.2</v>
      </c>
      <c r="Q117" s="16" t="n">
        <v>0.5</v>
      </c>
      <c r="R117" s="16" t="n">
        <v>64</v>
      </c>
    </row>
    <row r="118">
      <c r="A118" s="5" t="inlineStr">
        <is>
          <t>UAV-82</t>
        </is>
      </c>
      <c r="B118" s="5" t="inlineStr">
        <is>
          <t>Round fin</t>
        </is>
      </c>
      <c r="C118" s="5" t="inlineStr">
        <is>
          <t>Cube</t>
        </is>
      </c>
      <c r="D118" s="5" t="inlineStr">
        <is>
          <t>Round (UAV-76)</t>
        </is>
      </c>
      <c r="E118" s="16" t="n">
        <v>0.002</v>
      </c>
      <c r="F118" s="16" t="n">
        <v>0.03</v>
      </c>
      <c r="G118" s="16" t="n">
        <v>0.03</v>
      </c>
      <c r="H118" s="16" t="n">
        <v>0</v>
      </c>
      <c r="I118" s="16" t="n">
        <v>0</v>
      </c>
      <c r="J118" s="16" t="n">
        <v>315</v>
      </c>
      <c r="K118" s="16" t="n">
        <v>0</v>
      </c>
      <c r="L118" s="16" t="n">
        <v>0</v>
      </c>
      <c r="M118" s="16" t="n">
        <v>-0.07000000000000001</v>
      </c>
      <c r="N118" s="16" t="n">
        <v>0.2</v>
      </c>
      <c r="O118" s="16" t="n">
        <v>0.21</v>
      </c>
      <c r="P118" s="16" t="n">
        <v>0.2</v>
      </c>
      <c r="Q118" s="16" t="n">
        <v>0.5</v>
      </c>
      <c r="R118" s="16" t="n">
        <v>64</v>
      </c>
    </row>
    <row r="119">
      <c r="A119" s="5" t="inlineStr">
        <is>
          <t>UAV-90</t>
        </is>
      </c>
      <c r="B119" s="5" t="inlineStr">
        <is>
          <t>Telemetry antenna</t>
        </is>
      </c>
      <c r="C119" s="5" t="inlineStr">
        <is>
          <t>Cylinder</t>
        </is>
      </c>
      <c r="D119" s="5" t="inlineStr">
        <is>
          <t>Autonomous UAV (UAV-00)</t>
        </is>
      </c>
      <c r="E119" s="16" t="n">
        <v>0.005</v>
      </c>
      <c r="F119" s="16" t="n">
        <v>0.005</v>
      </c>
      <c r="G119" s="16" t="n">
        <v>0.09</v>
      </c>
      <c r="H119" s="16" t="n">
        <v>-35</v>
      </c>
      <c r="I119" s="16" t="n">
        <v>0</v>
      </c>
      <c r="J119" s="16" t="n">
        <v>0</v>
      </c>
      <c r="K119" s="16" t="n">
        <v>-0.05</v>
      </c>
      <c r="L119" s="16" t="n">
        <v>-0.04</v>
      </c>
      <c r="M119" s="16" t="n">
        <v>-0.13</v>
      </c>
      <c r="N119" s="16" t="n">
        <v>0.08</v>
      </c>
      <c r="O119" s="16" t="n">
        <v>0.08</v>
      </c>
      <c r="P119" s="16" t="n">
        <v>0.09</v>
      </c>
      <c r="Q119" s="16" t="n">
        <v>0.6</v>
      </c>
      <c r="R119" s="16" t="n">
        <v>64</v>
      </c>
    </row>
    <row r="120">
      <c r="A120" s="5" t="inlineStr">
        <is>
          <t>UAV-91</t>
        </is>
      </c>
      <c r="B120" s="5" t="inlineStr">
        <is>
          <t>Telemetry antenna</t>
        </is>
      </c>
      <c r="C120" s="5" t="inlineStr">
        <is>
          <t>Cylinder</t>
        </is>
      </c>
      <c r="D120" s="5" t="inlineStr">
        <is>
          <t>Autonomous UAV (UAV-00)</t>
        </is>
      </c>
      <c r="E120" s="16" t="n">
        <v>0.005</v>
      </c>
      <c r="F120" s="16" t="n">
        <v>0.005</v>
      </c>
      <c r="G120" s="16" t="n">
        <v>0.09</v>
      </c>
      <c r="H120" s="16" t="n">
        <v>-35</v>
      </c>
      <c r="I120" s="16" t="n">
        <v>0</v>
      </c>
      <c r="J120" s="16" t="n">
        <v>0</v>
      </c>
      <c r="K120" s="16" t="n">
        <v>0.05</v>
      </c>
      <c r="L120" s="16" t="n">
        <v>-0.04</v>
      </c>
      <c r="M120" s="16" t="n">
        <v>-0.13</v>
      </c>
      <c r="N120" s="16" t="n">
        <v>0.08</v>
      </c>
      <c r="O120" s="16" t="n">
        <v>0.08</v>
      </c>
      <c r="P120" s="16" t="n">
        <v>0.09</v>
      </c>
      <c r="Q120" s="16" t="n">
        <v>0.6</v>
      </c>
      <c r="R120" s="16" t="n">
        <v>64</v>
      </c>
    </row>
    <row r="121">
      <c r="A121" s="5" t="inlineStr">
        <is>
          <t>UAV-92</t>
        </is>
      </c>
      <c r="B121" s="5" t="inlineStr">
        <is>
          <t>Battery strap</t>
        </is>
      </c>
      <c r="C121" s="5" t="inlineStr">
        <is>
          <t>Cube</t>
        </is>
      </c>
      <c r="D121" s="5" t="inlineStr">
        <is>
          <t>Autonomous UAV (UAV-00)</t>
        </is>
      </c>
      <c r="E121" s="16" t="n">
        <v>0.106</v>
      </c>
      <c r="F121" s="16" t="n">
        <v>0.044</v>
      </c>
      <c r="G121" s="16" t="n">
        <v>0.012</v>
      </c>
      <c r="H121" s="16" t="n">
        <v>0</v>
      </c>
      <c r="I121" s="16" t="n">
        <v>0</v>
      </c>
      <c r="J121" s="16" t="n">
        <v>0</v>
      </c>
      <c r="K121" s="16" t="n">
        <v>0</v>
      </c>
      <c r="L121" s="16" t="n">
        <v>-0.055</v>
      </c>
      <c r="M121" s="16" t="n">
        <v>-0.07000000000000001</v>
      </c>
      <c r="N121" s="16" t="n">
        <v>0.55</v>
      </c>
      <c r="O121" s="16" t="n">
        <v>0.22</v>
      </c>
      <c r="P121" s="16" t="n">
        <v>0.05</v>
      </c>
      <c r="Q121" s="16" t="n">
        <v>0.1</v>
      </c>
      <c r="R121" s="16" t="n">
        <v>3.0314</v>
      </c>
    </row>
    <row r="122">
      <c r="A122" s="5" t="inlineStr">
        <is>
          <t>UAV-93</t>
        </is>
      </c>
      <c r="B122" s="5" t="inlineStr">
        <is>
          <t>Battery strap</t>
        </is>
      </c>
      <c r="C122" s="5" t="inlineStr">
        <is>
          <t>Cube</t>
        </is>
      </c>
      <c r="D122" s="5" t="inlineStr">
        <is>
          <t>Autonomous UAV (UAV-00)</t>
        </is>
      </c>
      <c r="E122" s="16" t="n">
        <v>0.106</v>
      </c>
      <c r="F122" s="16" t="n">
        <v>0.044</v>
      </c>
      <c r="G122" s="16" t="n">
        <v>0.012</v>
      </c>
      <c r="H122" s="16" t="n">
        <v>0</v>
      </c>
      <c r="I122" s="16" t="n">
        <v>0</v>
      </c>
      <c r="J122" s="16" t="n">
        <v>0</v>
      </c>
      <c r="K122" s="16" t="n">
        <v>0</v>
      </c>
      <c r="L122" s="16" t="n">
        <v>-0.055</v>
      </c>
      <c r="M122" s="16" t="n">
        <v>0.03</v>
      </c>
      <c r="N122" s="16" t="n">
        <v>0.55</v>
      </c>
      <c r="O122" s="16" t="n">
        <v>0.22</v>
      </c>
      <c r="P122" s="16" t="n">
        <v>0.05</v>
      </c>
      <c r="Q122" s="16" t="n">
        <v>0.1</v>
      </c>
      <c r="R122" s="16" t="n">
        <v>3.0314</v>
      </c>
    </row>
    <row r="123">
      <c r="A123" s="5" t="inlineStr">
        <is>
          <t>UAV-95</t>
        </is>
      </c>
      <c r="B123" s="5" t="inlineStr">
        <is>
          <t>Arming LED</t>
        </is>
      </c>
      <c r="C123" s="5" t="inlineStr">
        <is>
          <t>Sphere</t>
        </is>
      </c>
      <c r="D123" s="5" t="inlineStr">
        <is>
          <t>Autonomous UAV (UAV-00)</t>
        </is>
      </c>
      <c r="E123" s="16" t="n">
        <v>0.012</v>
      </c>
      <c r="F123" s="16" t="n">
        <v>0.008</v>
      </c>
      <c r="G123" s="16" t="n">
        <v>0.012</v>
      </c>
      <c r="H123" s="16" t="n">
        <v>0</v>
      </c>
      <c r="I123" s="16" t="n">
        <v>0</v>
      </c>
      <c r="J123" s="16" t="n">
        <v>0</v>
      </c>
      <c r="K123" s="16" t="n">
        <v>0.04</v>
      </c>
      <c r="L123" s="16" t="n">
        <v>0.075</v>
      </c>
      <c r="M123" s="16" t="n">
        <v>-0.03</v>
      </c>
      <c r="N123" s="16" t="n">
        <v>0.2</v>
      </c>
      <c r="O123" s="16" t="n">
        <v>0.6</v>
      </c>
      <c r="P123" s="16" t="n">
        <v>1</v>
      </c>
      <c r="Q123" s="16" t="n">
        <v>0.295</v>
      </c>
      <c r="R123" s="16" t="n">
        <v>111.43</v>
      </c>
    </row>
    <row r="126">
      <c r="A126" s="10" t="inlineStr">
        <is>
          <t>4. Soldier 1 (root SLD1-00): 75 drawn parts (joint angles live in the parent groups).</t>
        </is>
      </c>
    </row>
    <row r="127" ht="28" customHeight="1">
      <c r="A127" s="3" t="inlineStr">
        <is>
          <t>ID</t>
        </is>
      </c>
      <c r="B127" s="3" t="inlineStr">
        <is>
          <t>Part</t>
        </is>
      </c>
      <c r="C127" s="3" t="inlineStr">
        <is>
          <t>Primitive</t>
        </is>
      </c>
      <c r="D127" s="3" t="inlineStr">
        <is>
          <t>Parent (group)</t>
        </is>
      </c>
      <c r="E127" s="3" t="inlineStr">
        <is>
          <t>Sx</t>
        </is>
      </c>
      <c r="F127" s="3" t="inlineStr">
        <is>
          <t>Sy</t>
        </is>
      </c>
      <c r="G127" s="3" t="inlineStr">
        <is>
          <t>Sz</t>
        </is>
      </c>
      <c r="H127" s="3" t="inlineStr">
        <is>
          <t>Rx (deg)</t>
        </is>
      </c>
      <c r="I127" s="3" t="inlineStr">
        <is>
          <t>Ry (deg)</t>
        </is>
      </c>
      <c r="J127" s="3" t="inlineStr">
        <is>
          <t>Rz (deg)</t>
        </is>
      </c>
      <c r="K127" s="3" t="inlineStr">
        <is>
          <t>Tx (m)</t>
        </is>
      </c>
      <c r="L127" s="3" t="inlineStr">
        <is>
          <t>Ty (m)</t>
        </is>
      </c>
      <c r="M127" s="3" t="inlineStr">
        <is>
          <t>Tz (m)</t>
        </is>
      </c>
      <c r="N127" s="3" t="inlineStr">
        <is>
          <t>R</t>
        </is>
      </c>
      <c r="O127" s="3" t="inlineStr">
        <is>
          <t>G</t>
        </is>
      </c>
      <c r="P127" s="3" t="inlineStr">
        <is>
          <t>B</t>
        </is>
      </c>
      <c r="Q127" s="3" t="inlineStr">
        <is>
          <t>ks</t>
        </is>
      </c>
      <c r="R127" s="3" t="inlineStr">
        <is>
          <t>shininess n</t>
        </is>
      </c>
    </row>
    <row r="128">
      <c r="A128" s="5" t="inlineStr">
        <is>
          <t>SLD1-02</t>
        </is>
      </c>
      <c r="B128" s="5" t="inlineStr">
        <is>
          <t>Hips</t>
        </is>
      </c>
      <c r="C128" s="5" t="inlineStr">
        <is>
          <t>Sphere</t>
        </is>
      </c>
      <c r="D128" s="5" t="inlineStr">
        <is>
          <t>Pelvis (SLD1-01)</t>
        </is>
      </c>
      <c r="E128" s="16" t="n">
        <v>0.3778</v>
      </c>
      <c r="F128" s="16" t="n">
        <v>0.22</v>
      </c>
      <c r="G128" s="16" t="n">
        <v>0.24</v>
      </c>
      <c r="H128" s="16" t="n">
        <v>0</v>
      </c>
      <c r="I128" s="16" t="n">
        <v>0</v>
      </c>
      <c r="J128" s="16" t="n">
        <v>0</v>
      </c>
      <c r="K128" s="16" t="n">
        <v>0</v>
      </c>
      <c r="L128" s="16" t="n">
        <v>0.04</v>
      </c>
      <c r="M128" s="16" t="n">
        <v>0</v>
      </c>
      <c r="N128" s="16" t="n">
        <v>0.2703</v>
      </c>
      <c r="O128" s="16" t="n">
        <v>0.2726</v>
      </c>
      <c r="P128" s="16" t="n">
        <v>0.194</v>
      </c>
      <c r="Q128" s="16" t="n">
        <v>0.052</v>
      </c>
      <c r="R128" s="16" t="n">
        <v>2</v>
      </c>
    </row>
    <row r="129">
      <c r="A129" s="5" t="inlineStr">
        <is>
          <t>SLD1-03</t>
        </is>
      </c>
      <c r="B129" s="5" t="inlineStr">
        <is>
          <t>Belt</t>
        </is>
      </c>
      <c r="C129" s="5" t="inlineStr">
        <is>
          <t>Cylinder</t>
        </is>
      </c>
      <c r="D129" s="5" t="inlineStr">
        <is>
          <t>Pelvis (SLD1-01)</t>
        </is>
      </c>
      <c r="E129" s="16" t="n">
        <v>0.3883</v>
      </c>
      <c r="F129" s="16" t="n">
        <v>0.25</v>
      </c>
      <c r="G129" s="16" t="n">
        <v>0.07000000000000001</v>
      </c>
      <c r="H129" s="16" t="n">
        <v>90</v>
      </c>
      <c r="I129" s="16" t="n">
        <v>0</v>
      </c>
      <c r="J129" s="16" t="n">
        <v>0</v>
      </c>
      <c r="K129" s="16" t="n">
        <v>0</v>
      </c>
      <c r="L129" s="16" t="n">
        <v>0.12</v>
      </c>
      <c r="M129" s="16" t="n">
        <v>0</v>
      </c>
      <c r="N129" s="16" t="n">
        <v>0.27</v>
      </c>
      <c r="O129" s="16" t="n">
        <v>0.235</v>
      </c>
      <c r="P129" s="16" t="n">
        <v>0.155</v>
      </c>
      <c r="Q129" s="16" t="n">
        <v>0.124</v>
      </c>
      <c r="R129" s="16" t="n">
        <v>4.724</v>
      </c>
    </row>
    <row r="130">
      <c r="A130" s="5" t="inlineStr">
        <is>
          <t>SLD1-05</t>
        </is>
      </c>
      <c r="B130" s="5" t="inlineStr">
        <is>
          <t>Hip joint</t>
        </is>
      </c>
      <c r="C130" s="5" t="inlineStr">
        <is>
          <t>Sphere</t>
        </is>
      </c>
      <c r="D130" s="5" t="inlineStr">
        <is>
          <t>Hip L (SLD1-04)</t>
        </is>
      </c>
      <c r="E130" s="16" t="n">
        <v>0.15</v>
      </c>
      <c r="F130" s="16" t="n">
        <v>0.15</v>
      </c>
      <c r="G130" s="16" t="n">
        <v>0.15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0.2703</v>
      </c>
      <c r="O130" s="16" t="n">
        <v>0.2726</v>
      </c>
      <c r="P130" s="16" t="n">
        <v>0.194</v>
      </c>
      <c r="Q130" s="16" t="n">
        <v>0.052</v>
      </c>
      <c r="R130" s="16" t="n">
        <v>2</v>
      </c>
    </row>
    <row r="131">
      <c r="A131" s="5" t="inlineStr">
        <is>
          <t>SLD1-06</t>
        </is>
      </c>
      <c r="B131" s="5" t="inlineStr">
        <is>
          <t>Thigh</t>
        </is>
      </c>
      <c r="C131" s="5" t="inlineStr">
        <is>
          <t>Cylinder</t>
        </is>
      </c>
      <c r="D131" s="5" t="inlineStr">
        <is>
          <t>Hip L (SLD1-04)</t>
        </is>
      </c>
      <c r="E131" s="16" t="n">
        <v>0.15</v>
      </c>
      <c r="F131" s="16" t="n">
        <v>0.15</v>
      </c>
      <c r="G131" s="16" t="n">
        <v>0.46</v>
      </c>
      <c r="H131" s="16" t="n">
        <v>90</v>
      </c>
      <c r="I131" s="16" t="n">
        <v>0</v>
      </c>
      <c r="J131" s="16" t="n">
        <v>0</v>
      </c>
      <c r="K131" s="16" t="n">
        <v>0</v>
      </c>
      <c r="L131" s="16" t="n">
        <v>-0.23</v>
      </c>
      <c r="M131" s="16" t="n">
        <v>0</v>
      </c>
      <c r="N131" s="16" t="n">
        <v>0.2703</v>
      </c>
      <c r="O131" s="16" t="n">
        <v>0.2726</v>
      </c>
      <c r="P131" s="16" t="n">
        <v>0.194</v>
      </c>
      <c r="Q131" s="16" t="n">
        <v>0.052</v>
      </c>
      <c r="R131" s="16" t="n">
        <v>2</v>
      </c>
    </row>
    <row r="132">
      <c r="A132" s="5" t="inlineStr">
        <is>
          <t>SLD1-08</t>
        </is>
      </c>
      <c r="B132" s="5" t="inlineStr">
        <is>
          <t>Knee joint</t>
        </is>
      </c>
      <c r="C132" s="5" t="inlineStr">
        <is>
          <t>Sphere</t>
        </is>
      </c>
      <c r="D132" s="5" t="inlineStr">
        <is>
          <t>Knee L (SLD1-07)</t>
        </is>
      </c>
      <c r="E132" s="16" t="n">
        <v>0.15</v>
      </c>
      <c r="F132" s="16" t="n">
        <v>0.15</v>
      </c>
      <c r="G132" s="16" t="n">
        <v>0.15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0.2703</v>
      </c>
      <c r="O132" s="16" t="n">
        <v>0.2726</v>
      </c>
      <c r="P132" s="16" t="n">
        <v>0.194</v>
      </c>
      <c r="Q132" s="16" t="n">
        <v>0.052</v>
      </c>
      <c r="R132" s="16" t="n">
        <v>2</v>
      </c>
    </row>
    <row r="133">
      <c r="A133" s="5" t="inlineStr">
        <is>
          <t>SLD1-09</t>
        </is>
      </c>
      <c r="B133" s="5" t="inlineStr">
        <is>
          <t>Shin</t>
        </is>
      </c>
      <c r="C133" s="5" t="inlineStr">
        <is>
          <t>Cylinder</t>
        </is>
      </c>
      <c r="D133" s="5" t="inlineStr">
        <is>
          <t>Knee L (SLD1-07)</t>
        </is>
      </c>
      <c r="E133" s="16" t="n">
        <v>0.12</v>
      </c>
      <c r="F133" s="16" t="n">
        <v>0.12</v>
      </c>
      <c r="G133" s="16" t="n">
        <v>0.44</v>
      </c>
      <c r="H133" s="16" t="n">
        <v>90</v>
      </c>
      <c r="I133" s="16" t="n">
        <v>0</v>
      </c>
      <c r="J133" s="16" t="n">
        <v>0</v>
      </c>
      <c r="K133" s="16" t="n">
        <v>0</v>
      </c>
      <c r="L133" s="16" t="n">
        <v>-0.22</v>
      </c>
      <c r="M133" s="16" t="n">
        <v>0</v>
      </c>
      <c r="N133" s="16" t="n">
        <v>0.2703</v>
      </c>
      <c r="O133" s="16" t="n">
        <v>0.2726</v>
      </c>
      <c r="P133" s="16" t="n">
        <v>0.194</v>
      </c>
      <c r="Q133" s="16" t="n">
        <v>0.052</v>
      </c>
      <c r="R133" s="16" t="n">
        <v>2</v>
      </c>
    </row>
    <row r="134">
      <c r="A134" s="5" t="inlineStr">
        <is>
          <t>SLD1-11</t>
        </is>
      </c>
      <c r="B134" s="5" t="inlineStr">
        <is>
          <t>Ankle joint</t>
        </is>
      </c>
      <c r="C134" s="5" t="inlineStr">
        <is>
          <t>Sphere</t>
        </is>
      </c>
      <c r="D134" s="5" t="inlineStr">
        <is>
          <t>Ankle L (SLD1-10)</t>
        </is>
      </c>
      <c r="E134" s="16" t="n">
        <v>0.12</v>
      </c>
      <c r="F134" s="16" t="n">
        <v>0.12</v>
      </c>
      <c r="G134" s="16" t="n">
        <v>0.12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0.075</v>
      </c>
      <c r="O134" s="16" t="n">
        <v>0.055</v>
      </c>
      <c r="P134" s="16" t="n">
        <v>0.04</v>
      </c>
      <c r="Q134" s="16" t="n">
        <v>0.175</v>
      </c>
      <c r="R134" s="16" t="n">
        <v>12.1257</v>
      </c>
    </row>
    <row r="135">
      <c r="A135" s="5" t="inlineStr">
        <is>
          <t>SLD1-12</t>
        </is>
      </c>
      <c r="B135" s="5" t="inlineStr">
        <is>
          <t>Boot</t>
        </is>
      </c>
      <c r="C135" s="5" t="inlineStr">
        <is>
          <t>Sphere</t>
        </is>
      </c>
      <c r="D135" s="5" t="inlineStr">
        <is>
          <t>Ankle L (SLD1-10)</t>
        </is>
      </c>
      <c r="E135" s="16" t="n">
        <v>0.13</v>
      </c>
      <c r="F135" s="16" t="n">
        <v>0.11</v>
      </c>
      <c r="G135" s="16" t="n">
        <v>0.3</v>
      </c>
      <c r="H135" s="16" t="n">
        <v>0</v>
      </c>
      <c r="I135" s="16" t="n">
        <v>0</v>
      </c>
      <c r="J135" s="16" t="n">
        <v>0</v>
      </c>
      <c r="K135" s="16" t="n">
        <v>0</v>
      </c>
      <c r="L135" s="16" t="n">
        <v>-0.025</v>
      </c>
      <c r="M135" s="16" t="n">
        <v>0.06</v>
      </c>
      <c r="N135" s="16" t="n">
        <v>0.075</v>
      </c>
      <c r="O135" s="16" t="n">
        <v>0.055</v>
      </c>
      <c r="P135" s="16" t="n">
        <v>0.04</v>
      </c>
      <c r="Q135" s="16" t="n">
        <v>0.175</v>
      </c>
      <c r="R135" s="16" t="n">
        <v>12.1257</v>
      </c>
    </row>
    <row r="136">
      <c r="A136" s="5" t="inlineStr">
        <is>
          <t>SLD1-76</t>
        </is>
      </c>
      <c r="B136" s="5" t="inlineStr">
        <is>
          <t>Calf</t>
        </is>
      </c>
      <c r="C136" s="5" t="inlineStr">
        <is>
          <t>Sphere</t>
        </is>
      </c>
      <c r="D136" s="5" t="inlineStr">
        <is>
          <t>Knee L (SLD1-07)</t>
        </is>
      </c>
      <c r="E136" s="16" t="n">
        <v>0.13</v>
      </c>
      <c r="F136" s="16" t="n">
        <v>0.22</v>
      </c>
      <c r="G136" s="16" t="n">
        <v>0.14</v>
      </c>
      <c r="H136" s="16" t="n">
        <v>0</v>
      </c>
      <c r="I136" s="16" t="n">
        <v>0</v>
      </c>
      <c r="J136" s="16" t="n">
        <v>0</v>
      </c>
      <c r="K136" s="16" t="n">
        <v>0</v>
      </c>
      <c r="L136" s="16" t="n">
        <v>-0.13</v>
      </c>
      <c r="M136" s="16" t="n">
        <v>-0.015</v>
      </c>
      <c r="N136" s="16" t="n">
        <v>0.2703</v>
      </c>
      <c r="O136" s="16" t="n">
        <v>0.2726</v>
      </c>
      <c r="P136" s="16" t="n">
        <v>0.194</v>
      </c>
      <c r="Q136" s="16" t="n">
        <v>0.052</v>
      </c>
      <c r="R136" s="16" t="n">
        <v>2</v>
      </c>
    </row>
    <row r="137">
      <c r="A137" s="5" t="inlineStr">
        <is>
          <t>SLD1-77</t>
        </is>
      </c>
      <c r="B137" s="5" t="inlineStr">
        <is>
          <t>Knee pad</t>
        </is>
      </c>
      <c r="C137" s="5" t="inlineStr">
        <is>
          <t>Sphere</t>
        </is>
      </c>
      <c r="D137" s="5" t="inlineStr">
        <is>
          <t>Knee L (SLD1-07)</t>
        </is>
      </c>
      <c r="E137" s="16" t="n">
        <v>0.115</v>
      </c>
      <c r="F137" s="16" t="n">
        <v>0.13</v>
      </c>
      <c r="G137" s="16" t="n">
        <v>0.06</v>
      </c>
      <c r="H137" s="16" t="n">
        <v>0</v>
      </c>
      <c r="I137" s="16" t="n">
        <v>0</v>
      </c>
      <c r="J137" s="16" t="n">
        <v>0</v>
      </c>
      <c r="K137" s="16" t="n">
        <v>0</v>
      </c>
      <c r="L137" s="16" t="n">
        <v>-0.02</v>
      </c>
      <c r="M137" s="16" t="n">
        <v>0.06</v>
      </c>
      <c r="N137" s="16" t="n">
        <v>0.1</v>
      </c>
      <c r="O137" s="16" t="n">
        <v>0.1</v>
      </c>
      <c r="P137" s="16" t="n">
        <v>0.08500000000000001</v>
      </c>
      <c r="Q137" s="16" t="n">
        <v>0.1</v>
      </c>
      <c r="R137" s="16" t="n">
        <v>3.0314</v>
      </c>
    </row>
    <row r="138">
      <c r="A138" s="5" t="inlineStr">
        <is>
          <t>SLD1-75</t>
        </is>
      </c>
      <c r="B138" s="5" t="inlineStr">
        <is>
          <t>Thigh muscle</t>
        </is>
      </c>
      <c r="C138" s="5" t="inlineStr">
        <is>
          <t>Sphere</t>
        </is>
      </c>
      <c r="D138" s="5" t="inlineStr">
        <is>
          <t>Hip L (SLD1-04)</t>
        </is>
      </c>
      <c r="E138" s="16" t="n">
        <v>0.175</v>
      </c>
      <c r="F138" s="16" t="n">
        <v>0.31</v>
      </c>
      <c r="G138" s="16" t="n">
        <v>0.18</v>
      </c>
      <c r="H138" s="16" t="n">
        <v>0</v>
      </c>
      <c r="I138" s="16" t="n">
        <v>0</v>
      </c>
      <c r="J138" s="16" t="n">
        <v>0</v>
      </c>
      <c r="K138" s="16" t="n">
        <v>0</v>
      </c>
      <c r="L138" s="16" t="n">
        <v>-0.15</v>
      </c>
      <c r="M138" s="16" t="n">
        <v>0.01</v>
      </c>
      <c r="N138" s="16" t="n">
        <v>0.2703</v>
      </c>
      <c r="O138" s="16" t="n">
        <v>0.2726</v>
      </c>
      <c r="P138" s="16" t="n">
        <v>0.194</v>
      </c>
      <c r="Q138" s="16" t="n">
        <v>0.052</v>
      </c>
      <c r="R138" s="16" t="n">
        <v>2</v>
      </c>
    </row>
    <row r="139">
      <c r="A139" s="5" t="inlineStr">
        <is>
          <t>SLD1-14</t>
        </is>
      </c>
      <c r="B139" s="5" t="inlineStr">
        <is>
          <t>Hip joint</t>
        </is>
      </c>
      <c r="C139" s="5" t="inlineStr">
        <is>
          <t>Sphere</t>
        </is>
      </c>
      <c r="D139" s="5" t="inlineStr">
        <is>
          <t>Hip R (SLD1-13)</t>
        </is>
      </c>
      <c r="E139" s="16" t="n">
        <v>0.15</v>
      </c>
      <c r="F139" s="16" t="n">
        <v>0.15</v>
      </c>
      <c r="G139" s="16" t="n">
        <v>0.15</v>
      </c>
      <c r="H139" s="16" t="n">
        <v>0</v>
      </c>
      <c r="I139" s="16" t="n">
        <v>0</v>
      </c>
      <c r="J139" s="16" t="n">
        <v>0</v>
      </c>
      <c r="K139" s="16" t="n">
        <v>0</v>
      </c>
      <c r="L139" s="16" t="n">
        <v>0</v>
      </c>
      <c r="M139" s="16" t="n">
        <v>0</v>
      </c>
      <c r="N139" s="16" t="n">
        <v>0.2703</v>
      </c>
      <c r="O139" s="16" t="n">
        <v>0.2726</v>
      </c>
      <c r="P139" s="16" t="n">
        <v>0.194</v>
      </c>
      <c r="Q139" s="16" t="n">
        <v>0.052</v>
      </c>
      <c r="R139" s="16" t="n">
        <v>2</v>
      </c>
    </row>
    <row r="140">
      <c r="A140" s="5" t="inlineStr">
        <is>
          <t>SLD1-15</t>
        </is>
      </c>
      <c r="B140" s="5" t="inlineStr">
        <is>
          <t>Thigh</t>
        </is>
      </c>
      <c r="C140" s="5" t="inlineStr">
        <is>
          <t>Cylinder</t>
        </is>
      </c>
      <c r="D140" s="5" t="inlineStr">
        <is>
          <t>Hip R (SLD1-13)</t>
        </is>
      </c>
      <c r="E140" s="16" t="n">
        <v>0.15</v>
      </c>
      <c r="F140" s="16" t="n">
        <v>0.15</v>
      </c>
      <c r="G140" s="16" t="n">
        <v>0.46</v>
      </c>
      <c r="H140" s="16" t="n">
        <v>90</v>
      </c>
      <c r="I140" s="16" t="n">
        <v>0</v>
      </c>
      <c r="J140" s="16" t="n">
        <v>0</v>
      </c>
      <c r="K140" s="16" t="n">
        <v>0</v>
      </c>
      <c r="L140" s="16" t="n">
        <v>-0.23</v>
      </c>
      <c r="M140" s="16" t="n">
        <v>0</v>
      </c>
      <c r="N140" s="16" t="n">
        <v>0.2703</v>
      </c>
      <c r="O140" s="16" t="n">
        <v>0.2726</v>
      </c>
      <c r="P140" s="16" t="n">
        <v>0.194</v>
      </c>
      <c r="Q140" s="16" t="n">
        <v>0.052</v>
      </c>
      <c r="R140" s="16" t="n">
        <v>2</v>
      </c>
    </row>
    <row r="141">
      <c r="A141" s="5" t="inlineStr">
        <is>
          <t>SLD1-17</t>
        </is>
      </c>
      <c r="B141" s="5" t="inlineStr">
        <is>
          <t>Knee joint</t>
        </is>
      </c>
      <c r="C141" s="5" t="inlineStr">
        <is>
          <t>Sphere</t>
        </is>
      </c>
      <c r="D141" s="5" t="inlineStr">
        <is>
          <t>Knee R (SLD1-16)</t>
        </is>
      </c>
      <c r="E141" s="16" t="n">
        <v>0.15</v>
      </c>
      <c r="F141" s="16" t="n">
        <v>0.15</v>
      </c>
      <c r="G141" s="16" t="n">
        <v>0.15</v>
      </c>
      <c r="H141" s="16" t="n">
        <v>0</v>
      </c>
      <c r="I141" s="16" t="n">
        <v>0</v>
      </c>
      <c r="J141" s="16" t="n">
        <v>0</v>
      </c>
      <c r="K141" s="16" t="n">
        <v>0</v>
      </c>
      <c r="L141" s="16" t="n">
        <v>0</v>
      </c>
      <c r="M141" s="16" t="n">
        <v>0</v>
      </c>
      <c r="N141" s="16" t="n">
        <v>0.2703</v>
      </c>
      <c r="O141" s="16" t="n">
        <v>0.2726</v>
      </c>
      <c r="P141" s="16" t="n">
        <v>0.194</v>
      </c>
      <c r="Q141" s="16" t="n">
        <v>0.052</v>
      </c>
      <c r="R141" s="16" t="n">
        <v>2</v>
      </c>
    </row>
    <row r="142">
      <c r="A142" s="5" t="inlineStr">
        <is>
          <t>SLD1-18</t>
        </is>
      </c>
      <c r="B142" s="5" t="inlineStr">
        <is>
          <t>Shin</t>
        </is>
      </c>
      <c r="C142" s="5" t="inlineStr">
        <is>
          <t>Cylinder</t>
        </is>
      </c>
      <c r="D142" s="5" t="inlineStr">
        <is>
          <t>Knee R (SLD1-16)</t>
        </is>
      </c>
      <c r="E142" s="16" t="n">
        <v>0.12</v>
      </c>
      <c r="F142" s="16" t="n">
        <v>0.12</v>
      </c>
      <c r="G142" s="16" t="n">
        <v>0.44</v>
      </c>
      <c r="H142" s="16" t="n">
        <v>90</v>
      </c>
      <c r="I142" s="16" t="n">
        <v>0</v>
      </c>
      <c r="J142" s="16" t="n">
        <v>0</v>
      </c>
      <c r="K142" s="16" t="n">
        <v>0</v>
      </c>
      <c r="L142" s="16" t="n">
        <v>-0.22</v>
      </c>
      <c r="M142" s="16" t="n">
        <v>0</v>
      </c>
      <c r="N142" s="16" t="n">
        <v>0.2703</v>
      </c>
      <c r="O142" s="16" t="n">
        <v>0.2726</v>
      </c>
      <c r="P142" s="16" t="n">
        <v>0.194</v>
      </c>
      <c r="Q142" s="16" t="n">
        <v>0.052</v>
      </c>
      <c r="R142" s="16" t="n">
        <v>2</v>
      </c>
    </row>
    <row r="143">
      <c r="A143" s="5" t="inlineStr">
        <is>
          <t>SLD1-20</t>
        </is>
      </c>
      <c r="B143" s="5" t="inlineStr">
        <is>
          <t>Ankle joint</t>
        </is>
      </c>
      <c r="C143" s="5" t="inlineStr">
        <is>
          <t>Sphere</t>
        </is>
      </c>
      <c r="D143" s="5" t="inlineStr">
        <is>
          <t>Ankle R (SLD1-19)</t>
        </is>
      </c>
      <c r="E143" s="16" t="n">
        <v>0.12</v>
      </c>
      <c r="F143" s="16" t="n">
        <v>0.12</v>
      </c>
      <c r="G143" s="16" t="n">
        <v>0.12</v>
      </c>
      <c r="H143" s="16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0.075</v>
      </c>
      <c r="O143" s="16" t="n">
        <v>0.055</v>
      </c>
      <c r="P143" s="16" t="n">
        <v>0.04</v>
      </c>
      <c r="Q143" s="16" t="n">
        <v>0.175</v>
      </c>
      <c r="R143" s="16" t="n">
        <v>12.1257</v>
      </c>
    </row>
    <row r="144">
      <c r="A144" s="5" t="inlineStr">
        <is>
          <t>SLD1-21</t>
        </is>
      </c>
      <c r="B144" s="5" t="inlineStr">
        <is>
          <t>Boot</t>
        </is>
      </c>
      <c r="C144" s="5" t="inlineStr">
        <is>
          <t>Sphere</t>
        </is>
      </c>
      <c r="D144" s="5" t="inlineStr">
        <is>
          <t>Ankle R (SLD1-19)</t>
        </is>
      </c>
      <c r="E144" s="16" t="n">
        <v>0.13</v>
      </c>
      <c r="F144" s="16" t="n">
        <v>0.11</v>
      </c>
      <c r="G144" s="16" t="n">
        <v>0.3</v>
      </c>
      <c r="H144" s="16" t="n">
        <v>0</v>
      </c>
      <c r="I144" s="16" t="n">
        <v>0</v>
      </c>
      <c r="J144" s="16" t="n">
        <v>0</v>
      </c>
      <c r="K144" s="16" t="n">
        <v>0</v>
      </c>
      <c r="L144" s="16" t="n">
        <v>-0.025</v>
      </c>
      <c r="M144" s="16" t="n">
        <v>0.06</v>
      </c>
      <c r="N144" s="16" t="n">
        <v>0.075</v>
      </c>
      <c r="O144" s="16" t="n">
        <v>0.055</v>
      </c>
      <c r="P144" s="16" t="n">
        <v>0.04</v>
      </c>
      <c r="Q144" s="16" t="n">
        <v>0.175</v>
      </c>
      <c r="R144" s="16" t="n">
        <v>12.1257</v>
      </c>
    </row>
    <row r="145">
      <c r="A145" s="5" t="inlineStr">
        <is>
          <t>SLD1-81</t>
        </is>
      </c>
      <c r="B145" s="5" t="inlineStr">
        <is>
          <t>Calf</t>
        </is>
      </c>
      <c r="C145" s="5" t="inlineStr">
        <is>
          <t>Sphere</t>
        </is>
      </c>
      <c r="D145" s="5" t="inlineStr">
        <is>
          <t>Knee R (SLD1-16)</t>
        </is>
      </c>
      <c r="E145" s="16" t="n">
        <v>0.13</v>
      </c>
      <c r="F145" s="16" t="n">
        <v>0.22</v>
      </c>
      <c r="G145" s="16" t="n">
        <v>0.14</v>
      </c>
      <c r="H145" s="16" t="n">
        <v>0</v>
      </c>
      <c r="I145" s="16" t="n">
        <v>0</v>
      </c>
      <c r="J145" s="16" t="n">
        <v>0</v>
      </c>
      <c r="K145" s="16" t="n">
        <v>0</v>
      </c>
      <c r="L145" s="16" t="n">
        <v>-0.13</v>
      </c>
      <c r="M145" s="16" t="n">
        <v>-0.015</v>
      </c>
      <c r="N145" s="16" t="n">
        <v>0.2703</v>
      </c>
      <c r="O145" s="16" t="n">
        <v>0.2726</v>
      </c>
      <c r="P145" s="16" t="n">
        <v>0.194</v>
      </c>
      <c r="Q145" s="16" t="n">
        <v>0.052</v>
      </c>
      <c r="R145" s="16" t="n">
        <v>2</v>
      </c>
    </row>
    <row r="146">
      <c r="A146" s="5" t="inlineStr">
        <is>
          <t>SLD1-82</t>
        </is>
      </c>
      <c r="B146" s="5" t="inlineStr">
        <is>
          <t>Knee pad</t>
        </is>
      </c>
      <c r="C146" s="5" t="inlineStr">
        <is>
          <t>Sphere</t>
        </is>
      </c>
      <c r="D146" s="5" t="inlineStr">
        <is>
          <t>Knee R (SLD1-16)</t>
        </is>
      </c>
      <c r="E146" s="16" t="n">
        <v>0.115</v>
      </c>
      <c r="F146" s="16" t="n">
        <v>0.13</v>
      </c>
      <c r="G146" s="16" t="n">
        <v>0.06</v>
      </c>
      <c r="H146" s="16" t="n">
        <v>0</v>
      </c>
      <c r="I146" s="16" t="n">
        <v>0</v>
      </c>
      <c r="J146" s="16" t="n">
        <v>0</v>
      </c>
      <c r="K146" s="16" t="n">
        <v>0</v>
      </c>
      <c r="L146" s="16" t="n">
        <v>-0.02</v>
      </c>
      <c r="M146" s="16" t="n">
        <v>0.06</v>
      </c>
      <c r="N146" s="16" t="n">
        <v>0.1</v>
      </c>
      <c r="O146" s="16" t="n">
        <v>0.1</v>
      </c>
      <c r="P146" s="16" t="n">
        <v>0.08500000000000001</v>
      </c>
      <c r="Q146" s="16" t="n">
        <v>0.1</v>
      </c>
      <c r="R146" s="16" t="n">
        <v>3.0314</v>
      </c>
    </row>
    <row r="147">
      <c r="A147" s="5" t="inlineStr">
        <is>
          <t>SLD1-80</t>
        </is>
      </c>
      <c r="B147" s="5" t="inlineStr">
        <is>
          <t>Thigh muscle</t>
        </is>
      </c>
      <c r="C147" s="5" t="inlineStr">
        <is>
          <t>Sphere</t>
        </is>
      </c>
      <c r="D147" s="5" t="inlineStr">
        <is>
          <t>Hip R (SLD1-13)</t>
        </is>
      </c>
      <c r="E147" s="16" t="n">
        <v>0.175</v>
      </c>
      <c r="F147" s="16" t="n">
        <v>0.31</v>
      </c>
      <c r="G147" s="16" t="n">
        <v>0.18</v>
      </c>
      <c r="H147" s="16" t="n">
        <v>0</v>
      </c>
      <c r="I147" s="16" t="n">
        <v>0</v>
      </c>
      <c r="J147" s="16" t="n">
        <v>0</v>
      </c>
      <c r="K147" s="16" t="n">
        <v>0</v>
      </c>
      <c r="L147" s="16" t="n">
        <v>-0.15</v>
      </c>
      <c r="M147" s="16" t="n">
        <v>0.01</v>
      </c>
      <c r="N147" s="16" t="n">
        <v>0.2703</v>
      </c>
      <c r="O147" s="16" t="n">
        <v>0.2726</v>
      </c>
      <c r="P147" s="16" t="n">
        <v>0.194</v>
      </c>
      <c r="Q147" s="16" t="n">
        <v>0.052</v>
      </c>
      <c r="R147" s="16" t="n">
        <v>2</v>
      </c>
    </row>
    <row r="148">
      <c r="A148" s="5" t="inlineStr">
        <is>
          <t>SLD1-23</t>
        </is>
      </c>
      <c r="B148" s="5" t="inlineStr">
        <is>
          <t>Abdomen</t>
        </is>
      </c>
      <c r="C148" s="5" t="inlineStr">
        <is>
          <t>Sphere</t>
        </is>
      </c>
      <c r="D148" s="5" t="inlineStr">
        <is>
          <t>Spine (SLD1-22)</t>
        </is>
      </c>
      <c r="E148" s="16" t="n">
        <v>0.3568</v>
      </c>
      <c r="F148" s="16" t="n">
        <v>0.3</v>
      </c>
      <c r="G148" s="16" t="n">
        <v>0.24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0.12</v>
      </c>
      <c r="M148" s="16" t="n">
        <v>0</v>
      </c>
      <c r="N148" s="16" t="n">
        <v>0.3003</v>
      </c>
      <c r="O148" s="16" t="n">
        <v>0.3029</v>
      </c>
      <c r="P148" s="16" t="n">
        <v>0.2156</v>
      </c>
      <c r="Q148" s="16" t="n">
        <v>0.055</v>
      </c>
      <c r="R148" s="16" t="n">
        <v>2</v>
      </c>
    </row>
    <row r="149">
      <c r="A149" s="5" t="inlineStr">
        <is>
          <t>SLD1-25</t>
        </is>
      </c>
      <c r="B149" s="5" t="inlineStr">
        <is>
          <t>Torso</t>
        </is>
      </c>
      <c r="C149" s="5" t="inlineStr">
        <is>
          <t>Tapered box</t>
        </is>
      </c>
      <c r="D149" s="5" t="inlineStr">
        <is>
          <t>Chest (SLD1-24)</t>
        </is>
      </c>
      <c r="E149" s="16" t="n">
        <v>0.3988</v>
      </c>
      <c r="F149" s="16" t="n">
        <v>0.33</v>
      </c>
      <c r="G149" s="16" t="n">
        <v>0.23</v>
      </c>
      <c r="H149" s="16" t="n">
        <v>0</v>
      </c>
      <c r="I149" s="16" t="n">
        <v>0</v>
      </c>
      <c r="J149" s="16" t="n">
        <v>180</v>
      </c>
      <c r="K149" s="16" t="n">
        <v>0</v>
      </c>
      <c r="L149" s="16" t="n">
        <v>0.1</v>
      </c>
      <c r="M149" s="16" t="n">
        <v>0</v>
      </c>
      <c r="N149" s="16" t="n">
        <v>0.3003</v>
      </c>
      <c r="O149" s="16" t="n">
        <v>0.3029</v>
      </c>
      <c r="P149" s="16" t="n">
        <v>0.2156</v>
      </c>
      <c r="Q149" s="16" t="n">
        <v>0.055</v>
      </c>
      <c r="R149" s="16" t="n">
        <v>2</v>
      </c>
    </row>
    <row r="150">
      <c r="A150" s="5" t="inlineStr">
        <is>
          <t>SLD1-26</t>
        </is>
      </c>
      <c r="B150" s="5" t="inlineStr">
        <is>
          <t>Backpack</t>
        </is>
      </c>
      <c r="C150" s="5" t="inlineStr">
        <is>
          <t>Cube</t>
        </is>
      </c>
      <c r="D150" s="5" t="inlineStr">
        <is>
          <t>Chest (SLD1-24)</t>
        </is>
      </c>
      <c r="E150" s="16" t="n">
        <v>0.32</v>
      </c>
      <c r="F150" s="16" t="n">
        <v>0.38</v>
      </c>
      <c r="G150" s="16" t="n">
        <v>0.16</v>
      </c>
      <c r="H150" s="16" t="n">
        <v>0</v>
      </c>
      <c r="I150" s="16" t="n">
        <v>0</v>
      </c>
      <c r="J150" s="16" t="n">
        <v>0</v>
      </c>
      <c r="K150" s="16" t="n">
        <v>0</v>
      </c>
      <c r="L150" s="16" t="n">
        <v>0.07000000000000001</v>
      </c>
      <c r="M150" s="16" t="n">
        <v>-0.2</v>
      </c>
      <c r="N150" s="16" t="n">
        <v>0.2902</v>
      </c>
      <c r="O150" s="16" t="n">
        <v>0.2824</v>
      </c>
      <c r="P150" s="16" t="n">
        <v>0.1825</v>
      </c>
      <c r="Q150" s="16" t="n">
        <v>0.07000000000000001</v>
      </c>
      <c r="R150" s="16" t="n">
        <v>2</v>
      </c>
    </row>
    <row r="151">
      <c r="A151" s="5" t="inlineStr">
        <is>
          <t>SLD1-27</t>
        </is>
      </c>
      <c r="B151" s="5" t="inlineStr">
        <is>
          <t>Bedroll</t>
        </is>
      </c>
      <c r="C151" s="5" t="inlineStr">
        <is>
          <t>Cylinder</t>
        </is>
      </c>
      <c r="D151" s="5" t="inlineStr">
        <is>
          <t>Chest (SLD1-24)</t>
        </is>
      </c>
      <c r="E151" s="16" t="n">
        <v>0.11</v>
      </c>
      <c r="F151" s="16" t="n">
        <v>0.11</v>
      </c>
      <c r="G151" s="16" t="n">
        <v>0.34</v>
      </c>
      <c r="H151" s="16" t="n">
        <v>0</v>
      </c>
      <c r="I151" s="16" t="n">
        <v>90</v>
      </c>
      <c r="J151" s="16" t="n">
        <v>0</v>
      </c>
      <c r="K151" s="16" t="n">
        <v>0</v>
      </c>
      <c r="L151" s="16" t="n">
        <v>0.31</v>
      </c>
      <c r="M151" s="16" t="n">
        <v>-0.21</v>
      </c>
      <c r="N151" s="16" t="n">
        <v>0.2902</v>
      </c>
      <c r="O151" s="16" t="n">
        <v>0.2824</v>
      </c>
      <c r="P151" s="16" t="n">
        <v>0.1825</v>
      </c>
      <c r="Q151" s="16" t="n">
        <v>0.07000000000000001</v>
      </c>
      <c r="R151" s="16" t="n">
        <v>2</v>
      </c>
    </row>
    <row r="152">
      <c r="A152" s="5" t="inlineStr">
        <is>
          <t>SLD1-30</t>
        </is>
      </c>
      <c r="B152" s="5" t="inlineStr">
        <is>
          <t>Rifle receiver</t>
        </is>
      </c>
      <c r="C152" s="5" t="inlineStr">
        <is>
          <t>Cube</t>
        </is>
      </c>
      <c r="D152" s="5" t="inlineStr">
        <is>
          <t>Rifle (held) (SLD1-28)</t>
        </is>
      </c>
      <c r="E152" s="16" t="n">
        <v>0.06</v>
      </c>
      <c r="F152" s="16" t="n">
        <v>0.11</v>
      </c>
      <c r="G152" s="16" t="n">
        <v>0.52</v>
      </c>
      <c r="H152" s="16" t="n">
        <v>0</v>
      </c>
      <c r="I152" s="16" t="n">
        <v>0</v>
      </c>
      <c r="J152" s="16" t="n">
        <v>0</v>
      </c>
      <c r="K152" s="16" t="n">
        <v>0</v>
      </c>
      <c r="L152" s="16" t="n">
        <v>0</v>
      </c>
      <c r="M152" s="16" t="n">
        <v>0</v>
      </c>
      <c r="N152" s="16" t="n">
        <v>0.07000000000000001</v>
      </c>
      <c r="O152" s="16" t="n">
        <v>0.07000000000000001</v>
      </c>
      <c r="P152" s="16" t="n">
        <v>0.075</v>
      </c>
      <c r="Q152" s="16" t="n">
        <v>0.435</v>
      </c>
      <c r="R152" s="16" t="n">
        <v>16</v>
      </c>
    </row>
    <row r="153">
      <c r="A153" s="5" t="inlineStr">
        <is>
          <t>SLD1-31</t>
        </is>
      </c>
      <c r="B153" s="5" t="inlineStr">
        <is>
          <t>Rifle barrel</t>
        </is>
      </c>
      <c r="C153" s="5" t="inlineStr">
        <is>
          <t>Cylinder</t>
        </is>
      </c>
      <c r="D153" s="5" t="inlineStr">
        <is>
          <t>Rifle (held) (SLD1-28)</t>
        </is>
      </c>
      <c r="E153" s="16" t="n">
        <v>0.035</v>
      </c>
      <c r="F153" s="16" t="n">
        <v>0.035</v>
      </c>
      <c r="G153" s="16" t="n">
        <v>0.4</v>
      </c>
      <c r="H153" s="16" t="n">
        <v>0</v>
      </c>
      <c r="I153" s="16" t="n">
        <v>0</v>
      </c>
      <c r="J153" s="16" t="n">
        <v>0</v>
      </c>
      <c r="K153" s="16" t="n">
        <v>0</v>
      </c>
      <c r="L153" s="16" t="n">
        <v>0.02</v>
      </c>
      <c r="M153" s="16" t="n">
        <v>0.45</v>
      </c>
      <c r="N153" s="16" t="n">
        <v>0.07000000000000001</v>
      </c>
      <c r="O153" s="16" t="n">
        <v>0.07000000000000001</v>
      </c>
      <c r="P153" s="16" t="n">
        <v>0.075</v>
      </c>
      <c r="Q153" s="16" t="n">
        <v>0.435</v>
      </c>
      <c r="R153" s="16" t="n">
        <v>16</v>
      </c>
    </row>
    <row r="154">
      <c r="A154" s="5" t="inlineStr">
        <is>
          <t>SLD1-32</t>
        </is>
      </c>
      <c r="B154" s="5" t="inlineStr">
        <is>
          <t>Rifle magazine</t>
        </is>
      </c>
      <c r="C154" s="5" t="inlineStr">
        <is>
          <t>Cube</t>
        </is>
      </c>
      <c r="D154" s="5" t="inlineStr">
        <is>
          <t>Rifle (held) (SLD1-28)</t>
        </is>
      </c>
      <c r="E154" s="16" t="n">
        <v>0.04</v>
      </c>
      <c r="F154" s="16" t="n">
        <v>0.16</v>
      </c>
      <c r="G154" s="16" t="n">
        <v>0.07000000000000001</v>
      </c>
      <c r="H154" s="16" t="n">
        <v>15</v>
      </c>
      <c r="I154" s="16" t="n">
        <v>0</v>
      </c>
      <c r="J154" s="16" t="n">
        <v>0</v>
      </c>
      <c r="K154" s="16" t="n">
        <v>0</v>
      </c>
      <c r="L154" s="16" t="n">
        <v>-0.11</v>
      </c>
      <c r="M154" s="16" t="n">
        <v>0.1</v>
      </c>
      <c r="N154" s="16" t="n">
        <v>0.07000000000000001</v>
      </c>
      <c r="O154" s="16" t="n">
        <v>0.07000000000000001</v>
      </c>
      <c r="P154" s="16" t="n">
        <v>0.075</v>
      </c>
      <c r="Q154" s="16" t="n">
        <v>0.435</v>
      </c>
      <c r="R154" s="16" t="n">
        <v>16</v>
      </c>
    </row>
    <row r="155">
      <c r="A155" s="5" t="inlineStr">
        <is>
          <t>SLD1-89</t>
        </is>
      </c>
      <c r="B155" s="5" t="inlineStr">
        <is>
          <t>Pistol grip</t>
        </is>
      </c>
      <c r="C155" s="5" t="inlineStr">
        <is>
          <t>Cube</t>
        </is>
      </c>
      <c r="D155" s="5" t="inlineStr">
        <is>
          <t>Rifle (held) (SLD1-28)</t>
        </is>
      </c>
      <c r="E155" s="16" t="n">
        <v>0.035</v>
      </c>
      <c r="F155" s="16" t="n">
        <v>0.1</v>
      </c>
      <c r="G155" s="16" t="n">
        <v>0.045</v>
      </c>
      <c r="H155" s="16" t="n">
        <v>-20</v>
      </c>
      <c r="I155" s="16" t="n">
        <v>0</v>
      </c>
      <c r="J155" s="16" t="n">
        <v>0</v>
      </c>
      <c r="K155" s="16" t="n">
        <v>0</v>
      </c>
      <c r="L155" s="16" t="n">
        <v>-0.09</v>
      </c>
      <c r="M155" s="16" t="n">
        <v>-0.13</v>
      </c>
      <c r="N155" s="16" t="n">
        <v>0.07000000000000001</v>
      </c>
      <c r="O155" s="16" t="n">
        <v>0.07000000000000001</v>
      </c>
      <c r="P155" s="16" t="n">
        <v>0.075</v>
      </c>
      <c r="Q155" s="16" t="n">
        <v>0.435</v>
      </c>
      <c r="R155" s="16" t="n">
        <v>16</v>
      </c>
    </row>
    <row r="156">
      <c r="A156" s="5" t="inlineStr">
        <is>
          <t>SLD1-90</t>
        </is>
      </c>
      <c r="B156" s="5" t="inlineStr">
        <is>
          <t>Handguard</t>
        </is>
      </c>
      <c r="C156" s="5" t="inlineStr">
        <is>
          <t>Cube</t>
        </is>
      </c>
      <c r="D156" s="5" t="inlineStr">
        <is>
          <t>Rifle (held) (SLD1-28)</t>
        </is>
      </c>
      <c r="E156" s="16" t="n">
        <v>0.058</v>
      </c>
      <c r="F156" s="16" t="n">
        <v>0.068</v>
      </c>
      <c r="G156" s="16" t="n">
        <v>0.24</v>
      </c>
      <c r="H156" s="16" t="n">
        <v>0</v>
      </c>
      <c r="I156" s="16" t="n">
        <v>0</v>
      </c>
      <c r="J156" s="16" t="n">
        <v>0</v>
      </c>
      <c r="K156" s="16" t="n">
        <v>0</v>
      </c>
      <c r="L156" s="16" t="n">
        <v>0</v>
      </c>
      <c r="M156" s="16" t="n">
        <v>0.34</v>
      </c>
      <c r="N156" s="16" t="n">
        <v>0.07000000000000001</v>
      </c>
      <c r="O156" s="16" t="n">
        <v>0.07000000000000001</v>
      </c>
      <c r="P156" s="16" t="n">
        <v>0.075</v>
      </c>
      <c r="Q156" s="16" t="n">
        <v>0.435</v>
      </c>
      <c r="R156" s="16" t="n">
        <v>16</v>
      </c>
    </row>
    <row r="157">
      <c r="A157" s="5" t="inlineStr">
        <is>
          <t>SLD1-91</t>
        </is>
      </c>
      <c r="B157" s="5" t="inlineStr">
        <is>
          <t>Optic</t>
        </is>
      </c>
      <c r="C157" s="5" t="inlineStr">
        <is>
          <t>Cylinder</t>
        </is>
      </c>
      <c r="D157" s="5" t="inlineStr">
        <is>
          <t>Rifle (held) (SLD1-28)</t>
        </is>
      </c>
      <c r="E157" s="16" t="n">
        <v>0.042</v>
      </c>
      <c r="F157" s="16" t="n">
        <v>0.042</v>
      </c>
      <c r="G157" s="16" t="n">
        <v>0.13</v>
      </c>
      <c r="H157" s="16" t="n">
        <v>0</v>
      </c>
      <c r="I157" s="16" t="n">
        <v>0</v>
      </c>
      <c r="J157" s="16" t="n">
        <v>0</v>
      </c>
      <c r="K157" s="16" t="n">
        <v>0</v>
      </c>
      <c r="L157" s="16" t="n">
        <v>0.08500000000000001</v>
      </c>
      <c r="M157" s="16" t="n">
        <v>0.02</v>
      </c>
      <c r="N157" s="16" t="n">
        <v>0.07000000000000001</v>
      </c>
      <c r="O157" s="16" t="n">
        <v>0.07000000000000001</v>
      </c>
      <c r="P157" s="16" t="n">
        <v>0.075</v>
      </c>
      <c r="Q157" s="16" t="n">
        <v>0.435</v>
      </c>
      <c r="R157" s="16" t="n">
        <v>16</v>
      </c>
    </row>
    <row r="158">
      <c r="A158" s="5" t="inlineStr">
        <is>
          <t>SLD1-33</t>
        </is>
      </c>
      <c r="B158" s="5" t="inlineStr">
        <is>
          <t>Rifle receiver</t>
        </is>
      </c>
      <c r="C158" s="5" t="inlineStr">
        <is>
          <t>Cube</t>
        </is>
      </c>
      <c r="D158" s="5" t="inlineStr">
        <is>
          <t>Rifle (slung) (SLD1-29)</t>
        </is>
      </c>
      <c r="E158" s="16" t="n">
        <v>0.06</v>
      </c>
      <c r="F158" s="16" t="n">
        <v>0.11</v>
      </c>
      <c r="G158" s="16" t="n">
        <v>0.52</v>
      </c>
      <c r="H158" s="16" t="n">
        <v>0</v>
      </c>
      <c r="I158" s="16" t="n">
        <v>0</v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0.07000000000000001</v>
      </c>
      <c r="O158" s="16" t="n">
        <v>0.07000000000000001</v>
      </c>
      <c r="P158" s="16" t="n">
        <v>0.075</v>
      </c>
      <c r="Q158" s="16" t="n">
        <v>0.435</v>
      </c>
      <c r="R158" s="16" t="n">
        <v>16</v>
      </c>
    </row>
    <row r="159">
      <c r="A159" s="5" t="inlineStr">
        <is>
          <t>SLD1-34</t>
        </is>
      </c>
      <c r="B159" s="5" t="inlineStr">
        <is>
          <t>Rifle barrel</t>
        </is>
      </c>
      <c r="C159" s="5" t="inlineStr">
        <is>
          <t>Cylinder</t>
        </is>
      </c>
      <c r="D159" s="5" t="inlineStr">
        <is>
          <t>Rifle (slung) (SLD1-29)</t>
        </is>
      </c>
      <c r="E159" s="16" t="n">
        <v>0.035</v>
      </c>
      <c r="F159" s="16" t="n">
        <v>0.035</v>
      </c>
      <c r="G159" s="16" t="n">
        <v>0.4</v>
      </c>
      <c r="H159" s="16" t="n">
        <v>0</v>
      </c>
      <c r="I159" s="16" t="n">
        <v>0</v>
      </c>
      <c r="J159" s="16" t="n">
        <v>0</v>
      </c>
      <c r="K159" s="16" t="n">
        <v>0</v>
      </c>
      <c r="L159" s="16" t="n">
        <v>0.02</v>
      </c>
      <c r="M159" s="16" t="n">
        <v>0.45</v>
      </c>
      <c r="N159" s="16" t="n">
        <v>0.07000000000000001</v>
      </c>
      <c r="O159" s="16" t="n">
        <v>0.07000000000000001</v>
      </c>
      <c r="P159" s="16" t="n">
        <v>0.075</v>
      </c>
      <c r="Q159" s="16" t="n">
        <v>0.435</v>
      </c>
      <c r="R159" s="16" t="n">
        <v>16</v>
      </c>
    </row>
    <row r="160">
      <c r="A160" s="5" t="inlineStr">
        <is>
          <t>SLD1-35</t>
        </is>
      </c>
      <c r="B160" s="5" t="inlineStr">
        <is>
          <t>Rifle magazine</t>
        </is>
      </c>
      <c r="C160" s="5" t="inlineStr">
        <is>
          <t>Cube</t>
        </is>
      </c>
      <c r="D160" s="5" t="inlineStr">
        <is>
          <t>Rifle (slung) (SLD1-29)</t>
        </is>
      </c>
      <c r="E160" s="16" t="n">
        <v>0.04</v>
      </c>
      <c r="F160" s="16" t="n">
        <v>0.16</v>
      </c>
      <c r="G160" s="16" t="n">
        <v>0.07000000000000001</v>
      </c>
      <c r="H160" s="16" t="n">
        <v>15</v>
      </c>
      <c r="I160" s="16" t="n">
        <v>0</v>
      </c>
      <c r="J160" s="16" t="n">
        <v>0</v>
      </c>
      <c r="K160" s="16" t="n">
        <v>0</v>
      </c>
      <c r="L160" s="16" t="n">
        <v>-0.11</v>
      </c>
      <c r="M160" s="16" t="n">
        <v>0.1</v>
      </c>
      <c r="N160" s="16" t="n">
        <v>0.07000000000000001</v>
      </c>
      <c r="O160" s="16" t="n">
        <v>0.07000000000000001</v>
      </c>
      <c r="P160" s="16" t="n">
        <v>0.075</v>
      </c>
      <c r="Q160" s="16" t="n">
        <v>0.435</v>
      </c>
      <c r="R160" s="16" t="n">
        <v>16</v>
      </c>
    </row>
    <row r="161">
      <c r="A161" s="5" t="inlineStr">
        <is>
          <t>SLD1-92</t>
        </is>
      </c>
      <c r="B161" s="5" t="inlineStr">
        <is>
          <t>Pistol grip</t>
        </is>
      </c>
      <c r="C161" s="5" t="inlineStr">
        <is>
          <t>Cube</t>
        </is>
      </c>
      <c r="D161" s="5" t="inlineStr">
        <is>
          <t>Rifle (slung) (SLD1-29)</t>
        </is>
      </c>
      <c r="E161" s="16" t="n">
        <v>0.035</v>
      </c>
      <c r="F161" s="16" t="n">
        <v>0.1</v>
      </c>
      <c r="G161" s="16" t="n">
        <v>0.045</v>
      </c>
      <c r="H161" s="16" t="n">
        <v>-20</v>
      </c>
      <c r="I161" s="16" t="n">
        <v>0</v>
      </c>
      <c r="J161" s="16" t="n">
        <v>0</v>
      </c>
      <c r="K161" s="16" t="n">
        <v>0</v>
      </c>
      <c r="L161" s="16" t="n">
        <v>-0.09</v>
      </c>
      <c r="M161" s="16" t="n">
        <v>-0.13</v>
      </c>
      <c r="N161" s="16" t="n">
        <v>0.07000000000000001</v>
      </c>
      <c r="O161" s="16" t="n">
        <v>0.07000000000000001</v>
      </c>
      <c r="P161" s="16" t="n">
        <v>0.075</v>
      </c>
      <c r="Q161" s="16" t="n">
        <v>0.435</v>
      </c>
      <c r="R161" s="16" t="n">
        <v>16</v>
      </c>
    </row>
    <row r="162">
      <c r="A162" s="5" t="inlineStr">
        <is>
          <t>SLD1-93</t>
        </is>
      </c>
      <c r="B162" s="5" t="inlineStr">
        <is>
          <t>Handguard</t>
        </is>
      </c>
      <c r="C162" s="5" t="inlineStr">
        <is>
          <t>Cube</t>
        </is>
      </c>
      <c r="D162" s="5" t="inlineStr">
        <is>
          <t>Rifle (slung) (SLD1-29)</t>
        </is>
      </c>
      <c r="E162" s="16" t="n">
        <v>0.058</v>
      </c>
      <c r="F162" s="16" t="n">
        <v>0.068</v>
      </c>
      <c r="G162" s="16" t="n">
        <v>0.24</v>
      </c>
      <c r="H162" s="16" t="n">
        <v>0</v>
      </c>
      <c r="I162" s="16" t="n">
        <v>0</v>
      </c>
      <c r="J162" s="16" t="n">
        <v>0</v>
      </c>
      <c r="K162" s="16" t="n">
        <v>0</v>
      </c>
      <c r="L162" s="16" t="n">
        <v>0</v>
      </c>
      <c r="M162" s="16" t="n">
        <v>0.34</v>
      </c>
      <c r="N162" s="16" t="n">
        <v>0.07000000000000001</v>
      </c>
      <c r="O162" s="16" t="n">
        <v>0.07000000000000001</v>
      </c>
      <c r="P162" s="16" t="n">
        <v>0.075</v>
      </c>
      <c r="Q162" s="16" t="n">
        <v>0.435</v>
      </c>
      <c r="R162" s="16" t="n">
        <v>16</v>
      </c>
    </row>
    <row r="163">
      <c r="A163" s="5" t="inlineStr">
        <is>
          <t>SLD1-94</t>
        </is>
      </c>
      <c r="B163" s="5" t="inlineStr">
        <is>
          <t>Optic</t>
        </is>
      </c>
      <c r="C163" s="5" t="inlineStr">
        <is>
          <t>Cylinder</t>
        </is>
      </c>
      <c r="D163" s="5" t="inlineStr">
        <is>
          <t>Rifle (slung) (SLD1-29)</t>
        </is>
      </c>
      <c r="E163" s="16" t="n">
        <v>0.042</v>
      </c>
      <c r="F163" s="16" t="n">
        <v>0.042</v>
      </c>
      <c r="G163" s="16" t="n">
        <v>0.13</v>
      </c>
      <c r="H163" s="16" t="n">
        <v>0</v>
      </c>
      <c r="I163" s="16" t="n">
        <v>0</v>
      </c>
      <c r="J163" s="16" t="n">
        <v>0</v>
      </c>
      <c r="K163" s="16" t="n">
        <v>0</v>
      </c>
      <c r="L163" s="16" t="n">
        <v>0.08500000000000001</v>
      </c>
      <c r="M163" s="16" t="n">
        <v>0.02</v>
      </c>
      <c r="N163" s="16" t="n">
        <v>0.07000000000000001</v>
      </c>
      <c r="O163" s="16" t="n">
        <v>0.07000000000000001</v>
      </c>
      <c r="P163" s="16" t="n">
        <v>0.075</v>
      </c>
      <c r="Q163" s="16" t="n">
        <v>0.435</v>
      </c>
      <c r="R163" s="16" t="n">
        <v>16</v>
      </c>
    </row>
    <row r="164">
      <c r="A164" s="5" t="inlineStr">
        <is>
          <t>SLD1-36</t>
        </is>
      </c>
      <c r="B164" s="5" t="inlineStr">
        <is>
          <t>Carried crate</t>
        </is>
      </c>
      <c r="C164" s="5" t="inlineStr">
        <is>
          <t>Cube</t>
        </is>
      </c>
      <c r="D164" s="5" t="inlineStr">
        <is>
          <t>Chest (SLD1-24)</t>
        </is>
      </c>
      <c r="E164" s="16" t="n">
        <v>0.46</v>
      </c>
      <c r="F164" s="16" t="n">
        <v>0.32</v>
      </c>
      <c r="G164" s="16" t="n">
        <v>0.36</v>
      </c>
      <c r="H164" s="16" t="n">
        <v>0</v>
      </c>
      <c r="I164" s="16" t="n">
        <v>0</v>
      </c>
      <c r="J164" s="16" t="n">
        <v>0</v>
      </c>
      <c r="K164" s="16" t="n">
        <v>0</v>
      </c>
      <c r="L164" s="16" t="n">
        <v>-0.1</v>
      </c>
      <c r="M164" s="16" t="n">
        <v>0.4</v>
      </c>
      <c r="N164" s="16" t="n">
        <v>0.42</v>
      </c>
      <c r="O164" s="16" t="n">
        <v>0.33</v>
      </c>
      <c r="P164" s="16" t="n">
        <v>0.2</v>
      </c>
      <c r="Q164" s="16" t="n">
        <v>0.115</v>
      </c>
      <c r="R164" s="16" t="n">
        <v>4</v>
      </c>
    </row>
    <row r="165">
      <c r="A165" s="5" t="inlineStr">
        <is>
          <t>SLD1-38</t>
        </is>
      </c>
      <c r="B165" s="5" t="inlineStr">
        <is>
          <t>Neck</t>
        </is>
      </c>
      <c r="C165" s="5" t="inlineStr">
        <is>
          <t>Cylinder</t>
        </is>
      </c>
      <c r="D165" s="5" t="inlineStr">
        <is>
          <t>Neck (SLD1-37)</t>
        </is>
      </c>
      <c r="E165" s="16" t="n">
        <v>0.125</v>
      </c>
      <c r="F165" s="16" t="n">
        <v>0.115</v>
      </c>
      <c r="G165" s="16" t="n">
        <v>0.11</v>
      </c>
      <c r="H165" s="16" t="n">
        <v>90</v>
      </c>
      <c r="I165" s="16" t="n">
        <v>0</v>
      </c>
      <c r="J165" s="16" t="n">
        <v>0</v>
      </c>
      <c r="K165" s="16" t="n">
        <v>0</v>
      </c>
      <c r="L165" s="16" t="n">
        <v>0.035</v>
      </c>
      <c r="M165" s="16" t="n">
        <v>0</v>
      </c>
      <c r="N165" s="16" t="n">
        <v>0.376</v>
      </c>
      <c r="O165" s="16" t="n">
        <v>0.2629</v>
      </c>
      <c r="P165" s="16" t="n">
        <v>0.1904</v>
      </c>
      <c r="Q165" s="16" t="n">
        <v>0.175</v>
      </c>
      <c r="R165" s="16" t="n">
        <v>12.1257</v>
      </c>
    </row>
    <row r="166">
      <c r="A166" s="5" t="inlineStr">
        <is>
          <t>SLD1-40</t>
        </is>
      </c>
      <c r="B166" s="5" t="inlineStr">
        <is>
          <t>Head</t>
        </is>
      </c>
      <c r="C166" s="5" t="inlineStr">
        <is>
          <t>Sphere</t>
        </is>
      </c>
      <c r="D166" s="5" t="inlineStr">
        <is>
          <t>Head (SLD1-39)</t>
        </is>
      </c>
      <c r="E166" s="16" t="n">
        <v>0.18</v>
      </c>
      <c r="F166" s="16" t="n">
        <v>0.225</v>
      </c>
      <c r="G166" s="16" t="n">
        <v>0.205</v>
      </c>
      <c r="H166" s="16" t="n">
        <v>0</v>
      </c>
      <c r="I166" s="16" t="n">
        <v>0</v>
      </c>
      <c r="J166" s="16" t="n">
        <v>0</v>
      </c>
      <c r="K166" s="16" t="n">
        <v>0</v>
      </c>
      <c r="L166" s="16" t="n">
        <v>0.08</v>
      </c>
      <c r="M166" s="16" t="n">
        <v>0</v>
      </c>
      <c r="N166" s="16" t="n">
        <v>0.376</v>
      </c>
      <c r="O166" s="16" t="n">
        <v>0.2629</v>
      </c>
      <c r="P166" s="16" t="n">
        <v>0.1904</v>
      </c>
      <c r="Q166" s="16" t="n">
        <v>0.175</v>
      </c>
      <c r="R166" s="16" t="n">
        <v>12.1257</v>
      </c>
    </row>
    <row r="167">
      <c r="A167" s="5" t="inlineStr">
        <is>
          <t>SLD1-41</t>
        </is>
      </c>
      <c r="B167" s="5" t="inlineStr">
        <is>
          <t>Helmet</t>
        </is>
      </c>
      <c r="C167" s="5" t="inlineStr">
        <is>
          <t>Hemisphere</t>
        </is>
      </c>
      <c r="D167" s="5" t="inlineStr">
        <is>
          <t>Head (SLD1-39)</t>
        </is>
      </c>
      <c r="E167" s="16" t="n">
        <v>0.245</v>
      </c>
      <c r="F167" s="16" t="n">
        <v>0.125</v>
      </c>
      <c r="G167" s="16" t="n">
        <v>0.265</v>
      </c>
      <c r="H167" s="16" t="n">
        <v>-6</v>
      </c>
      <c r="I167" s="16" t="n">
        <v>0</v>
      </c>
      <c r="J167" s="16" t="n">
        <v>0</v>
      </c>
      <c r="K167" s="16" t="n">
        <v>0</v>
      </c>
      <c r="L167" s="16" t="n">
        <v>0.1822</v>
      </c>
      <c r="M167" s="16" t="n">
        <v>-0.0165</v>
      </c>
      <c r="N167" s="16" t="n">
        <v>0.2455</v>
      </c>
      <c r="O167" s="16" t="n">
        <v>0.2644</v>
      </c>
      <c r="P167" s="16" t="n">
        <v>0.1889</v>
      </c>
      <c r="Q167" s="16" t="n">
        <v>0.055</v>
      </c>
      <c r="R167" s="16" t="n">
        <v>2</v>
      </c>
    </row>
    <row r="168">
      <c r="A168" s="5" t="inlineStr">
        <is>
          <t>SLD1-42</t>
        </is>
      </c>
      <c r="B168" s="5" t="inlineStr">
        <is>
          <t>Helmet brim</t>
        </is>
      </c>
      <c r="C168" s="5" t="inlineStr">
        <is>
          <t>Cylinder</t>
        </is>
      </c>
      <c r="D168" s="5" t="inlineStr">
        <is>
          <t>Head (SLD1-39)</t>
        </is>
      </c>
      <c r="E168" s="16" t="n">
        <v>0.255</v>
      </c>
      <c r="F168" s="16" t="n">
        <v>0.28</v>
      </c>
      <c r="G168" s="16" t="n">
        <v>0.022</v>
      </c>
      <c r="H168" s="16" t="n">
        <v>84</v>
      </c>
      <c r="I168" s="16" t="n">
        <v>0</v>
      </c>
      <c r="J168" s="16" t="n">
        <v>0</v>
      </c>
      <c r="K168" s="16" t="n">
        <v>0</v>
      </c>
      <c r="L168" s="16" t="n">
        <v>0.138</v>
      </c>
      <c r="M168" s="16" t="n">
        <v>-0.005</v>
      </c>
      <c r="N168" s="16" t="n">
        <v>0.1719</v>
      </c>
      <c r="O168" s="16" t="n">
        <v>0.1851</v>
      </c>
      <c r="P168" s="16" t="n">
        <v>0.1322</v>
      </c>
      <c r="Q168" s="16" t="n">
        <v>0.198</v>
      </c>
      <c r="R168" s="16" t="n">
        <v>9.1896</v>
      </c>
    </row>
    <row r="169">
      <c r="A169" s="5" t="inlineStr">
        <is>
          <t>SLD1-61</t>
        </is>
      </c>
      <c r="B169" s="5" t="inlineStr">
        <is>
          <t>Jaw</t>
        </is>
      </c>
      <c r="C169" s="5" t="inlineStr">
        <is>
          <t>Sphere</t>
        </is>
      </c>
      <c r="D169" s="5" t="inlineStr">
        <is>
          <t>Head (SLD1-39)</t>
        </is>
      </c>
      <c r="E169" s="16" t="n">
        <v>0.13</v>
      </c>
      <c r="F169" s="16" t="n">
        <v>0.08500000000000001</v>
      </c>
      <c r="G169" s="16" t="n">
        <v>0.115</v>
      </c>
      <c r="H169" s="16" t="n">
        <v>0</v>
      </c>
      <c r="I169" s="16" t="n">
        <v>0</v>
      </c>
      <c r="J169" s="16" t="n">
        <v>0</v>
      </c>
      <c r="K169" s="16" t="n">
        <v>0</v>
      </c>
      <c r="L169" s="16" t="n">
        <v>0.018</v>
      </c>
      <c r="M169" s="16" t="n">
        <v>0.037</v>
      </c>
      <c r="N169" s="16" t="n">
        <v>0.376</v>
      </c>
      <c r="O169" s="16" t="n">
        <v>0.2629</v>
      </c>
      <c r="P169" s="16" t="n">
        <v>0.1904</v>
      </c>
      <c r="Q169" s="16" t="n">
        <v>0.175</v>
      </c>
      <c r="R169" s="16" t="n">
        <v>12.1257</v>
      </c>
    </row>
    <row r="170">
      <c r="A170" s="5" t="inlineStr">
        <is>
          <t>SLD1-62</t>
        </is>
      </c>
      <c r="B170" s="5" t="inlineStr">
        <is>
          <t>Nose</t>
        </is>
      </c>
      <c r="C170" s="5" t="inlineStr">
        <is>
          <t>Sphere</t>
        </is>
      </c>
      <c r="D170" s="5" t="inlineStr">
        <is>
          <t>Head (SLD1-39)</t>
        </is>
      </c>
      <c r="E170" s="16" t="n">
        <v>0.032</v>
      </c>
      <c r="F170" s="16" t="n">
        <v>0.05</v>
      </c>
      <c r="G170" s="16" t="n">
        <v>0.045</v>
      </c>
      <c r="H170" s="16" t="n">
        <v>-15</v>
      </c>
      <c r="I170" s="16" t="n">
        <v>0</v>
      </c>
      <c r="J170" s="16" t="n">
        <v>0</v>
      </c>
      <c r="K170" s="16" t="n">
        <v>0</v>
      </c>
      <c r="L170" s="16" t="n">
        <v>0.062</v>
      </c>
      <c r="M170" s="16" t="n">
        <v>0.098</v>
      </c>
      <c r="N170" s="16" t="n">
        <v>0.376</v>
      </c>
      <c r="O170" s="16" t="n">
        <v>0.2629</v>
      </c>
      <c r="P170" s="16" t="n">
        <v>0.1904</v>
      </c>
      <c r="Q170" s="16" t="n">
        <v>0.175</v>
      </c>
      <c r="R170" s="16" t="n">
        <v>12.1257</v>
      </c>
    </row>
    <row r="171">
      <c r="A171" s="5" t="inlineStr">
        <is>
          <t>SLD1-63</t>
        </is>
      </c>
      <c r="B171" s="5" t="inlineStr">
        <is>
          <t>Eye</t>
        </is>
      </c>
      <c r="C171" s="5" t="inlineStr">
        <is>
          <t>Sphere</t>
        </is>
      </c>
      <c r="D171" s="5" t="inlineStr">
        <is>
          <t>Head (SLD1-39)</t>
        </is>
      </c>
      <c r="E171" s="16" t="n">
        <v>0.024</v>
      </c>
      <c r="F171" s="16" t="n">
        <v>0.016</v>
      </c>
      <c r="G171" s="16" t="n">
        <v>0.012</v>
      </c>
      <c r="H171" s="16" t="n">
        <v>0</v>
      </c>
      <c r="I171" s="16" t="n">
        <v>0</v>
      </c>
      <c r="J171" s="16" t="n">
        <v>0</v>
      </c>
      <c r="K171" s="16" t="n">
        <v>0.033</v>
      </c>
      <c r="L171" s="16" t="n">
        <v>0.093</v>
      </c>
      <c r="M171" s="16" t="n">
        <v>0.094</v>
      </c>
      <c r="N171" s="16" t="n">
        <v>0.035</v>
      </c>
      <c r="O171" s="16" t="n">
        <v>0.03</v>
      </c>
      <c r="P171" s="16" t="n">
        <v>0.025</v>
      </c>
      <c r="Q171" s="16" t="n">
        <v>0.28</v>
      </c>
      <c r="R171" s="16" t="n">
        <v>84.4485</v>
      </c>
    </row>
    <row r="172">
      <c r="A172" s="5" t="inlineStr">
        <is>
          <t>SLD1-64</t>
        </is>
      </c>
      <c r="B172" s="5" t="inlineStr">
        <is>
          <t>Ear</t>
        </is>
      </c>
      <c r="C172" s="5" t="inlineStr">
        <is>
          <t>Sphere</t>
        </is>
      </c>
      <c r="D172" s="5" t="inlineStr">
        <is>
          <t>Head (SLD1-39)</t>
        </is>
      </c>
      <c r="E172" s="16" t="n">
        <v>0.022</v>
      </c>
      <c r="F172" s="16" t="n">
        <v>0.058</v>
      </c>
      <c r="G172" s="16" t="n">
        <v>0.042</v>
      </c>
      <c r="H172" s="16" t="n">
        <v>0</v>
      </c>
      <c r="I172" s="16" t="n">
        <v>0</v>
      </c>
      <c r="J172" s="16" t="n">
        <v>0</v>
      </c>
      <c r="K172" s="16" t="n">
        <v>0.089</v>
      </c>
      <c r="L172" s="16" t="n">
        <v>0.075</v>
      </c>
      <c r="M172" s="16" t="n">
        <v>-0.005</v>
      </c>
      <c r="N172" s="16" t="n">
        <v>0.376</v>
      </c>
      <c r="O172" s="16" t="n">
        <v>0.2629</v>
      </c>
      <c r="P172" s="16" t="n">
        <v>0.1904</v>
      </c>
      <c r="Q172" s="16" t="n">
        <v>0.175</v>
      </c>
      <c r="R172" s="16" t="n">
        <v>12.1257</v>
      </c>
    </row>
    <row r="173">
      <c r="A173" s="5" t="inlineStr">
        <is>
          <t>SLD1-65</t>
        </is>
      </c>
      <c r="B173" s="5" t="inlineStr">
        <is>
          <t>Chin strap</t>
        </is>
      </c>
      <c r="C173" s="5" t="inlineStr">
        <is>
          <t>Cylinder</t>
        </is>
      </c>
      <c r="D173" s="5" t="inlineStr">
        <is>
          <t>Head (SLD1-39)</t>
        </is>
      </c>
      <c r="E173" s="16" t="n">
        <v>0.012</v>
      </c>
      <c r="F173" s="16" t="n">
        <v>0.012</v>
      </c>
      <c r="G173" s="16" t="n">
        <v>0.1695</v>
      </c>
      <c r="H173" s="16" t="n">
        <v>58.8041</v>
      </c>
      <c r="I173" s="16" t="n">
        <v>-37.1309</v>
      </c>
      <c r="J173" s="16" t="n">
        <v>0</v>
      </c>
      <c r="K173" s="16" t="n">
        <v>0.0615</v>
      </c>
      <c r="L173" s="16" t="n">
        <v>0.0525</v>
      </c>
      <c r="M173" s="16" t="n">
        <v>0.025</v>
      </c>
      <c r="N173" s="16" t="n">
        <v>0.09</v>
      </c>
      <c r="O173" s="16" t="n">
        <v>0.08500000000000001</v>
      </c>
      <c r="P173" s="16" t="n">
        <v>0.06</v>
      </c>
      <c r="Q173" s="16" t="n">
        <v>0.08500000000000001</v>
      </c>
      <c r="R173" s="16" t="n">
        <v>2.2974</v>
      </c>
    </row>
    <row r="174">
      <c r="A174" s="5" t="inlineStr">
        <is>
          <t>SLD1-66</t>
        </is>
      </c>
      <c r="B174" s="5" t="inlineStr">
        <is>
          <t>Eye</t>
        </is>
      </c>
      <c r="C174" s="5" t="inlineStr">
        <is>
          <t>Sphere</t>
        </is>
      </c>
      <c r="D174" s="5" t="inlineStr">
        <is>
          <t>Head (SLD1-39)</t>
        </is>
      </c>
      <c r="E174" s="16" t="n">
        <v>0.024</v>
      </c>
      <c r="F174" s="16" t="n">
        <v>0.016</v>
      </c>
      <c r="G174" s="16" t="n">
        <v>0.012</v>
      </c>
      <c r="H174" s="16" t="n">
        <v>0</v>
      </c>
      <c r="I174" s="16" t="n">
        <v>0</v>
      </c>
      <c r="J174" s="16" t="n">
        <v>0</v>
      </c>
      <c r="K174" s="16" t="n">
        <v>-0.033</v>
      </c>
      <c r="L174" s="16" t="n">
        <v>0.093</v>
      </c>
      <c r="M174" s="16" t="n">
        <v>0.094</v>
      </c>
      <c r="N174" s="16" t="n">
        <v>0.035</v>
      </c>
      <c r="O174" s="16" t="n">
        <v>0.03</v>
      </c>
      <c r="P174" s="16" t="n">
        <v>0.025</v>
      </c>
      <c r="Q174" s="16" t="n">
        <v>0.28</v>
      </c>
      <c r="R174" s="16" t="n">
        <v>84.4485</v>
      </c>
    </row>
    <row r="175">
      <c r="A175" s="5" t="inlineStr">
        <is>
          <t>SLD1-67</t>
        </is>
      </c>
      <c r="B175" s="5" t="inlineStr">
        <is>
          <t>Ear</t>
        </is>
      </c>
      <c r="C175" s="5" t="inlineStr">
        <is>
          <t>Sphere</t>
        </is>
      </c>
      <c r="D175" s="5" t="inlineStr">
        <is>
          <t>Head (SLD1-39)</t>
        </is>
      </c>
      <c r="E175" s="16" t="n">
        <v>0.022</v>
      </c>
      <c r="F175" s="16" t="n">
        <v>0.058</v>
      </c>
      <c r="G175" s="16" t="n">
        <v>0.042</v>
      </c>
      <c r="H175" s="16" t="n">
        <v>0</v>
      </c>
      <c r="I175" s="16" t="n">
        <v>0</v>
      </c>
      <c r="J175" s="16" t="n">
        <v>0</v>
      </c>
      <c r="K175" s="16" t="n">
        <v>-0.089</v>
      </c>
      <c r="L175" s="16" t="n">
        <v>0.075</v>
      </c>
      <c r="M175" s="16" t="n">
        <v>-0.005</v>
      </c>
      <c r="N175" s="16" t="n">
        <v>0.376</v>
      </c>
      <c r="O175" s="16" t="n">
        <v>0.2629</v>
      </c>
      <c r="P175" s="16" t="n">
        <v>0.1904</v>
      </c>
      <c r="Q175" s="16" t="n">
        <v>0.175</v>
      </c>
      <c r="R175" s="16" t="n">
        <v>12.1257</v>
      </c>
    </row>
    <row r="176">
      <c r="A176" s="5" t="inlineStr">
        <is>
          <t>SLD1-68</t>
        </is>
      </c>
      <c r="B176" s="5" t="inlineStr">
        <is>
          <t>Chin strap</t>
        </is>
      </c>
      <c r="C176" s="5" t="inlineStr">
        <is>
          <t>Cylinder</t>
        </is>
      </c>
      <c r="D176" s="5" t="inlineStr">
        <is>
          <t>Head (SLD1-39)</t>
        </is>
      </c>
      <c r="E176" s="16" t="n">
        <v>0.012</v>
      </c>
      <c r="F176" s="16" t="n">
        <v>0.012</v>
      </c>
      <c r="G176" s="16" t="n">
        <v>0.1695</v>
      </c>
      <c r="H176" s="16" t="n">
        <v>58.8041</v>
      </c>
      <c r="I176" s="16" t="n">
        <v>37.1309</v>
      </c>
      <c r="J176" s="16" t="n">
        <v>0</v>
      </c>
      <c r="K176" s="16" t="n">
        <v>-0.0615</v>
      </c>
      <c r="L176" s="16" t="n">
        <v>0.0525</v>
      </c>
      <c r="M176" s="16" t="n">
        <v>0.025</v>
      </c>
      <c r="N176" s="16" t="n">
        <v>0.09</v>
      </c>
      <c r="O176" s="16" t="n">
        <v>0.08500000000000001</v>
      </c>
      <c r="P176" s="16" t="n">
        <v>0.06</v>
      </c>
      <c r="Q176" s="16" t="n">
        <v>0.08500000000000001</v>
      </c>
      <c r="R176" s="16" t="n">
        <v>2.2974</v>
      </c>
    </row>
    <row r="177">
      <c r="A177" s="5" t="inlineStr">
        <is>
          <t>SLD1-69</t>
        </is>
      </c>
      <c r="B177" s="5" t="inlineStr">
        <is>
          <t>Goggles</t>
        </is>
      </c>
      <c r="C177" s="5" t="inlineStr">
        <is>
          <t>Cube</t>
        </is>
      </c>
      <c r="D177" s="5" t="inlineStr">
        <is>
          <t>Head (SLD1-39)</t>
        </is>
      </c>
      <c r="E177" s="16" t="n">
        <v>0.15</v>
      </c>
      <c r="F177" s="16" t="n">
        <v>0.032</v>
      </c>
      <c r="G177" s="16" t="n">
        <v>0.03</v>
      </c>
      <c r="H177" s="16" t="n">
        <v>-35</v>
      </c>
      <c r="I177" s="16" t="n">
        <v>0</v>
      </c>
      <c r="J177" s="16" t="n">
        <v>0</v>
      </c>
      <c r="K177" s="16" t="n">
        <v>0</v>
      </c>
      <c r="L177" s="16" t="n">
        <v>0.215</v>
      </c>
      <c r="M177" s="16" t="n">
        <v>0.092</v>
      </c>
      <c r="N177" s="16" t="n">
        <v>0.04</v>
      </c>
      <c r="O177" s="16" t="n">
        <v>0.05</v>
      </c>
      <c r="P177" s="16" t="n">
        <v>0.06</v>
      </c>
      <c r="Q177" s="16" t="n">
        <v>0.3465</v>
      </c>
      <c r="R177" s="16" t="n">
        <v>194.012</v>
      </c>
    </row>
    <row r="178">
      <c r="A178" s="5" t="inlineStr">
        <is>
          <t>SLD1-70</t>
        </is>
      </c>
      <c r="B178" s="5" t="inlineStr">
        <is>
          <t>NVG mount</t>
        </is>
      </c>
      <c r="C178" s="5" t="inlineStr">
        <is>
          <t>Cube</t>
        </is>
      </c>
      <c r="D178" s="5" t="inlineStr">
        <is>
          <t>Head (SLD1-39)</t>
        </is>
      </c>
      <c r="E178" s="16" t="n">
        <v>0.04</v>
      </c>
      <c r="F178" s="16" t="n">
        <v>0.035</v>
      </c>
      <c r="G178" s="16" t="n">
        <v>0.025</v>
      </c>
      <c r="H178" s="16" t="n">
        <v>-10</v>
      </c>
      <c r="I178" s="16" t="n">
        <v>0</v>
      </c>
      <c r="J178" s="16" t="n">
        <v>0</v>
      </c>
      <c r="K178" s="16" t="n">
        <v>0</v>
      </c>
      <c r="L178" s="16" t="n">
        <v>0.163</v>
      </c>
      <c r="M178" s="16" t="n">
        <v>0.128</v>
      </c>
      <c r="N178" s="16" t="n">
        <v>0.07000000000000001</v>
      </c>
      <c r="O178" s="16" t="n">
        <v>0.07000000000000001</v>
      </c>
      <c r="P178" s="16" t="n">
        <v>0.075</v>
      </c>
      <c r="Q178" s="16" t="n">
        <v>0.435</v>
      </c>
      <c r="R178" s="16" t="n">
        <v>16</v>
      </c>
    </row>
    <row r="179">
      <c r="A179" s="5" t="inlineStr">
        <is>
          <t>SLD1-71</t>
        </is>
      </c>
      <c r="B179" s="5" t="inlineStr">
        <is>
          <t>Trapezius</t>
        </is>
      </c>
      <c r="C179" s="5" t="inlineStr">
        <is>
          <t>Sphere</t>
        </is>
      </c>
      <c r="D179" s="5" t="inlineStr">
        <is>
          <t>Neck (SLD1-37)</t>
        </is>
      </c>
      <c r="E179" s="16" t="n">
        <v>0.2</v>
      </c>
      <c r="F179" s="16" t="n">
        <v>0.08500000000000001</v>
      </c>
      <c r="G179" s="16" t="n">
        <v>0.15</v>
      </c>
      <c r="H179" s="16" t="n">
        <v>0</v>
      </c>
      <c r="I179" s="16" t="n">
        <v>0</v>
      </c>
      <c r="J179" s="16" t="n">
        <v>-20</v>
      </c>
      <c r="K179" s="16" t="n">
        <v>0.08500000000000001</v>
      </c>
      <c r="L179" s="16" t="n">
        <v>-0.02</v>
      </c>
      <c r="M179" s="16" t="n">
        <v>-0.02</v>
      </c>
      <c r="N179" s="16" t="n">
        <v>0.3003</v>
      </c>
      <c r="O179" s="16" t="n">
        <v>0.3029</v>
      </c>
      <c r="P179" s="16" t="n">
        <v>0.2156</v>
      </c>
      <c r="Q179" s="16" t="n">
        <v>0.055</v>
      </c>
      <c r="R179" s="16" t="n">
        <v>2</v>
      </c>
    </row>
    <row r="180">
      <c r="A180" s="5" t="inlineStr">
        <is>
          <t>SLD1-73</t>
        </is>
      </c>
      <c r="B180" s="5" t="inlineStr">
        <is>
          <t>Trapezius</t>
        </is>
      </c>
      <c r="C180" s="5" t="inlineStr">
        <is>
          <t>Sphere</t>
        </is>
      </c>
      <c r="D180" s="5" t="inlineStr">
        <is>
          <t>Neck (SLD1-37)</t>
        </is>
      </c>
      <c r="E180" s="16" t="n">
        <v>0.2</v>
      </c>
      <c r="F180" s="16" t="n">
        <v>0.08500000000000001</v>
      </c>
      <c r="G180" s="16" t="n">
        <v>0.15</v>
      </c>
      <c r="H180" s="16" t="n">
        <v>0</v>
      </c>
      <c r="I180" s="16" t="n">
        <v>0</v>
      </c>
      <c r="J180" s="16" t="n">
        <v>20</v>
      </c>
      <c r="K180" s="16" t="n">
        <v>-0.08500000000000001</v>
      </c>
      <c r="L180" s="16" t="n">
        <v>-0.02</v>
      </c>
      <c r="M180" s="16" t="n">
        <v>-0.02</v>
      </c>
      <c r="N180" s="16" t="n">
        <v>0.3003</v>
      </c>
      <c r="O180" s="16" t="n">
        <v>0.3029</v>
      </c>
      <c r="P180" s="16" t="n">
        <v>0.2156</v>
      </c>
      <c r="Q180" s="16" t="n">
        <v>0.055</v>
      </c>
      <c r="R180" s="16" t="n">
        <v>2</v>
      </c>
    </row>
    <row r="181">
      <c r="A181" s="5" t="inlineStr">
        <is>
          <t>SLD1-44</t>
        </is>
      </c>
      <c r="B181" s="5" t="inlineStr">
        <is>
          <t>Shoulder joint</t>
        </is>
      </c>
      <c r="C181" s="5" t="inlineStr">
        <is>
          <t>Sphere</t>
        </is>
      </c>
      <c r="D181" s="5" t="inlineStr">
        <is>
          <t>Shoulder L (SLD1-43)</t>
        </is>
      </c>
      <c r="E181" s="16" t="n">
        <v>0.13</v>
      </c>
      <c r="F181" s="16" t="n">
        <v>0.13</v>
      </c>
      <c r="G181" s="16" t="n">
        <v>0.13</v>
      </c>
      <c r="H181" s="16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16" t="n">
        <v>0</v>
      </c>
      <c r="N181" s="16" t="n">
        <v>0.3183</v>
      </c>
      <c r="O181" s="16" t="n">
        <v>0.3211</v>
      </c>
      <c r="P181" s="16" t="n">
        <v>0.2285</v>
      </c>
      <c r="Q181" s="16" t="n">
        <v>0.055</v>
      </c>
      <c r="R181" s="16" t="n">
        <v>2</v>
      </c>
    </row>
    <row r="182">
      <c r="A182" s="5" t="inlineStr">
        <is>
          <t>SLD1-45</t>
        </is>
      </c>
      <c r="B182" s="5" t="inlineStr">
        <is>
          <t>Upper arm</t>
        </is>
      </c>
      <c r="C182" s="5" t="inlineStr">
        <is>
          <t>Cylinder</t>
        </is>
      </c>
      <c r="D182" s="5" t="inlineStr">
        <is>
          <t>Shoulder L (SLD1-43)</t>
        </is>
      </c>
      <c r="E182" s="16" t="n">
        <v>0.13</v>
      </c>
      <c r="F182" s="16" t="n">
        <v>0.13</v>
      </c>
      <c r="G182" s="16" t="n">
        <v>0.3</v>
      </c>
      <c r="H182" s="16" t="n">
        <v>90</v>
      </c>
      <c r="I182" s="16" t="n">
        <v>0</v>
      </c>
      <c r="J182" s="16" t="n">
        <v>0</v>
      </c>
      <c r="K182" s="16" t="n">
        <v>0</v>
      </c>
      <c r="L182" s="16" t="n">
        <v>-0.15</v>
      </c>
      <c r="M182" s="16" t="n">
        <v>0</v>
      </c>
      <c r="N182" s="16" t="n">
        <v>0.3183</v>
      </c>
      <c r="O182" s="16" t="n">
        <v>0.3211</v>
      </c>
      <c r="P182" s="16" t="n">
        <v>0.2285</v>
      </c>
      <c r="Q182" s="16" t="n">
        <v>0.055</v>
      </c>
      <c r="R182" s="16" t="n">
        <v>2</v>
      </c>
    </row>
    <row r="183">
      <c r="A183" s="5" t="inlineStr">
        <is>
          <t>SLD1-47</t>
        </is>
      </c>
      <c r="B183" s="5" t="inlineStr">
        <is>
          <t>Elbow joint</t>
        </is>
      </c>
      <c r="C183" s="5" t="inlineStr">
        <is>
          <t>Sphere</t>
        </is>
      </c>
      <c r="D183" s="5" t="inlineStr">
        <is>
          <t>Elbow L (SLD1-46)</t>
        </is>
      </c>
      <c r="E183" s="16" t="n">
        <v>0.13</v>
      </c>
      <c r="F183" s="16" t="n">
        <v>0.13</v>
      </c>
      <c r="G183" s="16" t="n">
        <v>0.13</v>
      </c>
      <c r="H183" s="16" t="n">
        <v>0</v>
      </c>
      <c r="I183" s="16" t="n">
        <v>0</v>
      </c>
      <c r="J183" s="16" t="n">
        <v>0</v>
      </c>
      <c r="K183" s="16" t="n">
        <v>0</v>
      </c>
      <c r="L183" s="16" t="n">
        <v>0</v>
      </c>
      <c r="M183" s="16" t="n">
        <v>0</v>
      </c>
      <c r="N183" s="16" t="n">
        <v>0.3183</v>
      </c>
      <c r="O183" s="16" t="n">
        <v>0.3211</v>
      </c>
      <c r="P183" s="16" t="n">
        <v>0.2285</v>
      </c>
      <c r="Q183" s="16" t="n">
        <v>0.055</v>
      </c>
      <c r="R183" s="16" t="n">
        <v>2</v>
      </c>
    </row>
    <row r="184">
      <c r="A184" s="5" t="inlineStr">
        <is>
          <t>SLD1-48</t>
        </is>
      </c>
      <c r="B184" s="5" t="inlineStr">
        <is>
          <t>Forearm</t>
        </is>
      </c>
      <c r="C184" s="5" t="inlineStr">
        <is>
          <t>Cylinder</t>
        </is>
      </c>
      <c r="D184" s="5" t="inlineStr">
        <is>
          <t>Elbow L (SLD1-46)</t>
        </is>
      </c>
      <c r="E184" s="16" t="n">
        <v>0.11</v>
      </c>
      <c r="F184" s="16" t="n">
        <v>0.11</v>
      </c>
      <c r="G184" s="16" t="n">
        <v>0.26</v>
      </c>
      <c r="H184" s="16" t="n">
        <v>90</v>
      </c>
      <c r="I184" s="16" t="n">
        <v>0</v>
      </c>
      <c r="J184" s="16" t="n">
        <v>0</v>
      </c>
      <c r="K184" s="16" t="n">
        <v>0</v>
      </c>
      <c r="L184" s="16" t="n">
        <v>-0.13</v>
      </c>
      <c r="M184" s="16" t="n">
        <v>0</v>
      </c>
      <c r="N184" s="16" t="n">
        <v>0.3183</v>
      </c>
      <c r="O184" s="16" t="n">
        <v>0.3211</v>
      </c>
      <c r="P184" s="16" t="n">
        <v>0.2285</v>
      </c>
      <c r="Q184" s="16" t="n">
        <v>0.055</v>
      </c>
      <c r="R184" s="16" t="n">
        <v>2</v>
      </c>
    </row>
    <row r="185">
      <c r="A185" s="5" t="inlineStr">
        <is>
          <t>SLD1-50</t>
        </is>
      </c>
      <c r="B185" s="5" t="inlineStr">
        <is>
          <t>Hand</t>
        </is>
      </c>
      <c r="C185" s="5" t="inlineStr">
        <is>
          <t>Sphere</t>
        </is>
      </c>
      <c r="D185" s="5" t="inlineStr">
        <is>
          <t>Wrist L (SLD1-49)</t>
        </is>
      </c>
      <c r="E185" s="16" t="n">
        <v>0.09</v>
      </c>
      <c r="F185" s="16" t="n">
        <v>0.12</v>
      </c>
      <c r="G185" s="16" t="n">
        <v>0.08</v>
      </c>
      <c r="H185" s="16" t="n">
        <v>0</v>
      </c>
      <c r="I185" s="16" t="n">
        <v>0</v>
      </c>
      <c r="J185" s="16" t="n">
        <v>0</v>
      </c>
      <c r="K185" s="16" t="n">
        <v>0</v>
      </c>
      <c r="L185" s="16" t="n">
        <v>-0.05</v>
      </c>
      <c r="M185" s="16" t="n">
        <v>0</v>
      </c>
      <c r="N185" s="16" t="n">
        <v>0.11</v>
      </c>
      <c r="O185" s="16" t="n">
        <v>0.1</v>
      </c>
      <c r="P185" s="16" t="n">
        <v>0.08500000000000001</v>
      </c>
      <c r="Q185" s="16" t="n">
        <v>0.1</v>
      </c>
      <c r="R185" s="16" t="n">
        <v>3.0314</v>
      </c>
    </row>
    <row r="186">
      <c r="A186" s="5" t="inlineStr">
        <is>
          <t>SLD1-78</t>
        </is>
      </c>
      <c r="B186" s="5" t="inlineStr">
        <is>
          <t>Forearm muscle</t>
        </is>
      </c>
      <c r="C186" s="5" t="inlineStr">
        <is>
          <t>Sphere</t>
        </is>
      </c>
      <c r="D186" s="5" t="inlineStr">
        <is>
          <t>Elbow L (SLD1-46)</t>
        </is>
      </c>
      <c r="E186" s="16" t="n">
        <v>0.12</v>
      </c>
      <c r="F186" s="16" t="n">
        <v>0.18</v>
      </c>
      <c r="G186" s="16" t="n">
        <v>0.12</v>
      </c>
      <c r="H186" s="16" t="n">
        <v>0</v>
      </c>
      <c r="I186" s="16" t="n">
        <v>0</v>
      </c>
      <c r="J186" s="16" t="n">
        <v>0</v>
      </c>
      <c r="K186" s="16" t="n">
        <v>0</v>
      </c>
      <c r="L186" s="16" t="n">
        <v>-0.07000000000000001</v>
      </c>
      <c r="M186" s="16" t="n">
        <v>0</v>
      </c>
      <c r="N186" s="16" t="n">
        <v>0.3183</v>
      </c>
      <c r="O186" s="16" t="n">
        <v>0.3211</v>
      </c>
      <c r="P186" s="16" t="n">
        <v>0.2285</v>
      </c>
      <c r="Q186" s="16" t="n">
        <v>0.055</v>
      </c>
      <c r="R186" s="16" t="n">
        <v>2</v>
      </c>
    </row>
    <row r="187">
      <c r="A187" s="5" t="inlineStr">
        <is>
          <t>SLD1-79</t>
        </is>
      </c>
      <c r="B187" s="5" t="inlineStr">
        <is>
          <t>Elbow pad</t>
        </is>
      </c>
      <c r="C187" s="5" t="inlineStr">
        <is>
          <t>Sphere</t>
        </is>
      </c>
      <c r="D187" s="5" t="inlineStr">
        <is>
          <t>Elbow L (SLD1-46)</t>
        </is>
      </c>
      <c r="E187" s="16" t="n">
        <v>0.1</v>
      </c>
      <c r="F187" s="16" t="n">
        <v>0.11</v>
      </c>
      <c r="G187" s="16" t="n">
        <v>0.055</v>
      </c>
      <c r="H187" s="16" t="n">
        <v>0</v>
      </c>
      <c r="I187" s="16" t="n">
        <v>0</v>
      </c>
      <c r="J187" s="16" t="n">
        <v>0</v>
      </c>
      <c r="K187" s="16" t="n">
        <v>0</v>
      </c>
      <c r="L187" s="16" t="n">
        <v>-0.01</v>
      </c>
      <c r="M187" s="16" t="n">
        <v>-0.055</v>
      </c>
      <c r="N187" s="16" t="n">
        <v>0.1</v>
      </c>
      <c r="O187" s="16" t="n">
        <v>0.1</v>
      </c>
      <c r="P187" s="16" t="n">
        <v>0.08500000000000001</v>
      </c>
      <c r="Q187" s="16" t="n">
        <v>0.1</v>
      </c>
      <c r="R187" s="16" t="n">
        <v>3.0314</v>
      </c>
    </row>
    <row r="188">
      <c r="A188" s="5" t="inlineStr">
        <is>
          <t>SLD1-72</t>
        </is>
      </c>
      <c r="B188" s="5" t="inlineStr">
        <is>
          <t>Deltoid</t>
        </is>
      </c>
      <c r="C188" s="5" t="inlineStr">
        <is>
          <t>Sphere</t>
        </is>
      </c>
      <c r="D188" s="5" t="inlineStr">
        <is>
          <t>Shoulder L (SLD1-43)</t>
        </is>
      </c>
      <c r="E188" s="16" t="n">
        <v>0.155</v>
      </c>
      <c r="F188" s="16" t="n">
        <v>0.17</v>
      </c>
      <c r="G188" s="16" t="n">
        <v>0.15</v>
      </c>
      <c r="H188" s="16" t="n">
        <v>0</v>
      </c>
      <c r="I188" s="16" t="n">
        <v>0</v>
      </c>
      <c r="J188" s="16" t="n">
        <v>0</v>
      </c>
      <c r="K188" s="16" t="n">
        <v>0.01</v>
      </c>
      <c r="L188" s="16" t="n">
        <v>-0.035</v>
      </c>
      <c r="M188" s="16" t="n">
        <v>0</v>
      </c>
      <c r="N188" s="16" t="n">
        <v>0.3183</v>
      </c>
      <c r="O188" s="16" t="n">
        <v>0.3211</v>
      </c>
      <c r="P188" s="16" t="n">
        <v>0.2285</v>
      </c>
      <c r="Q188" s="16" t="n">
        <v>0.055</v>
      </c>
      <c r="R188" s="16" t="n">
        <v>2</v>
      </c>
    </row>
    <row r="189">
      <c r="A189" s="5" t="inlineStr">
        <is>
          <t>SLD1-52</t>
        </is>
      </c>
      <c r="B189" s="5" t="inlineStr">
        <is>
          <t>Shoulder joint</t>
        </is>
      </c>
      <c r="C189" s="5" t="inlineStr">
        <is>
          <t>Sphere</t>
        </is>
      </c>
      <c r="D189" s="5" t="inlineStr">
        <is>
          <t>Shoulder R (SLD1-51)</t>
        </is>
      </c>
      <c r="E189" s="16" t="n">
        <v>0.13</v>
      </c>
      <c r="F189" s="16" t="n">
        <v>0.13</v>
      </c>
      <c r="G189" s="16" t="n">
        <v>0.13</v>
      </c>
      <c r="H189" s="16" t="n">
        <v>0</v>
      </c>
      <c r="I189" s="16" t="n">
        <v>0</v>
      </c>
      <c r="J189" s="16" t="n">
        <v>0</v>
      </c>
      <c r="K189" s="16" t="n">
        <v>0</v>
      </c>
      <c r="L189" s="16" t="n">
        <v>0</v>
      </c>
      <c r="M189" s="16" t="n">
        <v>0</v>
      </c>
      <c r="N189" s="16" t="n">
        <v>0.3183</v>
      </c>
      <c r="O189" s="16" t="n">
        <v>0.3211</v>
      </c>
      <c r="P189" s="16" t="n">
        <v>0.2285</v>
      </c>
      <c r="Q189" s="16" t="n">
        <v>0.055</v>
      </c>
      <c r="R189" s="16" t="n">
        <v>2</v>
      </c>
    </row>
    <row r="190">
      <c r="A190" s="5" t="inlineStr">
        <is>
          <t>SLD1-53</t>
        </is>
      </c>
      <c r="B190" s="5" t="inlineStr">
        <is>
          <t>Upper arm</t>
        </is>
      </c>
      <c r="C190" s="5" t="inlineStr">
        <is>
          <t>Cylinder</t>
        </is>
      </c>
      <c r="D190" s="5" t="inlineStr">
        <is>
          <t>Shoulder R (SLD1-51)</t>
        </is>
      </c>
      <c r="E190" s="16" t="n">
        <v>0.13</v>
      </c>
      <c r="F190" s="16" t="n">
        <v>0.13</v>
      </c>
      <c r="G190" s="16" t="n">
        <v>0.3</v>
      </c>
      <c r="H190" s="16" t="n">
        <v>90</v>
      </c>
      <c r="I190" s="16" t="n">
        <v>0</v>
      </c>
      <c r="J190" s="16" t="n">
        <v>0</v>
      </c>
      <c r="K190" s="16" t="n">
        <v>0</v>
      </c>
      <c r="L190" s="16" t="n">
        <v>-0.15</v>
      </c>
      <c r="M190" s="16" t="n">
        <v>0</v>
      </c>
      <c r="N190" s="16" t="n">
        <v>0.3183</v>
      </c>
      <c r="O190" s="16" t="n">
        <v>0.3211</v>
      </c>
      <c r="P190" s="16" t="n">
        <v>0.2285</v>
      </c>
      <c r="Q190" s="16" t="n">
        <v>0.055</v>
      </c>
      <c r="R190" s="16" t="n">
        <v>2</v>
      </c>
    </row>
    <row r="191">
      <c r="A191" s="5" t="inlineStr">
        <is>
          <t>SLD1-55</t>
        </is>
      </c>
      <c r="B191" s="5" t="inlineStr">
        <is>
          <t>Elbow joint</t>
        </is>
      </c>
      <c r="C191" s="5" t="inlineStr">
        <is>
          <t>Sphere</t>
        </is>
      </c>
      <c r="D191" s="5" t="inlineStr">
        <is>
          <t>Elbow R (SLD1-54)</t>
        </is>
      </c>
      <c r="E191" s="16" t="n">
        <v>0.13</v>
      </c>
      <c r="F191" s="16" t="n">
        <v>0.13</v>
      </c>
      <c r="G191" s="16" t="n">
        <v>0.13</v>
      </c>
      <c r="H191" s="16" t="n">
        <v>0</v>
      </c>
      <c r="I191" s="16" t="n">
        <v>0</v>
      </c>
      <c r="J191" s="16" t="n">
        <v>0</v>
      </c>
      <c r="K191" s="16" t="n">
        <v>0</v>
      </c>
      <c r="L191" s="16" t="n">
        <v>0</v>
      </c>
      <c r="M191" s="16" t="n">
        <v>0</v>
      </c>
      <c r="N191" s="16" t="n">
        <v>0.3183</v>
      </c>
      <c r="O191" s="16" t="n">
        <v>0.3211</v>
      </c>
      <c r="P191" s="16" t="n">
        <v>0.2285</v>
      </c>
      <c r="Q191" s="16" t="n">
        <v>0.055</v>
      </c>
      <c r="R191" s="16" t="n">
        <v>2</v>
      </c>
    </row>
    <row r="192">
      <c r="A192" s="5" t="inlineStr">
        <is>
          <t>SLD1-56</t>
        </is>
      </c>
      <c r="B192" s="5" t="inlineStr">
        <is>
          <t>Forearm</t>
        </is>
      </c>
      <c r="C192" s="5" t="inlineStr">
        <is>
          <t>Cylinder</t>
        </is>
      </c>
      <c r="D192" s="5" t="inlineStr">
        <is>
          <t>Elbow R (SLD1-54)</t>
        </is>
      </c>
      <c r="E192" s="16" t="n">
        <v>0.11</v>
      </c>
      <c r="F192" s="16" t="n">
        <v>0.11</v>
      </c>
      <c r="G192" s="16" t="n">
        <v>0.26</v>
      </c>
      <c r="H192" s="16" t="n">
        <v>90</v>
      </c>
      <c r="I192" s="16" t="n">
        <v>0</v>
      </c>
      <c r="J192" s="16" t="n">
        <v>0</v>
      </c>
      <c r="K192" s="16" t="n">
        <v>0</v>
      </c>
      <c r="L192" s="16" t="n">
        <v>-0.13</v>
      </c>
      <c r="M192" s="16" t="n">
        <v>0</v>
      </c>
      <c r="N192" s="16" t="n">
        <v>0.3183</v>
      </c>
      <c r="O192" s="16" t="n">
        <v>0.3211</v>
      </c>
      <c r="P192" s="16" t="n">
        <v>0.2285</v>
      </c>
      <c r="Q192" s="16" t="n">
        <v>0.055</v>
      </c>
      <c r="R192" s="16" t="n">
        <v>2</v>
      </c>
    </row>
    <row r="193">
      <c r="A193" s="5" t="inlineStr">
        <is>
          <t>SLD1-58</t>
        </is>
      </c>
      <c r="B193" s="5" t="inlineStr">
        <is>
          <t>Hand</t>
        </is>
      </c>
      <c r="C193" s="5" t="inlineStr">
        <is>
          <t>Sphere</t>
        </is>
      </c>
      <c r="D193" s="5" t="inlineStr">
        <is>
          <t>Wrist R (SLD1-57)</t>
        </is>
      </c>
      <c r="E193" s="16" t="n">
        <v>0.09</v>
      </c>
      <c r="F193" s="16" t="n">
        <v>0.12</v>
      </c>
      <c r="G193" s="16" t="n">
        <v>0.08</v>
      </c>
      <c r="H193" s="16" t="n">
        <v>0</v>
      </c>
      <c r="I193" s="16" t="n">
        <v>0</v>
      </c>
      <c r="J193" s="16" t="n">
        <v>0</v>
      </c>
      <c r="K193" s="16" t="n">
        <v>0</v>
      </c>
      <c r="L193" s="16" t="n">
        <v>-0.05</v>
      </c>
      <c r="M193" s="16" t="n">
        <v>0</v>
      </c>
      <c r="N193" s="16" t="n">
        <v>0.11</v>
      </c>
      <c r="O193" s="16" t="n">
        <v>0.1</v>
      </c>
      <c r="P193" s="16" t="n">
        <v>0.08500000000000001</v>
      </c>
      <c r="Q193" s="16" t="n">
        <v>0.1</v>
      </c>
      <c r="R193" s="16" t="n">
        <v>3.0314</v>
      </c>
    </row>
    <row r="194">
      <c r="A194" s="5" t="inlineStr">
        <is>
          <t>SLD1-59</t>
        </is>
      </c>
      <c r="B194" s="5" t="inlineStr">
        <is>
          <t>Wrench</t>
        </is>
      </c>
      <c r="C194" s="5" t="inlineStr">
        <is>
          <t>Cylinder</t>
        </is>
      </c>
      <c r="D194" s="5" t="inlineStr">
        <is>
          <t>Wrist R (SLD1-57)</t>
        </is>
      </c>
      <c r="E194" s="16" t="n">
        <v>0.03</v>
      </c>
      <c r="F194" s="16" t="n">
        <v>0.03</v>
      </c>
      <c r="G194" s="16" t="n">
        <v>0.26</v>
      </c>
      <c r="H194" s="16" t="n">
        <v>0</v>
      </c>
      <c r="I194" s="16" t="n">
        <v>0</v>
      </c>
      <c r="J194" s="16" t="n">
        <v>0</v>
      </c>
      <c r="K194" s="16" t="n">
        <v>0</v>
      </c>
      <c r="L194" s="16" t="n">
        <v>-0.06</v>
      </c>
      <c r="M194" s="16" t="n">
        <v>0.1</v>
      </c>
      <c r="N194" s="16" t="n">
        <v>0.62</v>
      </c>
      <c r="O194" s="16" t="n">
        <v>0.63</v>
      </c>
      <c r="P194" s="16" t="n">
        <v>0.66</v>
      </c>
      <c r="Q194" s="16" t="n">
        <v>0.511</v>
      </c>
      <c r="R194" s="16" t="n">
        <v>48.5029</v>
      </c>
    </row>
    <row r="195">
      <c r="A195" s="5" t="inlineStr">
        <is>
          <t>SLD1-83</t>
        </is>
      </c>
      <c r="B195" s="5" t="inlineStr">
        <is>
          <t>Forearm muscle</t>
        </is>
      </c>
      <c r="C195" s="5" t="inlineStr">
        <is>
          <t>Sphere</t>
        </is>
      </c>
      <c r="D195" s="5" t="inlineStr">
        <is>
          <t>Elbow R (SLD1-54)</t>
        </is>
      </c>
      <c r="E195" s="16" t="n">
        <v>0.12</v>
      </c>
      <c r="F195" s="16" t="n">
        <v>0.18</v>
      </c>
      <c r="G195" s="16" t="n">
        <v>0.12</v>
      </c>
      <c r="H195" s="16" t="n">
        <v>0</v>
      </c>
      <c r="I195" s="16" t="n">
        <v>0</v>
      </c>
      <c r="J195" s="16" t="n">
        <v>0</v>
      </c>
      <c r="K195" s="16" t="n">
        <v>0</v>
      </c>
      <c r="L195" s="16" t="n">
        <v>-0.07000000000000001</v>
      </c>
      <c r="M195" s="16" t="n">
        <v>0</v>
      </c>
      <c r="N195" s="16" t="n">
        <v>0.3183</v>
      </c>
      <c r="O195" s="16" t="n">
        <v>0.3211</v>
      </c>
      <c r="P195" s="16" t="n">
        <v>0.2285</v>
      </c>
      <c r="Q195" s="16" t="n">
        <v>0.055</v>
      </c>
      <c r="R195" s="16" t="n">
        <v>2</v>
      </c>
    </row>
    <row r="196">
      <c r="A196" s="5" t="inlineStr">
        <is>
          <t>SLD1-84</t>
        </is>
      </c>
      <c r="B196" s="5" t="inlineStr">
        <is>
          <t>Elbow pad</t>
        </is>
      </c>
      <c r="C196" s="5" t="inlineStr">
        <is>
          <t>Sphere</t>
        </is>
      </c>
      <c r="D196" s="5" t="inlineStr">
        <is>
          <t>Elbow R (SLD1-54)</t>
        </is>
      </c>
      <c r="E196" s="16" t="n">
        <v>0.1</v>
      </c>
      <c r="F196" s="16" t="n">
        <v>0.11</v>
      </c>
      <c r="G196" s="16" t="n">
        <v>0.055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-0.01</v>
      </c>
      <c r="M196" s="16" t="n">
        <v>-0.055</v>
      </c>
      <c r="N196" s="16" t="n">
        <v>0.1</v>
      </c>
      <c r="O196" s="16" t="n">
        <v>0.1</v>
      </c>
      <c r="P196" s="16" t="n">
        <v>0.08500000000000001</v>
      </c>
      <c r="Q196" s="16" t="n">
        <v>0.1</v>
      </c>
      <c r="R196" s="16" t="n">
        <v>3.0314</v>
      </c>
    </row>
    <row r="197">
      <c r="A197" s="5" t="inlineStr">
        <is>
          <t>SLD1-74</t>
        </is>
      </c>
      <c r="B197" s="5" t="inlineStr">
        <is>
          <t>Deltoid</t>
        </is>
      </c>
      <c r="C197" s="5" t="inlineStr">
        <is>
          <t>Sphere</t>
        </is>
      </c>
      <c r="D197" s="5" t="inlineStr">
        <is>
          <t>Shoulder R (SLD1-51)</t>
        </is>
      </c>
      <c r="E197" s="16" t="n">
        <v>0.155</v>
      </c>
      <c r="F197" s="16" t="n">
        <v>0.17</v>
      </c>
      <c r="G197" s="16" t="n">
        <v>0.15</v>
      </c>
      <c r="H197" s="16" t="n">
        <v>0</v>
      </c>
      <c r="I197" s="16" t="n">
        <v>0</v>
      </c>
      <c r="J197" s="16" t="n">
        <v>0</v>
      </c>
      <c r="K197" s="16" t="n">
        <v>-0.01</v>
      </c>
      <c r="L197" s="16" t="n">
        <v>-0.035</v>
      </c>
      <c r="M197" s="16" t="n">
        <v>0</v>
      </c>
      <c r="N197" s="16" t="n">
        <v>0.3183</v>
      </c>
      <c r="O197" s="16" t="n">
        <v>0.3211</v>
      </c>
      <c r="P197" s="16" t="n">
        <v>0.2285</v>
      </c>
      <c r="Q197" s="16" t="n">
        <v>0.055</v>
      </c>
      <c r="R197" s="16" t="n">
        <v>2</v>
      </c>
    </row>
    <row r="198">
      <c r="A198" s="5" t="inlineStr">
        <is>
          <t>SLD1-60</t>
        </is>
      </c>
      <c r="B198" s="5" t="inlineStr">
        <is>
          <t>Plate carrier</t>
        </is>
      </c>
      <c r="C198" s="5" t="inlineStr">
        <is>
          <t>Cube</t>
        </is>
      </c>
      <c r="D198" s="5" t="inlineStr">
        <is>
          <t>Chest (SLD1-24)</t>
        </is>
      </c>
      <c r="E198" s="16" t="n">
        <v>0.3463</v>
      </c>
      <c r="F198" s="16" t="n">
        <v>0.27</v>
      </c>
      <c r="G198" s="16" t="n">
        <v>0.295</v>
      </c>
      <c r="H198" s="16" t="n">
        <v>0</v>
      </c>
      <c r="I198" s="16" t="n">
        <v>0</v>
      </c>
      <c r="J198" s="16" t="n">
        <v>0</v>
      </c>
      <c r="K198" s="16" t="n">
        <v>0</v>
      </c>
      <c r="L198" s="16" t="n">
        <v>0.07000000000000001</v>
      </c>
      <c r="M198" s="16" t="n">
        <v>0.005</v>
      </c>
      <c r="N198" s="16" t="n">
        <v>0.27</v>
      </c>
      <c r="O198" s="16" t="n">
        <v>0.235</v>
      </c>
      <c r="P198" s="16" t="n">
        <v>0.155</v>
      </c>
      <c r="Q198" s="16" t="n">
        <v>0.124</v>
      </c>
      <c r="R198" s="16" t="n">
        <v>4.724</v>
      </c>
    </row>
    <row r="199">
      <c r="A199" s="5" t="inlineStr">
        <is>
          <t>SLD1-85</t>
        </is>
      </c>
      <c r="B199" s="5" t="inlineStr">
        <is>
          <t>Magazine pouches</t>
        </is>
      </c>
      <c r="C199" s="5" t="inlineStr">
        <is>
          <t>Cube</t>
        </is>
      </c>
      <c r="D199" s="5" t="inlineStr">
        <is>
          <t>Chest (SLD1-24)</t>
        </is>
      </c>
      <c r="E199" s="16" t="n">
        <v>0.25</v>
      </c>
      <c r="F199" s="16" t="n">
        <v>0.11</v>
      </c>
      <c r="G199" s="16" t="n">
        <v>0.06</v>
      </c>
      <c r="H199" s="16" t="n">
        <v>0</v>
      </c>
      <c r="I199" s="16" t="n">
        <v>0</v>
      </c>
      <c r="J199" s="16" t="n">
        <v>0</v>
      </c>
      <c r="K199" s="16" t="n">
        <v>0</v>
      </c>
      <c r="L199" s="16" t="n">
        <v>0</v>
      </c>
      <c r="M199" s="16" t="n">
        <v>0.175</v>
      </c>
      <c r="N199" s="16" t="n">
        <v>0.27</v>
      </c>
      <c r="O199" s="16" t="n">
        <v>0.235</v>
      </c>
      <c r="P199" s="16" t="n">
        <v>0.155</v>
      </c>
      <c r="Q199" s="16" t="n">
        <v>0.124</v>
      </c>
      <c r="R199" s="16" t="n">
        <v>4.724</v>
      </c>
    </row>
    <row r="200">
      <c r="A200" s="5" t="inlineStr">
        <is>
          <t>SLD1-86</t>
        </is>
      </c>
      <c r="B200" s="5" t="inlineStr">
        <is>
          <t>Admin pouch</t>
        </is>
      </c>
      <c r="C200" s="5" t="inlineStr">
        <is>
          <t>Cube</t>
        </is>
      </c>
      <c r="D200" s="5" t="inlineStr">
        <is>
          <t>Chest (SLD1-24)</t>
        </is>
      </c>
      <c r="E200" s="16" t="n">
        <v>0.13</v>
      </c>
      <c r="F200" s="16" t="n">
        <v>0.07000000000000001</v>
      </c>
      <c r="G200" s="16" t="n">
        <v>0.035</v>
      </c>
      <c r="H200" s="16" t="n">
        <v>0</v>
      </c>
      <c r="I200" s="16" t="n">
        <v>0</v>
      </c>
      <c r="J200" s="16" t="n">
        <v>0</v>
      </c>
      <c r="K200" s="16" t="n">
        <v>0</v>
      </c>
      <c r="L200" s="16" t="n">
        <v>0.115</v>
      </c>
      <c r="M200" s="16" t="n">
        <v>0.166</v>
      </c>
      <c r="N200" s="16" t="n">
        <v>0.2295</v>
      </c>
      <c r="O200" s="16" t="n">
        <v>0.1998</v>
      </c>
      <c r="P200" s="16" t="n">
        <v>0.1318</v>
      </c>
      <c r="Q200" s="16" t="n">
        <v>0.124</v>
      </c>
      <c r="R200" s="16" t="n">
        <v>4.724</v>
      </c>
    </row>
    <row r="201">
      <c r="A201" s="5" t="inlineStr">
        <is>
          <t>SLD1-87</t>
        </is>
      </c>
      <c r="B201" s="5" t="inlineStr">
        <is>
          <t>Radio</t>
        </is>
      </c>
      <c r="C201" s="5" t="inlineStr">
        <is>
          <t>Cube</t>
        </is>
      </c>
      <c r="D201" s="5" t="inlineStr">
        <is>
          <t>Chest (SLD1-24)</t>
        </is>
      </c>
      <c r="E201" s="16" t="n">
        <v>0.05</v>
      </c>
      <c r="F201" s="16" t="n">
        <v>0.15</v>
      </c>
      <c r="G201" s="16" t="n">
        <v>0.08</v>
      </c>
      <c r="H201" s="16" t="n">
        <v>0</v>
      </c>
      <c r="I201" s="16" t="n">
        <v>0</v>
      </c>
      <c r="J201" s="16" t="n">
        <v>0</v>
      </c>
      <c r="K201" s="16" t="n">
        <v>0.19</v>
      </c>
      <c r="L201" s="16" t="n">
        <v>0.04</v>
      </c>
      <c r="M201" s="16" t="n">
        <v>-0.05</v>
      </c>
      <c r="N201" s="16" t="n">
        <v>0.1</v>
      </c>
      <c r="O201" s="16" t="n">
        <v>0.11</v>
      </c>
      <c r="P201" s="16" t="n">
        <v>0.08</v>
      </c>
      <c r="Q201" s="16" t="n">
        <v>0.171</v>
      </c>
      <c r="R201" s="16" t="n">
        <v>5.278</v>
      </c>
    </row>
    <row r="202">
      <c r="A202" s="5" t="inlineStr">
        <is>
          <t>SLD1-88</t>
        </is>
      </c>
      <c r="B202" s="5" t="inlineStr">
        <is>
          <t>Radio antenna</t>
        </is>
      </c>
      <c r="C202" s="5" t="inlineStr">
        <is>
          <t>Cylinder</t>
        </is>
      </c>
      <c r="D202" s="5" t="inlineStr">
        <is>
          <t>Chest (SLD1-24)</t>
        </is>
      </c>
      <c r="E202" s="16" t="n">
        <v>0.008</v>
      </c>
      <c r="F202" s="16" t="n">
        <v>0.008</v>
      </c>
      <c r="G202" s="16" t="n">
        <v>0.3693</v>
      </c>
      <c r="H202" s="16" t="n">
        <v>-81.2925</v>
      </c>
      <c r="I202" s="16" t="n">
        <v>153.4349</v>
      </c>
      <c r="J202" s="16" t="n">
        <v>0</v>
      </c>
      <c r="K202" s="16" t="n">
        <v>0.2025</v>
      </c>
      <c r="L202" s="16" t="n">
        <v>0.2975</v>
      </c>
      <c r="M202" s="16" t="n">
        <v>-0.095</v>
      </c>
      <c r="N202" s="16" t="n">
        <v>0.07000000000000001</v>
      </c>
      <c r="O202" s="16" t="n">
        <v>0.07000000000000001</v>
      </c>
      <c r="P202" s="16" t="n">
        <v>0.075</v>
      </c>
      <c r="Q202" s="16" t="n">
        <v>0.435</v>
      </c>
      <c r="R202" s="16" t="n">
        <v>16</v>
      </c>
    </row>
  </sheetData>
  <printOptions gridLines="0"/>
  <pageMargins left="0.4" right="0.4" top="0.4" bottom="0.4" header="0.2" footer="0.2"/>
  <pageSetup orientation="landscape" paperSize="9" scale="62"/>
  <rowBreaks count="2" manualBreakCount="2">
    <brk id="41" min="0" max="16383" man="1"/>
    <brk id="124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W9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7" customWidth="1" min="3" max="3"/>
    <col width="9" customWidth="1" min="4" max="4"/>
    <col width="9" customWidth="1" min="5" max="5"/>
    <col width="10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</cols>
  <sheetData>
    <row r="1">
      <c r="A1" s="1" t="inlineStr">
        <is>
          <t>Designs: every object design, its instances and its primitives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ts --export-docs 'designs' (src/report/Designs.cpp) and src/report/PrimitiveColors.h. Section 19 of the report draws one card per design.</t>
        </is>
      </c>
    </row>
    <row r="5">
      <c r="A5" s="10" t="inlineStr">
        <is>
          <t>1. Designs: parts by primitive over all instances (yellow: export), totals and checks (formulas)</t>
        </is>
      </c>
    </row>
    <row r="6" ht="42" customHeight="1">
      <c r="A6" s="3" t="inlineStr">
        <is>
          <t>Design</t>
        </is>
      </c>
      <c r="B6" s="3" t="inlineStr">
        <is>
          <t>Family</t>
        </is>
      </c>
      <c r="C6" s="3" t="inlineStr">
        <is>
          <t>x n</t>
        </is>
      </c>
      <c r="D6" s="3" t="inlineStr">
        <is>
          <t>parts / inst.</t>
        </is>
      </c>
      <c r="E6" s="3" t="inlineStr">
        <is>
          <t>parts total</t>
        </is>
      </c>
      <c r="F6" s="3" t="inlineStr">
        <is>
          <t>n x parts</t>
        </is>
      </c>
      <c r="G6" s="3" t="inlineStr">
        <is>
          <t>Cube</t>
        </is>
      </c>
      <c r="H6" s="3" t="inlineStr">
        <is>
          <t>Cuboid</t>
        </is>
      </c>
      <c r="I6" s="3" t="inlineStr">
        <is>
          <t>Wedge</t>
        </is>
      </c>
      <c r="J6" s="3" t="inlineStr">
        <is>
          <t>Tapered box</t>
        </is>
      </c>
      <c r="K6" s="3" t="inlineStr">
        <is>
          <t>Pyramid</t>
        </is>
      </c>
      <c r="L6" s="3" t="inlineStr">
        <is>
          <t>Sphere</t>
        </is>
      </c>
      <c r="M6" s="3" t="inlineStr">
        <is>
          <t>Hemisphere</t>
        </is>
      </c>
      <c r="N6" s="3" t="inlineStr">
        <is>
          <t>Capsule</t>
        </is>
      </c>
      <c r="O6" s="3" t="inlineStr">
        <is>
          <t>Cylinder</t>
        </is>
      </c>
      <c r="P6" s="3" t="inlineStr">
        <is>
          <t>Cylinder (frustum)</t>
        </is>
      </c>
      <c r="Q6" s="3" t="inlineStr">
        <is>
          <t>Cone</t>
        </is>
      </c>
      <c r="R6" s="3" t="inlineStr">
        <is>
          <t>Torus</t>
        </is>
      </c>
      <c r="S6" s="3" t="inlineStr">
        <is>
          <t>Annulus</t>
        </is>
      </c>
      <c r="T6" s="3" t="inlineStr">
        <is>
          <t>Helix</t>
        </is>
      </c>
      <c r="U6" s="3" t="inlineStr">
        <is>
          <t>Terrain disc</t>
        </is>
      </c>
      <c r="V6" s="3" t="inlineStr">
        <is>
          <t>sum</t>
        </is>
      </c>
      <c r="W6" s="3" t="inlineStr">
        <is>
          <t>check</t>
        </is>
      </c>
    </row>
    <row r="7">
      <c r="A7" s="4" t="inlineStr">
        <is>
          <t>Soldier</t>
        </is>
      </c>
      <c r="B7" s="17" t="inlineStr">
        <is>
          <t>people</t>
        </is>
      </c>
      <c r="C7" s="8" t="n">
        <v>8</v>
      </c>
      <c r="D7" s="9" t="n">
        <v>75</v>
      </c>
      <c r="E7" s="8" t="n">
        <v>600</v>
      </c>
      <c r="F7" s="7">
        <f>IF(ISNUMBER(D7),C7*D7,E7)</f>
        <v/>
      </c>
      <c r="G7" s="7" t="n"/>
      <c r="H7" s="8" t="n">
        <v>128</v>
      </c>
      <c r="I7" s="7" t="n"/>
      <c r="J7" s="8" t="n">
        <v>8</v>
      </c>
      <c r="K7" s="7" t="n"/>
      <c r="L7" s="8" t="n">
        <v>296</v>
      </c>
      <c r="M7" s="8" t="n">
        <v>8</v>
      </c>
      <c r="N7" s="7" t="n"/>
      <c r="O7" s="8" t="n">
        <v>160</v>
      </c>
      <c r="P7" s="7" t="n"/>
      <c r="Q7" s="7" t="n"/>
      <c r="R7" s="7" t="n"/>
      <c r="S7" s="7" t="n"/>
      <c r="T7" s="7" t="n"/>
      <c r="U7" s="7" t="n"/>
      <c r="V7" s="7">
        <f>SUM(G7:U7)</f>
        <v/>
      </c>
      <c r="W7" s="15">
        <f>IF(AND(V7=E7,F7=E7),"OK","DIFF")</f>
        <v/>
      </c>
    </row>
    <row r="8">
      <c r="A8" s="4" t="inlineStr">
        <is>
          <t>Main battle tank</t>
        </is>
      </c>
      <c r="B8" s="17" t="inlineStr">
        <is>
          <t>vehicles and aircraft</t>
        </is>
      </c>
      <c r="C8" s="8" t="n">
        <v>3</v>
      </c>
      <c r="D8" s="9" t="n">
        <v>255</v>
      </c>
      <c r="E8" s="8" t="n">
        <v>765</v>
      </c>
      <c r="F8" s="7">
        <f>IF(ISNUMBER(D8),C8*D8,E8)</f>
        <v/>
      </c>
      <c r="G8" s="7" t="n"/>
      <c r="H8" s="8" t="n">
        <v>504</v>
      </c>
      <c r="I8" s="8" t="n">
        <v>3</v>
      </c>
      <c r="J8" s="8" t="n">
        <v>3</v>
      </c>
      <c r="K8" s="7" t="n"/>
      <c r="L8" s="8" t="n">
        <v>15</v>
      </c>
      <c r="M8" s="7" t="n"/>
      <c r="N8" s="7" t="n"/>
      <c r="O8" s="8" t="n">
        <v>183</v>
      </c>
      <c r="P8" s="7" t="n"/>
      <c r="Q8" s="7" t="n"/>
      <c r="R8" s="8" t="n">
        <v>57</v>
      </c>
      <c r="S8" s="7" t="n"/>
      <c r="T8" s="7" t="n"/>
      <c r="U8" s="7" t="n"/>
      <c r="V8" s="7">
        <f>SUM(G8:U8)</f>
        <v/>
      </c>
      <c r="W8" s="15">
        <f>IF(AND(V8=E8,F8=E8),"OK","DIFF")</f>
        <v/>
      </c>
    </row>
    <row r="9">
      <c r="A9" s="4" t="inlineStr">
        <is>
          <t>MLRS rocket truck</t>
        </is>
      </c>
      <c r="B9" s="17" t="inlineStr">
        <is>
          <t>vehicles and aircraft</t>
        </is>
      </c>
      <c r="C9" s="8" t="n">
        <v>1</v>
      </c>
      <c r="D9" s="9" t="n">
        <v>106</v>
      </c>
      <c r="E9" s="8" t="n">
        <v>106</v>
      </c>
      <c r="F9" s="7">
        <f>IF(ISNUMBER(D9),C9*D9,E9)</f>
        <v/>
      </c>
      <c r="G9" s="8" t="n">
        <v>1</v>
      </c>
      <c r="H9" s="8" t="n">
        <v>32</v>
      </c>
      <c r="I9" s="7" t="n"/>
      <c r="J9" s="7" t="n"/>
      <c r="K9" s="7" t="n"/>
      <c r="L9" s="8" t="n">
        <v>3</v>
      </c>
      <c r="M9" s="7" t="n"/>
      <c r="N9" s="7" t="n"/>
      <c r="O9" s="8" t="n">
        <v>46</v>
      </c>
      <c r="P9" s="7" t="n"/>
      <c r="Q9" s="7" t="n"/>
      <c r="R9" s="8" t="n">
        <v>24</v>
      </c>
      <c r="S9" s="7" t="n"/>
      <c r="T9" s="7" t="n"/>
      <c r="U9" s="7" t="n"/>
      <c r="V9" s="7">
        <f>SUM(G9:U9)</f>
        <v/>
      </c>
      <c r="W9" s="15">
        <f>IF(AND(V9=E9,F9=E9),"OK","DIFF")</f>
        <v/>
      </c>
    </row>
    <row r="10">
      <c r="A10" s="4" t="inlineStr">
        <is>
          <t>Scout helicopter</t>
        </is>
      </c>
      <c r="B10" s="17" t="inlineStr">
        <is>
          <t>vehicles and aircraft</t>
        </is>
      </c>
      <c r="C10" s="8" t="n">
        <v>1</v>
      </c>
      <c r="D10" s="9" t="n">
        <v>91</v>
      </c>
      <c r="E10" s="8" t="n">
        <v>91</v>
      </c>
      <c r="F10" s="7">
        <f>IF(ISNUMBER(D10),C10*D10,E10)</f>
        <v/>
      </c>
      <c r="G10" s="7" t="n"/>
      <c r="H10" s="8" t="n">
        <v>40</v>
      </c>
      <c r="I10" s="7" t="n"/>
      <c r="J10" s="7" t="n"/>
      <c r="K10" s="7" t="n"/>
      <c r="L10" s="8" t="n">
        <v>21</v>
      </c>
      <c r="M10" s="7" t="n"/>
      <c r="N10" s="7" t="n"/>
      <c r="O10" s="8" t="n">
        <v>28</v>
      </c>
      <c r="P10" s="8" t="n">
        <v>1</v>
      </c>
      <c r="Q10" s="8" t="n">
        <v>1</v>
      </c>
      <c r="R10" s="7" t="n"/>
      <c r="S10" s="7" t="n"/>
      <c r="T10" s="7" t="n"/>
      <c r="U10" s="7" t="n"/>
      <c r="V10" s="7">
        <f>SUM(G10:U10)</f>
        <v/>
      </c>
      <c r="W10" s="15">
        <f>IF(AND(V10=E10,F10=E10),"OK","DIFF")</f>
        <v/>
      </c>
    </row>
    <row r="11">
      <c r="A11" s="4" t="inlineStr">
        <is>
          <t>Autonomous UAV</t>
        </is>
      </c>
      <c r="B11" s="17" t="inlineStr">
        <is>
          <t>vehicles and aircraft</t>
        </is>
      </c>
      <c r="C11" s="8" t="n">
        <v>2</v>
      </c>
      <c r="D11" s="9" t="n">
        <v>55</v>
      </c>
      <c r="E11" s="8" t="n">
        <v>110</v>
      </c>
      <c r="F11" s="7">
        <f>IF(ISNUMBER(D11),C11*D11,E11)</f>
        <v/>
      </c>
      <c r="G11" s="7" t="n"/>
      <c r="H11" s="8" t="n">
        <v>36</v>
      </c>
      <c r="I11" s="7" t="n"/>
      <c r="J11" s="7" t="n"/>
      <c r="K11" s="7" t="n"/>
      <c r="L11" s="8" t="n">
        <v>26</v>
      </c>
      <c r="M11" s="7" t="n"/>
      <c r="N11" s="7" t="n"/>
      <c r="O11" s="8" t="n">
        <v>38</v>
      </c>
      <c r="P11" s="8" t="n">
        <v>2</v>
      </c>
      <c r="Q11" s="7" t="n"/>
      <c r="R11" s="8" t="n">
        <v>8</v>
      </c>
      <c r="S11" s="7" t="n"/>
      <c r="T11" s="7" t="n"/>
      <c r="U11" s="7" t="n"/>
      <c r="V11" s="7">
        <f>SUM(G11:U11)</f>
        <v/>
      </c>
      <c r="W11" s="15">
        <f>IF(AND(V11=E11,F11=E11),"OK","DIFF")</f>
        <v/>
      </c>
    </row>
    <row r="12">
      <c r="A12" s="4" t="inlineStr">
        <is>
          <t>Cargo truck</t>
        </is>
      </c>
      <c r="B12" s="17" t="inlineStr">
        <is>
          <t>vehicles and aircraft</t>
        </is>
      </c>
      <c r="C12" s="8" t="n">
        <v>2</v>
      </c>
      <c r="D12" s="9" t="n">
        <v>31</v>
      </c>
      <c r="E12" s="8" t="n">
        <v>62</v>
      </c>
      <c r="F12" s="7">
        <f>IF(ISNUMBER(D12),C12*D12,E12)</f>
        <v/>
      </c>
      <c r="G12" s="7" t="n"/>
      <c r="H12" s="8" t="n">
        <v>30</v>
      </c>
      <c r="I12" s="7" t="n"/>
      <c r="J12" s="7" t="n"/>
      <c r="K12" s="7" t="n"/>
      <c r="L12" s="8" t="n">
        <v>4</v>
      </c>
      <c r="M12" s="7" t="n"/>
      <c r="N12" s="7" t="n"/>
      <c r="O12" s="8" t="n">
        <v>28</v>
      </c>
      <c r="P12" s="7" t="n"/>
      <c r="Q12" s="7" t="n"/>
      <c r="R12" s="7" t="n"/>
      <c r="S12" s="7" t="n"/>
      <c r="T12" s="7" t="n"/>
      <c r="U12" s="7" t="n"/>
      <c r="V12" s="7">
        <f>SUM(G12:U12)</f>
        <v/>
      </c>
      <c r="W12" s="15">
        <f>IF(AND(V12=E12,F12=E12),"OK","DIFF")</f>
        <v/>
      </c>
    </row>
    <row r="13">
      <c r="A13" s="4" t="inlineStr">
        <is>
          <t>Target rover</t>
        </is>
      </c>
      <c r="B13" s="17" t="inlineStr">
        <is>
          <t>vehicles and aircraft</t>
        </is>
      </c>
      <c r="C13" s="8" t="n">
        <v>6</v>
      </c>
      <c r="D13" s="9" t="n">
        <v>26</v>
      </c>
      <c r="E13" s="8" t="n">
        <v>156</v>
      </c>
      <c r="F13" s="7">
        <f>IF(ISNUMBER(D13),C13*D13,E13)</f>
        <v/>
      </c>
      <c r="G13" s="7" t="n"/>
      <c r="H13" s="8" t="n">
        <v>36</v>
      </c>
      <c r="I13" s="7" t="n"/>
      <c r="J13" s="7" t="n"/>
      <c r="K13" s="7" t="n"/>
      <c r="L13" s="8" t="n">
        <v>72</v>
      </c>
      <c r="M13" s="7" t="n"/>
      <c r="N13" s="7" t="n"/>
      <c r="O13" s="8" t="n">
        <v>48</v>
      </c>
      <c r="P13" s="7" t="n"/>
      <c r="Q13" s="7" t="n"/>
      <c r="R13" s="7" t="n"/>
      <c r="S13" s="7" t="n"/>
      <c r="T13" s="7" t="n"/>
      <c r="U13" s="7" t="n"/>
      <c r="V13" s="7">
        <f>SUM(G13:U13)</f>
        <v/>
      </c>
      <c r="W13" s="15">
        <f>IF(AND(V13=E13,F13=E13),"OK","DIFF")</f>
        <v/>
      </c>
    </row>
    <row r="14">
      <c r="A14" s="4" t="inlineStr">
        <is>
          <t>SAM launcher</t>
        </is>
      </c>
      <c r="B14" s="17" t="inlineStr">
        <is>
          <t>weapons and munitions</t>
        </is>
      </c>
      <c r="C14" s="8" t="n">
        <v>1</v>
      </c>
      <c r="D14" s="9" t="n">
        <v>107</v>
      </c>
      <c r="E14" s="8" t="n">
        <v>107</v>
      </c>
      <c r="F14" s="7">
        <f>IF(ISNUMBER(D14),C14*D14,E14)</f>
        <v/>
      </c>
      <c r="G14" s="8" t="n">
        <v>1</v>
      </c>
      <c r="H14" s="8" t="n">
        <v>71</v>
      </c>
      <c r="I14" s="7" t="n"/>
      <c r="J14" s="7" t="n"/>
      <c r="K14" s="7" t="n"/>
      <c r="L14" s="8" t="n">
        <v>4</v>
      </c>
      <c r="M14" s="7" t="n"/>
      <c r="N14" s="7" t="n"/>
      <c r="O14" s="8" t="n">
        <v>23</v>
      </c>
      <c r="P14" s="7" t="n"/>
      <c r="Q14" s="7" t="n"/>
      <c r="R14" s="8" t="n">
        <v>8</v>
      </c>
      <c r="S14" s="7" t="n"/>
      <c r="T14" s="7" t="n"/>
      <c r="U14" s="7" t="n"/>
      <c r="V14" s="7">
        <f>SUM(G14:U14)</f>
        <v/>
      </c>
      <c r="W14" s="15">
        <f>IF(AND(V14=E14,F14=E14),"OK","DIFF")</f>
        <v/>
      </c>
    </row>
    <row r="15">
      <c r="A15" s="4" t="inlineStr">
        <is>
          <t>AA Gatling gun</t>
        </is>
      </c>
      <c r="B15" s="17" t="inlineStr">
        <is>
          <t>weapons and munitions</t>
        </is>
      </c>
      <c r="C15" s="8" t="n">
        <v>1</v>
      </c>
      <c r="D15" s="9" t="n">
        <v>58</v>
      </c>
      <c r="E15" s="8" t="n">
        <v>58</v>
      </c>
      <c r="F15" s="7">
        <f>IF(ISNUMBER(D15),C15*D15,E15)</f>
        <v/>
      </c>
      <c r="G15" s="7" t="n"/>
      <c r="H15" s="8" t="n">
        <v>19</v>
      </c>
      <c r="I15" s="7" t="n"/>
      <c r="J15" s="7" t="n"/>
      <c r="K15" s="7" t="n"/>
      <c r="L15" s="8" t="n">
        <v>4</v>
      </c>
      <c r="M15" s="8" t="n">
        <v>1</v>
      </c>
      <c r="N15" s="7" t="n"/>
      <c r="O15" s="8" t="n">
        <v>34</v>
      </c>
      <c r="P15" s="7" t="n"/>
      <c r="Q15" s="7" t="n"/>
      <c r="R15" s="7" t="n"/>
      <c r="S15" s="7" t="n"/>
      <c r="T15" s="7" t="n"/>
      <c r="U15" s="7" t="n"/>
      <c r="V15" s="7">
        <f>SUM(G15:U15)</f>
        <v/>
      </c>
      <c r="W15" s="15">
        <f>IF(AND(V15=E15,F15=E15),"OK","DIFF")</f>
        <v/>
      </c>
    </row>
    <row r="16">
      <c r="A16" s="4" t="inlineStr">
        <is>
          <t>SAM missile</t>
        </is>
      </c>
      <c r="B16" s="17" t="inlineStr">
        <is>
          <t>weapons and munitions</t>
        </is>
      </c>
      <c r="C16" s="8" t="n">
        <v>1</v>
      </c>
      <c r="D16" s="9" t="n">
        <v>5</v>
      </c>
      <c r="E16" s="8" t="n">
        <v>5</v>
      </c>
      <c r="F16" s="7">
        <f>IF(ISNUMBER(D16),C16*D16,E16)</f>
        <v/>
      </c>
      <c r="G16" s="7" t="n"/>
      <c r="H16" s="8" t="n">
        <v>2</v>
      </c>
      <c r="I16" s="7" t="n"/>
      <c r="J16" s="7" t="n"/>
      <c r="K16" s="7" t="n"/>
      <c r="L16" s="8" t="n">
        <v>1</v>
      </c>
      <c r="M16" s="7" t="n"/>
      <c r="N16" s="7" t="n"/>
      <c r="O16" s="8" t="n">
        <v>1</v>
      </c>
      <c r="P16" s="7" t="n"/>
      <c r="Q16" s="8" t="n">
        <v>1</v>
      </c>
      <c r="R16" s="7" t="n"/>
      <c r="S16" s="7" t="n"/>
      <c r="T16" s="7" t="n"/>
      <c r="U16" s="7" t="n"/>
      <c r="V16" s="7">
        <f>SUM(G16:U16)</f>
        <v/>
      </c>
      <c r="W16" s="15">
        <f>IF(AND(V16=E16,F16=E16),"OK","DIFF")</f>
        <v/>
      </c>
    </row>
    <row r="17">
      <c r="A17" s="4" t="inlineStr">
        <is>
          <t>MLRS rocket</t>
        </is>
      </c>
      <c r="B17" s="17" t="inlineStr">
        <is>
          <t>weapons and munitions</t>
        </is>
      </c>
      <c r="C17" s="8" t="n">
        <v>6</v>
      </c>
      <c r="D17" s="9" t="n">
        <v>5</v>
      </c>
      <c r="E17" s="8" t="n">
        <v>30</v>
      </c>
      <c r="F17" s="7">
        <f>IF(ISNUMBER(D17),C17*D17,E17)</f>
        <v/>
      </c>
      <c r="G17" s="7" t="n"/>
      <c r="H17" s="8" t="n">
        <v>12</v>
      </c>
      <c r="I17" s="7" t="n"/>
      <c r="J17" s="7" t="n"/>
      <c r="K17" s="7" t="n"/>
      <c r="L17" s="8" t="n">
        <v>6</v>
      </c>
      <c r="M17" s="7" t="n"/>
      <c r="N17" s="7" t="n"/>
      <c r="O17" s="8" t="n">
        <v>6</v>
      </c>
      <c r="P17" s="7" t="n"/>
      <c r="Q17" s="8" t="n">
        <v>6</v>
      </c>
      <c r="R17" s="7" t="n"/>
      <c r="S17" s="7" t="n"/>
      <c r="T17" s="7" t="n"/>
      <c r="U17" s="7" t="n"/>
      <c r="V17" s="7">
        <f>SUM(G17:U17)</f>
        <v/>
      </c>
      <c r="W17" s="15">
        <f>IF(AND(V17=E17,F17=E17),"OK","DIFF")</f>
        <v/>
      </c>
    </row>
    <row r="18">
      <c r="A18" s="4" t="inlineStr">
        <is>
          <t>UAV round</t>
        </is>
      </c>
      <c r="B18" s="17" t="inlineStr">
        <is>
          <t>weapons and munitions</t>
        </is>
      </c>
      <c r="C18" s="8" t="n">
        <v>8</v>
      </c>
      <c r="D18" s="9" t="n">
        <v>6</v>
      </c>
      <c r="E18" s="8" t="n">
        <v>48</v>
      </c>
      <c r="F18" s="7">
        <f>IF(ISNUMBER(D18),C18*D18,E18)</f>
        <v/>
      </c>
      <c r="G18" s="7" t="n"/>
      <c r="H18" s="8" t="n">
        <v>32</v>
      </c>
      <c r="I18" s="7" t="n"/>
      <c r="J18" s="7" t="n"/>
      <c r="K18" s="7" t="n"/>
      <c r="L18" s="7" t="n"/>
      <c r="M18" s="7" t="n"/>
      <c r="N18" s="7" t="n"/>
      <c r="O18" s="8" t="n">
        <v>8</v>
      </c>
      <c r="P18" s="7" t="n"/>
      <c r="Q18" s="8" t="n">
        <v>8</v>
      </c>
      <c r="R18" s="7" t="n"/>
      <c r="S18" s="7" t="n"/>
      <c r="T18" s="7" t="n"/>
      <c r="U18" s="7" t="n"/>
      <c r="V18" s="7">
        <f>SUM(G18:U18)</f>
        <v/>
      </c>
      <c r="W18" s="15">
        <f>IF(AND(V18=E18,F18=E18),"OK","DIFF")</f>
        <v/>
      </c>
    </row>
    <row r="19">
      <c r="A19" s="4" t="inlineStr">
        <is>
          <t>AA shell casing</t>
        </is>
      </c>
      <c r="B19" s="17" t="inlineStr">
        <is>
          <t>weapons and munitions</t>
        </is>
      </c>
      <c r="C19" s="8" t="n">
        <v>20</v>
      </c>
      <c r="D19" s="9" t="n">
        <v>1</v>
      </c>
      <c r="E19" s="8" t="n">
        <v>20</v>
      </c>
      <c r="F19" s="7">
        <f>IF(ISNUMBER(D19),C19*D19,E19)</f>
        <v/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8" t="n">
        <v>20</v>
      </c>
      <c r="P19" s="7" t="n"/>
      <c r="Q19" s="7" t="n"/>
      <c r="R19" s="7" t="n"/>
      <c r="S19" s="7" t="n"/>
      <c r="T19" s="7" t="n"/>
      <c r="U19" s="7" t="n"/>
      <c r="V19" s="7">
        <f>SUM(G19:U19)</f>
        <v/>
      </c>
      <c r="W19" s="15">
        <f>IF(AND(V19=E19,F19=E19),"OK","DIFF")</f>
        <v/>
      </c>
    </row>
    <row r="20">
      <c r="A20" s="4" t="inlineStr">
        <is>
          <t>Command bunker</t>
        </is>
      </c>
      <c r="B20" s="17" t="inlineStr">
        <is>
          <t>buildings</t>
        </is>
      </c>
      <c r="C20" s="8" t="n">
        <v>1</v>
      </c>
      <c r="D20" s="9" t="n">
        <v>390</v>
      </c>
      <c r="E20" s="8" t="n">
        <v>390</v>
      </c>
      <c r="F20" s="7">
        <f>IF(ISNUMBER(D20),C20*D20,E20)</f>
        <v/>
      </c>
      <c r="G20" s="7" t="n"/>
      <c r="H20" s="8" t="n">
        <v>281</v>
      </c>
      <c r="I20" s="8" t="n">
        <v>1</v>
      </c>
      <c r="J20" s="7" t="n"/>
      <c r="K20" s="7" t="n"/>
      <c r="L20" s="8" t="n">
        <v>18</v>
      </c>
      <c r="M20" s="8" t="n">
        <v>1</v>
      </c>
      <c r="N20" s="8" t="n">
        <v>9</v>
      </c>
      <c r="O20" s="8" t="n">
        <v>80</v>
      </c>
      <c r="P20" s="7" t="n"/>
      <c r="Q20" s="7" t="n"/>
      <c r="R20" s="7" t="n"/>
      <c r="S20" s="7" t="n"/>
      <c r="T20" s="7" t="n"/>
      <c r="U20" s="7" t="n"/>
      <c r="V20" s="7">
        <f>SUM(G20:U20)</f>
        <v/>
      </c>
      <c r="W20" s="15">
        <f>IF(AND(V20=E20,F20=E20),"OK","DIFF")</f>
        <v/>
      </c>
    </row>
    <row r="21">
      <c r="A21" s="4" t="inlineStr">
        <is>
          <t>Barracks hall</t>
        </is>
      </c>
      <c r="B21" s="17" t="inlineStr">
        <is>
          <t>buildings</t>
        </is>
      </c>
      <c r="C21" s="8" t="n">
        <v>1</v>
      </c>
      <c r="D21" s="9" t="n">
        <v>277</v>
      </c>
      <c r="E21" s="8" t="n">
        <v>277</v>
      </c>
      <c r="F21" s="7">
        <f>IF(ISNUMBER(D21),C21*D21,E21)</f>
        <v/>
      </c>
      <c r="G21" s="7" t="n"/>
      <c r="H21" s="8" t="n">
        <v>225</v>
      </c>
      <c r="I21" s="7" t="n"/>
      <c r="J21" s="7" t="n"/>
      <c r="K21" s="7" t="n"/>
      <c r="L21" s="8" t="n">
        <v>2</v>
      </c>
      <c r="M21" s="7" t="n"/>
      <c r="N21" s="7" t="n"/>
      <c r="O21" s="8" t="n">
        <v>50</v>
      </c>
      <c r="P21" s="7" t="n"/>
      <c r="Q21" s="7" t="n"/>
      <c r="R21" s="7" t="n"/>
      <c r="S21" s="7" t="n"/>
      <c r="T21" s="7" t="n"/>
      <c r="U21" s="7" t="n"/>
      <c r="V21" s="7">
        <f>SUM(G21:U21)</f>
        <v/>
      </c>
      <c r="W21" s="15">
        <f>IF(AND(V21=E21,F21=E21),"OK","DIFF")</f>
        <v/>
      </c>
    </row>
    <row r="22">
      <c r="A22" s="4" t="inlineStr">
        <is>
          <t>Air-defence radar</t>
        </is>
      </c>
      <c r="B22" s="17" t="inlineStr">
        <is>
          <t>buildings</t>
        </is>
      </c>
      <c r="C22" s="8" t="n">
        <v>1</v>
      </c>
      <c r="D22" s="9" t="n">
        <v>108</v>
      </c>
      <c r="E22" s="8" t="n">
        <v>108</v>
      </c>
      <c r="F22" s="7">
        <f>IF(ISNUMBER(D22),C22*D22,E22)</f>
        <v/>
      </c>
      <c r="G22" s="7" t="n"/>
      <c r="H22" s="8" t="n">
        <v>62</v>
      </c>
      <c r="I22" s="7" t="n"/>
      <c r="J22" s="7" t="n"/>
      <c r="K22" s="7" t="n"/>
      <c r="L22" s="8" t="n">
        <v>3</v>
      </c>
      <c r="M22" s="7" t="n"/>
      <c r="N22" s="7" t="n"/>
      <c r="O22" s="8" t="n">
        <v>42</v>
      </c>
      <c r="P22" s="7" t="n"/>
      <c r="Q22" s="8" t="n">
        <v>1</v>
      </c>
      <c r="R22" s="7" t="n"/>
      <c r="S22" s="7" t="n"/>
      <c r="T22" s="7" t="n"/>
      <c r="U22" s="7" t="n"/>
      <c r="V22" s="7">
        <f>SUM(G22:U22)</f>
        <v/>
      </c>
      <c r="W22" s="15">
        <f>IF(AND(V22=E22,F22=E22),"OK","DIFF")</f>
        <v/>
      </c>
    </row>
    <row r="23">
      <c r="A23" s="4" t="inlineStr">
        <is>
          <t>Motor pool</t>
        </is>
      </c>
      <c r="B23" s="17" t="inlineStr">
        <is>
          <t>buildings</t>
        </is>
      </c>
      <c r="C23" s="8" t="n">
        <v>1</v>
      </c>
      <c r="D23" s="9" t="n">
        <v>4</v>
      </c>
      <c r="E23" s="8" t="n">
        <v>4</v>
      </c>
      <c r="F23" s="7">
        <f>IF(ISNUMBER(D23),C23*D23,E23)</f>
        <v/>
      </c>
      <c r="G23" s="7" t="n"/>
      <c r="H23" s="8" t="n">
        <v>1</v>
      </c>
      <c r="I23" s="7" t="n"/>
      <c r="J23" s="7" t="n"/>
      <c r="K23" s="7" t="n"/>
      <c r="L23" s="8" t="n">
        <v>1</v>
      </c>
      <c r="M23" s="7" t="n"/>
      <c r="N23" s="7" t="n"/>
      <c r="O23" s="8" t="n">
        <v>2</v>
      </c>
      <c r="P23" s="7" t="n"/>
      <c r="Q23" s="7" t="n"/>
      <c r="R23" s="7" t="n"/>
      <c r="S23" s="7" t="n"/>
      <c r="T23" s="7" t="n"/>
      <c r="U23" s="7" t="n"/>
      <c r="V23" s="7">
        <f>SUM(G23:U23)</f>
        <v/>
      </c>
      <c r="W23" s="15">
        <f>IF(AND(V23=E23,F23=E23),"OK","DIFF")</f>
        <v/>
      </c>
    </row>
    <row r="24">
      <c r="A24" s="4" t="inlineStr">
        <is>
          <t>Helipad</t>
        </is>
      </c>
      <c r="B24" s="17" t="inlineStr">
        <is>
          <t>buildings</t>
        </is>
      </c>
      <c r="C24" s="8" t="n">
        <v>1</v>
      </c>
      <c r="D24" s="9" t="n">
        <v>51</v>
      </c>
      <c r="E24" s="8" t="n">
        <v>51</v>
      </c>
      <c r="F24" s="7">
        <f>IF(ISNUMBER(D24),C24*D24,E24)</f>
        <v/>
      </c>
      <c r="G24" s="7" t="n"/>
      <c r="H24" s="8" t="n">
        <v>31</v>
      </c>
      <c r="I24" s="7" t="n"/>
      <c r="J24" s="7" t="n"/>
      <c r="K24" s="7" t="n"/>
      <c r="L24" s="8" t="n">
        <v>17</v>
      </c>
      <c r="M24" s="7" t="n"/>
      <c r="N24" s="7" t="n"/>
      <c r="O24" s="8" t="n">
        <v>3</v>
      </c>
      <c r="P24" s="7" t="n"/>
      <c r="Q24" s="7" t="n"/>
      <c r="R24" s="7" t="n"/>
      <c r="S24" s="7" t="n"/>
      <c r="T24" s="7" t="n"/>
      <c r="U24" s="7" t="n"/>
      <c r="V24" s="7">
        <f>SUM(G24:U24)</f>
        <v/>
      </c>
      <c r="W24" s="15">
        <f>IF(AND(V24=E24,F24=E24),"OK","DIFF")</f>
        <v/>
      </c>
    </row>
    <row r="25">
      <c r="A25" s="4" t="inlineStr">
        <is>
          <t>Ammunition bunker</t>
        </is>
      </c>
      <c r="B25" s="17" t="inlineStr">
        <is>
          <t>buildings</t>
        </is>
      </c>
      <c r="C25" s="8" t="n">
        <v>1</v>
      </c>
      <c r="D25" s="9" t="n">
        <v>36</v>
      </c>
      <c r="E25" s="8" t="n">
        <v>36</v>
      </c>
      <c r="F25" s="7">
        <f>IF(ISNUMBER(D25),C25*D25,E25)</f>
        <v/>
      </c>
      <c r="G25" s="7" t="n"/>
      <c r="H25" s="8" t="n">
        <v>12</v>
      </c>
      <c r="I25" s="8" t="n">
        <v>2</v>
      </c>
      <c r="J25" s="7" t="n"/>
      <c r="K25" s="7" t="n"/>
      <c r="L25" s="8" t="n">
        <v>10</v>
      </c>
      <c r="M25" s="7" t="n"/>
      <c r="N25" s="8" t="n">
        <v>8</v>
      </c>
      <c r="O25" s="8" t="n">
        <v>4</v>
      </c>
      <c r="P25" s="7" t="n"/>
      <c r="Q25" s="7" t="n"/>
      <c r="R25" s="7" t="n"/>
      <c r="S25" s="7" t="n"/>
      <c r="T25" s="7" t="n"/>
      <c r="U25" s="7" t="n"/>
      <c r="V25" s="7">
        <f>SUM(G25:U25)</f>
        <v/>
      </c>
      <c r="W25" s="15">
        <f>IF(AND(V25=E25,F25=E25),"OK","DIFF")</f>
        <v/>
      </c>
    </row>
    <row r="26">
      <c r="A26" s="4" t="inlineStr">
        <is>
          <t>Guard tower</t>
        </is>
      </c>
      <c r="B26" s="17" t="inlineStr">
        <is>
          <t>buildings</t>
        </is>
      </c>
      <c r="C26" s="8" t="n">
        <v>4</v>
      </c>
      <c r="D26" s="9" t="n">
        <v>37</v>
      </c>
      <c r="E26" s="8" t="n">
        <v>148</v>
      </c>
      <c r="F26" s="7">
        <f>IF(ISNUMBER(D26),C26*D26,E26)</f>
        <v/>
      </c>
      <c r="G26" s="7" t="n"/>
      <c r="H26" s="8" t="n">
        <v>44</v>
      </c>
      <c r="I26" s="7" t="n"/>
      <c r="J26" s="7" t="n"/>
      <c r="K26" s="7" t="n"/>
      <c r="L26" s="8" t="n">
        <v>8</v>
      </c>
      <c r="M26" s="7" t="n"/>
      <c r="N26" s="7" t="n"/>
      <c r="O26" s="8" t="n">
        <v>96</v>
      </c>
      <c r="P26" s="7" t="n"/>
      <c r="Q26" s="7" t="n"/>
      <c r="R26" s="7" t="n"/>
      <c r="S26" s="7" t="n"/>
      <c r="T26" s="7" t="n"/>
      <c r="U26" s="7" t="n"/>
      <c r="V26" s="7">
        <f>SUM(G26:U26)</f>
        <v/>
      </c>
      <c r="W26" s="15">
        <f>IF(AND(V26=E26,F26=E26),"OK","DIFF")</f>
        <v/>
      </c>
    </row>
    <row r="27">
      <c r="A27" s="4" t="inlineStr">
        <is>
          <t>Watchtower</t>
        </is>
      </c>
      <c r="B27" s="17" t="inlineStr">
        <is>
          <t>buildings</t>
        </is>
      </c>
      <c r="C27" s="8" t="n">
        <v>1</v>
      </c>
      <c r="D27" s="9" t="n">
        <v>26</v>
      </c>
      <c r="E27" s="8" t="n">
        <v>26</v>
      </c>
      <c r="F27" s="7">
        <f>IF(ISNUMBER(D27),C27*D27,E27)</f>
        <v/>
      </c>
      <c r="G27" s="7" t="n"/>
      <c r="H27" s="8" t="n">
        <v>5</v>
      </c>
      <c r="I27" s="7" t="n"/>
      <c r="J27" s="7" t="n"/>
      <c r="K27" s="7" t="n"/>
      <c r="L27" s="8" t="n">
        <v>1</v>
      </c>
      <c r="M27" s="7" t="n"/>
      <c r="N27" s="7" t="n"/>
      <c r="O27" s="8" t="n">
        <v>19</v>
      </c>
      <c r="P27" s="7" t="n"/>
      <c r="Q27" s="8" t="n">
        <v>1</v>
      </c>
      <c r="R27" s="7" t="n"/>
      <c r="S27" s="7" t="n"/>
      <c r="T27" s="7" t="n"/>
      <c r="U27" s="7" t="n"/>
      <c r="V27" s="7">
        <f>SUM(G27:U27)</f>
        <v/>
      </c>
      <c r="W27" s="15">
        <f>IF(AND(V27=E27,F27=E27),"OK","DIFF")</f>
        <v/>
      </c>
    </row>
    <row r="28">
      <c r="A28" s="4" t="inlineStr">
        <is>
          <t>Fuel depot</t>
        </is>
      </c>
      <c r="B28" s="17" t="inlineStr">
        <is>
          <t>buildings</t>
        </is>
      </c>
      <c r="C28" s="8" t="n">
        <v>1</v>
      </c>
      <c r="D28" s="9" t="n">
        <v>20</v>
      </c>
      <c r="E28" s="8" t="n">
        <v>20</v>
      </c>
      <c r="F28" s="7">
        <f>IF(ISNUMBER(D28),C28*D28,E28)</f>
        <v/>
      </c>
      <c r="G28" s="7" t="n"/>
      <c r="H28" s="8" t="n">
        <v>8</v>
      </c>
      <c r="I28" s="7" t="n"/>
      <c r="J28" s="7" t="n"/>
      <c r="K28" s="7" t="n"/>
      <c r="L28" s="8" t="n">
        <v>2</v>
      </c>
      <c r="M28" s="7" t="n"/>
      <c r="N28" s="7" t="n"/>
      <c r="O28" s="8" t="n">
        <v>10</v>
      </c>
      <c r="P28" s="7" t="n"/>
      <c r="Q28" s="7" t="n"/>
      <c r="R28" s="7" t="n"/>
      <c r="S28" s="7" t="n"/>
      <c r="T28" s="7" t="n"/>
      <c r="U28" s="7" t="n"/>
      <c r="V28" s="7">
        <f>SUM(G28:U28)</f>
        <v/>
      </c>
      <c r="W28" s="15">
        <f>IF(AND(V28=E28,F28=E28),"OK","DIFF")</f>
        <v/>
      </c>
    </row>
    <row r="29">
      <c r="A29" s="4" t="inlineStr">
        <is>
          <t>Quonset hut</t>
        </is>
      </c>
      <c r="B29" s="17" t="inlineStr">
        <is>
          <t>buildings</t>
        </is>
      </c>
      <c r="C29" s="8" t="n">
        <v>3</v>
      </c>
      <c r="D29" s="9" t="n">
        <v>19</v>
      </c>
      <c r="E29" s="8" t="n">
        <v>57</v>
      </c>
      <c r="F29" s="7">
        <f>IF(ISNUMBER(D29),C29*D29,E29)</f>
        <v/>
      </c>
      <c r="G29" s="7" t="n"/>
      <c r="H29" s="8" t="n">
        <v>42</v>
      </c>
      <c r="I29" s="7" t="n"/>
      <c r="J29" s="7" t="n"/>
      <c r="K29" s="7" t="n"/>
      <c r="L29" s="8" t="n">
        <v>6</v>
      </c>
      <c r="M29" s="7" t="n"/>
      <c r="N29" s="7" t="n"/>
      <c r="O29" s="8" t="n">
        <v>9</v>
      </c>
      <c r="P29" s="7" t="n"/>
      <c r="Q29" s="7" t="n"/>
      <c r="R29" s="7" t="n"/>
      <c r="S29" s="7" t="n"/>
      <c r="T29" s="7" t="n"/>
      <c r="U29" s="7" t="n"/>
      <c r="V29" s="7">
        <f>SUM(G29:U29)</f>
        <v/>
      </c>
      <c r="W29" s="15">
        <f>IF(AND(V29=E29,F29=E29),"OK","DIFF")</f>
        <v/>
      </c>
    </row>
    <row r="30">
      <c r="A30" s="4" t="inlineStr">
        <is>
          <t>Radio mast</t>
        </is>
      </c>
      <c r="B30" s="17" t="inlineStr">
        <is>
          <t>buildings</t>
        </is>
      </c>
      <c r="C30" s="8" t="n">
        <v>1</v>
      </c>
      <c r="D30" s="9" t="n">
        <v>20</v>
      </c>
      <c r="E30" s="8" t="n">
        <v>20</v>
      </c>
      <c r="F30" s="7">
        <f>IF(ISNUMBER(D30),C30*D30,E30)</f>
        <v/>
      </c>
      <c r="G30" s="7" t="n"/>
      <c r="H30" s="8" t="n">
        <v>5</v>
      </c>
      <c r="I30" s="7" t="n"/>
      <c r="J30" s="7" t="n"/>
      <c r="K30" s="7" t="n"/>
      <c r="L30" s="8" t="n">
        <v>2</v>
      </c>
      <c r="M30" s="7" t="n"/>
      <c r="N30" s="7" t="n"/>
      <c r="O30" s="8" t="n">
        <v>13</v>
      </c>
      <c r="P30" s="7" t="n"/>
      <c r="Q30" s="7" t="n"/>
      <c r="R30" s="7" t="n"/>
      <c r="S30" s="7" t="n"/>
      <c r="T30" s="7" t="n"/>
      <c r="U30" s="7" t="n"/>
      <c r="V30" s="7">
        <f>SUM(G30:U30)</f>
        <v/>
      </c>
      <c r="W30" s="15">
        <f>IF(AND(V30=E30,F30=E30),"OK","DIFF")</f>
        <v/>
      </c>
    </row>
    <row r="31">
      <c r="A31" s="4" t="inlineStr">
        <is>
          <t>Camouflaged tent</t>
        </is>
      </c>
      <c r="B31" s="17" t="inlineStr">
        <is>
          <t>buildings</t>
        </is>
      </c>
      <c r="C31" s="8" t="n">
        <v>1</v>
      </c>
      <c r="D31" s="9" t="n">
        <v>14</v>
      </c>
      <c r="E31" s="8" t="n">
        <v>14</v>
      </c>
      <c r="F31" s="7">
        <f>IF(ISNUMBER(D31),C31*D31,E31)</f>
        <v/>
      </c>
      <c r="G31" s="7" t="n"/>
      <c r="H31" s="8" t="n">
        <v>3</v>
      </c>
      <c r="I31" s="7" t="n"/>
      <c r="J31" s="7" t="n"/>
      <c r="K31" s="7" t="n"/>
      <c r="L31" s="8" t="n">
        <v>4</v>
      </c>
      <c r="M31" s="7" t="n"/>
      <c r="N31" s="7" t="n"/>
      <c r="O31" s="8" t="n">
        <v>7</v>
      </c>
      <c r="P31" s="7" t="n"/>
      <c r="Q31" s="7" t="n"/>
      <c r="R31" s="7" t="n"/>
      <c r="S31" s="7" t="n"/>
      <c r="T31" s="7" t="n"/>
      <c r="U31" s="7" t="n"/>
      <c r="V31" s="7">
        <f>SUM(G31:U31)</f>
        <v/>
      </c>
      <c r="W31" s="15">
        <f>IF(AND(V31=E31,F31=E31),"OK","DIFF")</f>
        <v/>
      </c>
    </row>
    <row r="32">
      <c r="A32" s="4" t="inlineStr">
        <is>
          <t>Container</t>
        </is>
      </c>
      <c r="B32" s="17" t="inlineStr">
        <is>
          <t>buildings</t>
        </is>
      </c>
      <c r="C32" s="8" t="n">
        <v>2</v>
      </c>
      <c r="D32" s="9" t="n">
        <v>11</v>
      </c>
      <c r="E32" s="8" t="n">
        <v>22</v>
      </c>
      <c r="F32" s="7">
        <f>IF(ISNUMBER(D32),C32*D32,E32)</f>
        <v/>
      </c>
      <c r="G32" s="8" t="n">
        <v>12</v>
      </c>
      <c r="H32" s="8" t="n">
        <v>6</v>
      </c>
      <c r="I32" s="7" t="n"/>
      <c r="J32" s="7" t="n"/>
      <c r="K32" s="7" t="n"/>
      <c r="L32" s="7" t="n"/>
      <c r="M32" s="7" t="n"/>
      <c r="N32" s="7" t="n"/>
      <c r="O32" s="8" t="n">
        <v>4</v>
      </c>
      <c r="P32" s="7" t="n"/>
      <c r="Q32" s="7" t="n"/>
      <c r="R32" s="7" t="n"/>
      <c r="S32" s="7" t="n"/>
      <c r="T32" s="7" t="n"/>
      <c r="U32" s="7" t="n"/>
      <c r="V32" s="7">
        <f>SUM(G32:U32)</f>
        <v/>
      </c>
      <c r="W32" s="15">
        <f>IF(AND(V32=E32,F32=E32),"OK","DIFF")</f>
        <v/>
      </c>
    </row>
    <row r="33">
      <c r="A33" s="4" t="inlineStr">
        <is>
          <t>Guard booth</t>
        </is>
      </c>
      <c r="B33" s="17" t="inlineStr">
        <is>
          <t>buildings</t>
        </is>
      </c>
      <c r="C33" s="8" t="n">
        <v>1</v>
      </c>
      <c r="D33" s="9" t="n">
        <v>11</v>
      </c>
      <c r="E33" s="8" t="n">
        <v>11</v>
      </c>
      <c r="F33" s="7">
        <f>IF(ISNUMBER(D33),C33*D33,E33)</f>
        <v/>
      </c>
      <c r="G33" s="7" t="n"/>
      <c r="H33" s="8" t="n">
        <v>8</v>
      </c>
      <c r="I33" s="7" t="n"/>
      <c r="J33" s="7" t="n"/>
      <c r="K33" s="7" t="n"/>
      <c r="L33" s="7" t="n"/>
      <c r="M33" s="7" t="n"/>
      <c r="N33" s="7" t="n"/>
      <c r="O33" s="8" t="n">
        <v>3</v>
      </c>
      <c r="P33" s="7" t="n"/>
      <c r="Q33" s="7" t="n"/>
      <c r="R33" s="7" t="n"/>
      <c r="S33" s="7" t="n"/>
      <c r="T33" s="7" t="n"/>
      <c r="U33" s="7" t="n"/>
      <c r="V33" s="7">
        <f>SUM(G33:U33)</f>
        <v/>
      </c>
      <c r="W33" s="15">
        <f>IF(AND(V33=E33,F33=E33),"OK","DIFF")</f>
        <v/>
      </c>
    </row>
    <row r="34">
      <c r="A34" s="4" t="inlineStr">
        <is>
          <t>UAV pad</t>
        </is>
      </c>
      <c r="B34" s="17" t="inlineStr">
        <is>
          <t>buildings</t>
        </is>
      </c>
      <c r="C34" s="8" t="n">
        <v>2</v>
      </c>
      <c r="D34" s="9" t="n">
        <v>9</v>
      </c>
      <c r="E34" s="8" t="n">
        <v>18</v>
      </c>
      <c r="F34" s="7">
        <f>IF(ISNUMBER(D34),C34*D34,E34)</f>
        <v/>
      </c>
      <c r="G34" s="7" t="n"/>
      <c r="H34" s="8" t="n">
        <v>4</v>
      </c>
      <c r="I34" s="7" t="n"/>
      <c r="J34" s="7" t="n"/>
      <c r="K34" s="7" t="n"/>
      <c r="L34" s="8" t="n">
        <v>8</v>
      </c>
      <c r="M34" s="7" t="n"/>
      <c r="N34" s="7" t="n"/>
      <c r="O34" s="8" t="n">
        <v>4</v>
      </c>
      <c r="P34" s="7" t="n"/>
      <c r="Q34" s="7" t="n"/>
      <c r="R34" s="7" t="n"/>
      <c r="S34" s="8" t="n">
        <v>2</v>
      </c>
      <c r="T34" s="7" t="n"/>
      <c r="U34" s="7" t="n"/>
      <c r="V34" s="7">
        <f>SUM(G34:U34)</f>
        <v/>
      </c>
      <c r="W34" s="15">
        <f>IF(AND(V34=E34,F34=E34),"OK","DIFF")</f>
        <v/>
      </c>
    </row>
    <row r="35">
      <c r="A35" s="4" t="inlineStr">
        <is>
          <t>HESCO perimeter</t>
        </is>
      </c>
      <c r="B35" s="17" t="inlineStr">
        <is>
          <t>fortifications</t>
        </is>
      </c>
      <c r="C35" s="8" t="n">
        <v>1</v>
      </c>
      <c r="D35" s="9" t="n">
        <v>244</v>
      </c>
      <c r="E35" s="8" t="n">
        <v>244</v>
      </c>
      <c r="F35" s="7">
        <f>IF(ISNUMBER(D35),C35*D35,E35)</f>
        <v/>
      </c>
      <c r="G35" s="7" t="n"/>
      <c r="H35" s="8" t="n">
        <v>244</v>
      </c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>
        <f>SUM(G35:U35)</f>
        <v/>
      </c>
      <c r="W35" s="15">
        <f>IF(AND(V35=E35,F35=E35),"OK","DIFF")</f>
        <v/>
      </c>
    </row>
    <row r="36">
      <c r="A36" s="4" t="inlineStr">
        <is>
          <t>Concertina wire</t>
        </is>
      </c>
      <c r="B36" s="17" t="inlineStr">
        <is>
          <t>fortifications</t>
        </is>
      </c>
      <c r="C36" s="8" t="n">
        <v>1</v>
      </c>
      <c r="D36" s="9" t="n">
        <v>102</v>
      </c>
      <c r="E36" s="8" t="n">
        <v>102</v>
      </c>
      <c r="F36" s="7">
        <f>IF(ISNUMBER(D36),C36*D36,E36)</f>
        <v/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8" t="n">
        <v>50</v>
      </c>
      <c r="P36" s="7" t="n"/>
      <c r="Q36" s="7" t="n"/>
      <c r="R36" s="7" t="n"/>
      <c r="S36" s="7" t="n"/>
      <c r="T36" s="8" t="n">
        <v>52</v>
      </c>
      <c r="U36" s="7" t="n"/>
      <c r="V36" s="7">
        <f>SUM(G36:U36)</f>
        <v/>
      </c>
      <c r="W36" s="15">
        <f>IF(AND(V36=E36,F36=E36),"OK","DIFF")</f>
        <v/>
      </c>
    </row>
    <row r="37">
      <c r="A37" s="4" t="inlineStr">
        <is>
          <t>Perimeter fence</t>
        </is>
      </c>
      <c r="B37" s="17" t="inlineStr">
        <is>
          <t>fortifications</t>
        </is>
      </c>
      <c r="C37" s="8" t="n">
        <v>1</v>
      </c>
      <c r="D37" s="9" t="n">
        <v>86</v>
      </c>
      <c r="E37" s="8" t="n">
        <v>86</v>
      </c>
      <c r="F37" s="7">
        <f>IF(ISNUMBER(D37),C37*D37,E37)</f>
        <v/>
      </c>
      <c r="G37" s="7" t="n"/>
      <c r="H37" s="8" t="n">
        <v>1</v>
      </c>
      <c r="I37" s="7" t="n"/>
      <c r="J37" s="7" t="n"/>
      <c r="K37" s="7" t="n"/>
      <c r="L37" s="7" t="n"/>
      <c r="M37" s="7" t="n"/>
      <c r="N37" s="7" t="n"/>
      <c r="O37" s="8" t="n">
        <v>85</v>
      </c>
      <c r="P37" s="7" t="n"/>
      <c r="Q37" s="7" t="n"/>
      <c r="R37" s="7" t="n"/>
      <c r="S37" s="7" t="n"/>
      <c r="T37" s="7" t="n"/>
      <c r="U37" s="7" t="n"/>
      <c r="V37" s="7">
        <f>SUM(G37:U37)</f>
        <v/>
      </c>
      <c r="W37" s="15">
        <f>IF(AND(V37=E37,F37=E37),"OK","DIFF")</f>
        <v/>
      </c>
    </row>
    <row r="38">
      <c r="A38" s="4" t="inlineStr">
        <is>
          <t>Outer gate</t>
        </is>
      </c>
      <c r="B38" s="17" t="inlineStr">
        <is>
          <t>fortifications</t>
        </is>
      </c>
      <c r="C38" s="8" t="n">
        <v>1</v>
      </c>
      <c r="D38" s="9" t="n">
        <v>50</v>
      </c>
      <c r="E38" s="8" t="n">
        <v>50</v>
      </c>
      <c r="F38" s="7">
        <f>IF(ISNUMBER(D38),C38*D38,E38)</f>
        <v/>
      </c>
      <c r="G38" s="7" t="n"/>
      <c r="H38" s="8" t="n">
        <v>7</v>
      </c>
      <c r="I38" s="7" t="n"/>
      <c r="J38" s="7" t="n"/>
      <c r="K38" s="8" t="n">
        <v>2</v>
      </c>
      <c r="L38" s="8" t="n">
        <v>3</v>
      </c>
      <c r="M38" s="7" t="n"/>
      <c r="N38" s="8" t="n">
        <v>34</v>
      </c>
      <c r="O38" s="8" t="n">
        <v>4</v>
      </c>
      <c r="P38" s="7" t="n"/>
      <c r="Q38" s="7" t="n"/>
      <c r="R38" s="7" t="n"/>
      <c r="S38" s="7" t="n"/>
      <c r="T38" s="7" t="n"/>
      <c r="U38" s="7" t="n"/>
      <c r="V38" s="7">
        <f>SUM(G38:U38)</f>
        <v/>
      </c>
      <c r="W38" s="15">
        <f>IF(AND(V38=E38,F38=E38),"OK","DIFF")</f>
        <v/>
      </c>
    </row>
    <row r="39">
      <c r="A39" s="4" t="inlineStr">
        <is>
          <t>Camouflage net</t>
        </is>
      </c>
      <c r="B39" s="17" t="inlineStr">
        <is>
          <t>fortifications</t>
        </is>
      </c>
      <c r="C39" s="8" t="n">
        <v>7</v>
      </c>
      <c r="D39" s="18" t="inlineStr">
        <is>
          <t>37..84</t>
        </is>
      </c>
      <c r="E39" s="8" t="n">
        <v>379</v>
      </c>
      <c r="F39" s="7">
        <f>IF(ISNUMBER(D39),C39*D39,E39)</f>
        <v/>
      </c>
      <c r="G39" s="7" t="n"/>
      <c r="H39" s="8" t="n">
        <v>297</v>
      </c>
      <c r="I39" s="7" t="n"/>
      <c r="J39" s="7" t="n"/>
      <c r="K39" s="7" t="n"/>
      <c r="L39" s="7" t="n"/>
      <c r="M39" s="7" t="n"/>
      <c r="N39" s="7" t="n"/>
      <c r="O39" s="8" t="n">
        <v>82</v>
      </c>
      <c r="P39" s="7" t="n"/>
      <c r="Q39" s="7" t="n"/>
      <c r="R39" s="7" t="n"/>
      <c r="S39" s="7" t="n"/>
      <c r="T39" s="7" t="n"/>
      <c r="U39" s="7" t="n"/>
      <c r="V39" s="7">
        <f>SUM(G39:U39)</f>
        <v/>
      </c>
      <c r="W39" s="15">
        <f>IF(AND(V39=E39,F39=E39),"OK","DIFF")</f>
        <v/>
      </c>
    </row>
    <row r="40">
      <c r="A40" s="4" t="inlineStr">
        <is>
          <t>Earth revetment</t>
        </is>
      </c>
      <c r="B40" s="17" t="inlineStr">
        <is>
          <t>fortifications</t>
        </is>
      </c>
      <c r="C40" s="8" t="n">
        <v>5</v>
      </c>
      <c r="D40" s="18" t="inlineStr">
        <is>
          <t>48..60</t>
        </is>
      </c>
      <c r="E40" s="8" t="n">
        <v>264</v>
      </c>
      <c r="F40" s="7">
        <f>IF(ISNUMBER(D40),C40*D40,E40)</f>
        <v/>
      </c>
      <c r="G40" s="7" t="n"/>
      <c r="H40" s="8" t="n">
        <v>45</v>
      </c>
      <c r="I40" s="7" t="n"/>
      <c r="J40" s="7" t="n"/>
      <c r="K40" s="7" t="n"/>
      <c r="L40" s="7" t="n"/>
      <c r="M40" s="7" t="n"/>
      <c r="N40" s="8" t="n">
        <v>219</v>
      </c>
      <c r="O40" s="7" t="n"/>
      <c r="P40" s="7" t="n"/>
      <c r="Q40" s="7" t="n"/>
      <c r="R40" s="7" t="n"/>
      <c r="S40" s="7" t="n"/>
      <c r="T40" s="7" t="n"/>
      <c r="U40" s="7" t="n"/>
      <c r="V40" s="7">
        <f>SUM(G40:U40)</f>
        <v/>
      </c>
      <c r="W40" s="15">
        <f>IF(AND(V40=E40,F40=E40),"OK","DIFF")</f>
        <v/>
      </c>
    </row>
    <row r="41">
      <c r="A41" s="4" t="inlineStr">
        <is>
          <t>Radar surround</t>
        </is>
      </c>
      <c r="B41" s="17" t="inlineStr">
        <is>
          <t>fortifications</t>
        </is>
      </c>
      <c r="C41" s="8" t="n">
        <v>1</v>
      </c>
      <c r="D41" s="9" t="n">
        <v>51</v>
      </c>
      <c r="E41" s="8" t="n">
        <v>51</v>
      </c>
      <c r="F41" s="7">
        <f>IF(ISNUMBER(D41),C41*D41,E41)</f>
        <v/>
      </c>
      <c r="G41" s="7" t="n"/>
      <c r="H41" s="8" t="n">
        <v>2</v>
      </c>
      <c r="I41" s="7" t="n"/>
      <c r="J41" s="7" t="n"/>
      <c r="K41" s="7" t="n"/>
      <c r="L41" s="7" t="n"/>
      <c r="M41" s="7" t="n"/>
      <c r="N41" s="7" t="n"/>
      <c r="O41" s="8" t="n">
        <v>49</v>
      </c>
      <c r="P41" s="7" t="n"/>
      <c r="Q41" s="7" t="n"/>
      <c r="R41" s="7" t="n"/>
      <c r="S41" s="7" t="n"/>
      <c r="T41" s="7" t="n"/>
      <c r="U41" s="7" t="n"/>
      <c r="V41" s="7">
        <f>SUM(G41:U41)</f>
        <v/>
      </c>
      <c r="W41" s="15">
        <f>IF(AND(V41=E41,F41=E41),"OK","DIFF")</f>
        <v/>
      </c>
    </row>
    <row r="42">
      <c r="A42" s="4" t="inlineStr">
        <is>
          <t>AA gun surround</t>
        </is>
      </c>
      <c r="B42" s="17" t="inlineStr">
        <is>
          <t>fortifications</t>
        </is>
      </c>
      <c r="C42" s="8" t="n">
        <v>1</v>
      </c>
      <c r="D42" s="9" t="n">
        <v>41</v>
      </c>
      <c r="E42" s="8" t="n">
        <v>41</v>
      </c>
      <c r="F42" s="7">
        <f>IF(ISNUMBER(D42),C42*D42,E42)</f>
        <v/>
      </c>
      <c r="G42" s="7" t="n"/>
      <c r="H42" s="8" t="n">
        <v>3</v>
      </c>
      <c r="I42" s="7" t="n"/>
      <c r="J42" s="7" t="n"/>
      <c r="K42" s="7" t="n"/>
      <c r="L42" s="7" t="n"/>
      <c r="M42" s="7" t="n"/>
      <c r="N42" s="8" t="n">
        <v>37</v>
      </c>
      <c r="O42" s="8" t="n">
        <v>1</v>
      </c>
      <c r="P42" s="7" t="n"/>
      <c r="Q42" s="7" t="n"/>
      <c r="R42" s="7" t="n"/>
      <c r="S42" s="7" t="n"/>
      <c r="T42" s="7" t="n"/>
      <c r="U42" s="7" t="n"/>
      <c r="V42" s="7">
        <f>SUM(G42:U42)</f>
        <v/>
      </c>
      <c r="W42" s="15">
        <f>IF(AND(V42=E42,F42=E42),"OK","DIFF")</f>
        <v/>
      </c>
    </row>
    <row r="43">
      <c r="A43" s="4" t="inlineStr">
        <is>
          <t>Sandbag wall</t>
        </is>
      </c>
      <c r="B43" s="17" t="inlineStr">
        <is>
          <t>fortifications</t>
        </is>
      </c>
      <c r="C43" s="8" t="n">
        <v>3</v>
      </c>
      <c r="D43" s="18" t="inlineStr">
        <is>
          <t>15..24</t>
        </is>
      </c>
      <c r="E43" s="8" t="n">
        <v>57</v>
      </c>
      <c r="F43" s="7">
        <f>IF(ISNUMBER(D43),C43*D43,E43)</f>
        <v/>
      </c>
      <c r="G43" s="7" t="n"/>
      <c r="H43" s="7" t="n"/>
      <c r="I43" s="7" t="n"/>
      <c r="J43" s="7" t="n"/>
      <c r="K43" s="7" t="n"/>
      <c r="L43" s="7" t="n"/>
      <c r="M43" s="7" t="n"/>
      <c r="N43" s="8" t="n">
        <v>57</v>
      </c>
      <c r="O43" s="7" t="n"/>
      <c r="P43" s="7" t="n"/>
      <c r="Q43" s="7" t="n"/>
      <c r="R43" s="7" t="n"/>
      <c r="S43" s="7" t="n"/>
      <c r="T43" s="7" t="n"/>
      <c r="U43" s="7" t="n"/>
      <c r="V43" s="7">
        <f>SUM(G43:U43)</f>
        <v/>
      </c>
      <c r="W43" s="15">
        <f>IF(AND(V43=E43,F43=E43),"OK","DIFF")</f>
        <v/>
      </c>
    </row>
    <row r="44">
      <c r="A44" s="4" t="inlineStr">
        <is>
          <t>Boom barrier</t>
        </is>
      </c>
      <c r="B44" s="17" t="inlineStr">
        <is>
          <t>fortifications</t>
        </is>
      </c>
      <c r="C44" s="8" t="n">
        <v>1</v>
      </c>
      <c r="D44" s="9" t="n">
        <v>20</v>
      </c>
      <c r="E44" s="8" t="n">
        <v>20</v>
      </c>
      <c r="F44" s="7">
        <f>IF(ISNUMBER(D44),C44*D44,E44)</f>
        <v/>
      </c>
      <c r="G44" s="7" t="n"/>
      <c r="H44" s="8" t="n">
        <v>17</v>
      </c>
      <c r="I44" s="7" t="n"/>
      <c r="J44" s="7" t="n"/>
      <c r="K44" s="7" t="n"/>
      <c r="L44" s="8" t="n">
        <v>2</v>
      </c>
      <c r="M44" s="7" t="n"/>
      <c r="N44" s="7" t="n"/>
      <c r="O44" s="8" t="n">
        <v>1</v>
      </c>
      <c r="P44" s="7" t="n"/>
      <c r="Q44" s="7" t="n"/>
      <c r="R44" s="7" t="n"/>
      <c r="S44" s="7" t="n"/>
      <c r="T44" s="7" t="n"/>
      <c r="U44" s="7" t="n"/>
      <c r="V44" s="7">
        <f>SUM(G44:U44)</f>
        <v/>
      </c>
      <c r="W44" s="15">
        <f>IF(AND(V44=E44,F44=E44),"OK","DIFF")</f>
        <v/>
      </c>
    </row>
    <row r="45">
      <c r="A45" s="4" t="inlineStr">
        <is>
          <t>HESCO blocks</t>
        </is>
      </c>
      <c r="B45" s="17" t="inlineStr">
        <is>
          <t>fortifications</t>
        </is>
      </c>
      <c r="C45" s="8" t="n">
        <v>2</v>
      </c>
      <c r="D45" s="18" t="inlineStr">
        <is>
          <t>2..6</t>
        </is>
      </c>
      <c r="E45" s="8" t="n">
        <v>8</v>
      </c>
      <c r="F45" s="7">
        <f>IF(ISNUMBER(D45),C45*D45,E45)</f>
        <v/>
      </c>
      <c r="G45" s="7" t="n"/>
      <c r="H45" s="8" t="n">
        <v>8</v>
      </c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>
        <f>SUM(G45:U45)</f>
        <v/>
      </c>
      <c r="W45" s="15">
        <f>IF(AND(V45=E45,F45=E45),"OK","DIFF")</f>
        <v/>
      </c>
    </row>
    <row r="46">
      <c r="A46" s="4" t="inlineStr">
        <is>
          <t>Tank trap</t>
        </is>
      </c>
      <c r="B46" s="17" t="inlineStr">
        <is>
          <t>fortifications</t>
        </is>
      </c>
      <c r="C46" s="8" t="n">
        <v>2</v>
      </c>
      <c r="D46" s="9" t="n">
        <v>3</v>
      </c>
      <c r="E46" s="8" t="n">
        <v>6</v>
      </c>
      <c r="F46" s="7">
        <f>IF(ISNUMBER(D46),C46*D46,E46)</f>
        <v/>
      </c>
      <c r="G46" s="7" t="n"/>
      <c r="H46" s="8" t="n">
        <v>6</v>
      </c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>
        <f>SUM(G46:U46)</f>
        <v/>
      </c>
      <c r="W46" s="15">
        <f>IF(AND(V46=E46,F46=E46),"OK","DIFF")</f>
        <v/>
      </c>
    </row>
    <row r="47">
      <c r="A47" s="4" t="inlineStr">
        <is>
          <t>Jersey barrier</t>
        </is>
      </c>
      <c r="B47" s="17" t="inlineStr">
        <is>
          <t>fortifications</t>
        </is>
      </c>
      <c r="C47" s="8" t="n">
        <v>6</v>
      </c>
      <c r="D47" s="9" t="n">
        <v>2</v>
      </c>
      <c r="E47" s="8" t="n">
        <v>12</v>
      </c>
      <c r="F47" s="7">
        <f>IF(ISNUMBER(D47),C47*D47,E47)</f>
        <v/>
      </c>
      <c r="G47" s="7" t="n"/>
      <c r="H47" s="8" t="n">
        <v>12</v>
      </c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>
        <f>SUM(G47:U47)</f>
        <v/>
      </c>
      <c r="W47" s="15">
        <f>IF(AND(V47=E47,F47=E47),"OK","DIFF")</f>
        <v/>
      </c>
    </row>
    <row r="48">
      <c r="A48" s="4" t="inlineStr">
        <is>
          <t>Broadleaf tree</t>
        </is>
      </c>
      <c r="B48" s="17" t="inlineStr">
        <is>
          <t>vegetation</t>
        </is>
      </c>
      <c r="C48" s="8" t="n">
        <v>4</v>
      </c>
      <c r="D48" s="9" t="n">
        <v>18</v>
      </c>
      <c r="E48" s="8" t="n">
        <v>72</v>
      </c>
      <c r="F48" s="7">
        <f>IF(ISNUMBER(D48),C48*D48,E48)</f>
        <v/>
      </c>
      <c r="G48" s="7" t="n"/>
      <c r="H48" s="7" t="n"/>
      <c r="I48" s="7" t="n"/>
      <c r="J48" s="7" t="n"/>
      <c r="K48" s="7" t="n"/>
      <c r="L48" s="8" t="n">
        <v>56</v>
      </c>
      <c r="M48" s="7" t="n"/>
      <c r="N48" s="7" t="n"/>
      <c r="O48" s="8" t="n">
        <v>16</v>
      </c>
      <c r="P48" s="7" t="n"/>
      <c r="Q48" s="7" t="n"/>
      <c r="R48" s="7" t="n"/>
      <c r="S48" s="7" t="n"/>
      <c r="T48" s="7" t="n"/>
      <c r="U48" s="7" t="n"/>
      <c r="V48" s="7">
        <f>SUM(G48:U48)</f>
        <v/>
      </c>
      <c r="W48" s="15">
        <f>IF(AND(V48=E48,F48=E48),"OK","DIFF")</f>
        <v/>
      </c>
    </row>
    <row r="49">
      <c r="A49" s="4" t="inlineStr">
        <is>
          <t>Pine</t>
        </is>
      </c>
      <c r="B49" s="17" t="inlineStr">
        <is>
          <t>vegetation</t>
        </is>
      </c>
      <c r="C49" s="8" t="n">
        <v>26</v>
      </c>
      <c r="D49" s="18" t="inlineStr">
        <is>
          <t>7..8</t>
        </is>
      </c>
      <c r="E49" s="8" t="n">
        <v>193</v>
      </c>
      <c r="F49" s="7">
        <f>IF(ISNUMBER(D49),C49*D49,E49)</f>
        <v/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8" t="n">
        <v>26</v>
      </c>
      <c r="P49" s="7" t="n"/>
      <c r="Q49" s="8" t="n">
        <v>167</v>
      </c>
      <c r="R49" s="7" t="n"/>
      <c r="S49" s="7" t="n"/>
      <c r="T49" s="7" t="n"/>
      <c r="U49" s="7" t="n"/>
      <c r="V49" s="7">
        <f>SUM(G49:U49)</f>
        <v/>
      </c>
      <c r="W49" s="15">
        <f>IF(AND(V49=E49,F49=E49),"OK","DIFF")</f>
        <v/>
      </c>
    </row>
    <row r="50">
      <c r="A50" s="4" t="inlineStr">
        <is>
          <t>Cut branches</t>
        </is>
      </c>
      <c r="B50" s="17" t="inlineStr">
        <is>
          <t>vegetation</t>
        </is>
      </c>
      <c r="C50" s="8" t="n">
        <v>8</v>
      </c>
      <c r="D50" s="9" t="n">
        <v>12</v>
      </c>
      <c r="E50" s="8" t="n">
        <v>96</v>
      </c>
      <c r="F50" s="7">
        <f>IF(ISNUMBER(D50),C50*D50,E50)</f>
        <v/>
      </c>
      <c r="G50" s="7" t="n"/>
      <c r="H50" s="7" t="n"/>
      <c r="I50" s="7" t="n"/>
      <c r="J50" s="7" t="n"/>
      <c r="K50" s="7" t="n"/>
      <c r="L50" s="8" t="n">
        <v>48</v>
      </c>
      <c r="M50" s="7" t="n"/>
      <c r="N50" s="7" t="n"/>
      <c r="O50" s="8" t="n">
        <v>24</v>
      </c>
      <c r="P50" s="7" t="n"/>
      <c r="Q50" s="8" t="n">
        <v>24</v>
      </c>
      <c r="R50" s="7" t="n"/>
      <c r="S50" s="7" t="n"/>
      <c r="T50" s="7" t="n"/>
      <c r="U50" s="7" t="n"/>
      <c r="V50" s="7">
        <f>SUM(G50:U50)</f>
        <v/>
      </c>
      <c r="W50" s="15">
        <f>IF(AND(V50=E50,F50=E50),"OK","DIFF")</f>
        <v/>
      </c>
    </row>
    <row r="51">
      <c r="A51" s="4" t="inlineStr">
        <is>
          <t>Bush</t>
        </is>
      </c>
      <c r="B51" s="17" t="inlineStr">
        <is>
          <t>vegetation</t>
        </is>
      </c>
      <c r="C51" s="8" t="n">
        <v>14</v>
      </c>
      <c r="D51" s="18" t="inlineStr">
        <is>
          <t>5..7</t>
        </is>
      </c>
      <c r="E51" s="8" t="n">
        <v>88</v>
      </c>
      <c r="F51" s="7">
        <f>IF(ISNUMBER(D51),C51*D51,E51)</f>
        <v/>
      </c>
      <c r="G51" s="7" t="n"/>
      <c r="H51" s="7" t="n"/>
      <c r="I51" s="7" t="n"/>
      <c r="J51" s="7" t="n"/>
      <c r="K51" s="7" t="n"/>
      <c r="L51" s="8" t="n">
        <v>88</v>
      </c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>
        <f>SUM(G51:U51)</f>
        <v/>
      </c>
      <c r="W51" s="15">
        <f>IF(AND(V51=E51,F51=E51),"OK","DIFF")</f>
        <v/>
      </c>
    </row>
    <row r="52">
      <c r="A52" s="4" t="inlineStr">
        <is>
          <t>Treeline pine</t>
        </is>
      </c>
      <c r="B52" s="17" t="inlineStr">
        <is>
          <t>vegetation</t>
        </is>
      </c>
      <c r="C52" s="8" t="n">
        <v>43</v>
      </c>
      <c r="D52" s="9" t="n">
        <v>2</v>
      </c>
      <c r="E52" s="8" t="n">
        <v>86</v>
      </c>
      <c r="F52" s="7">
        <f>IF(ISNUMBER(D52),C52*D52,E52)</f>
        <v/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8" t="n">
        <v>86</v>
      </c>
      <c r="R52" s="7" t="n"/>
      <c r="S52" s="7" t="n"/>
      <c r="T52" s="7" t="n"/>
      <c r="U52" s="7" t="n"/>
      <c r="V52" s="7">
        <f>SUM(G52:U52)</f>
        <v/>
      </c>
      <c r="W52" s="15">
        <f>IF(AND(V52=E52,F52=E52),"OK","DIFF")</f>
        <v/>
      </c>
    </row>
    <row r="53">
      <c r="A53" s="4" t="inlineStr">
        <is>
          <t>Flag</t>
        </is>
      </c>
      <c r="B53" s="17" t="inlineStr">
        <is>
          <t>props</t>
        </is>
      </c>
      <c r="C53" s="8" t="n">
        <v>1</v>
      </c>
      <c r="D53" s="9" t="n">
        <v>47</v>
      </c>
      <c r="E53" s="8" t="n">
        <v>47</v>
      </c>
      <c r="F53" s="7">
        <f>IF(ISNUMBER(D53),C53*D53,E53)</f>
        <v/>
      </c>
      <c r="G53" s="7" t="n"/>
      <c r="H53" s="8" t="n">
        <v>40</v>
      </c>
      <c r="I53" s="7" t="n"/>
      <c r="J53" s="7" t="n"/>
      <c r="K53" s="7" t="n"/>
      <c r="L53" s="8" t="n">
        <v>2</v>
      </c>
      <c r="M53" s="7" t="n"/>
      <c r="N53" s="7" t="n"/>
      <c r="O53" s="8" t="n">
        <v>5</v>
      </c>
      <c r="P53" s="7" t="n"/>
      <c r="Q53" s="7" t="n"/>
      <c r="R53" s="7" t="n"/>
      <c r="S53" s="7" t="n"/>
      <c r="T53" s="7" t="n"/>
      <c r="U53" s="7" t="n"/>
      <c r="V53" s="7">
        <f>SUM(G53:U53)</f>
        <v/>
      </c>
      <c r="W53" s="15">
        <f>IF(AND(V53=E53,F53=E53),"OK","DIFF")</f>
        <v/>
      </c>
    </row>
    <row r="54">
      <c r="A54" s="4" t="inlineStr">
        <is>
          <t>Windsock</t>
        </is>
      </c>
      <c r="B54" s="17" t="inlineStr">
        <is>
          <t>props</t>
        </is>
      </c>
      <c r="C54" s="8" t="n">
        <v>1</v>
      </c>
      <c r="D54" s="9" t="n">
        <v>15</v>
      </c>
      <c r="E54" s="8" t="n">
        <v>15</v>
      </c>
      <c r="F54" s="7">
        <f>IF(ISNUMBER(D54),C54*D54,E54)</f>
        <v/>
      </c>
      <c r="G54" s="7" t="n"/>
      <c r="H54" s="8" t="n">
        <v>1</v>
      </c>
      <c r="I54" s="7" t="n"/>
      <c r="J54" s="7" t="n"/>
      <c r="K54" s="7" t="n"/>
      <c r="L54" s="7" t="n"/>
      <c r="M54" s="7" t="n"/>
      <c r="N54" s="7" t="n"/>
      <c r="O54" s="8" t="n">
        <v>14</v>
      </c>
      <c r="P54" s="7" t="n"/>
      <c r="Q54" s="7" t="n"/>
      <c r="R54" s="7" t="n"/>
      <c r="S54" s="7" t="n"/>
      <c r="T54" s="7" t="n"/>
      <c r="U54" s="7" t="n"/>
      <c r="V54" s="7">
        <f>SUM(G54:U54)</f>
        <v/>
      </c>
      <c r="W54" s="15">
        <f>IF(AND(V54=E54,F54=E54),"OK","DIFF")</f>
        <v/>
      </c>
    </row>
    <row r="55">
      <c r="A55" s="4" t="inlineStr">
        <is>
          <t>Supply cache</t>
        </is>
      </c>
      <c r="B55" s="17" t="inlineStr">
        <is>
          <t>props</t>
        </is>
      </c>
      <c r="C55" s="8" t="n">
        <v>7</v>
      </c>
      <c r="D55" s="18" t="inlineStr">
        <is>
          <t>4..7</t>
        </is>
      </c>
      <c r="E55" s="8" t="n">
        <v>41</v>
      </c>
      <c r="F55" s="7">
        <f>IF(ISNUMBER(D55),C55*D55,E55)</f>
        <v/>
      </c>
      <c r="G55" s="8" t="n">
        <v>10</v>
      </c>
      <c r="H55" s="8" t="n">
        <v>13</v>
      </c>
      <c r="I55" s="7" t="n"/>
      <c r="J55" s="7" t="n"/>
      <c r="K55" s="7" t="n"/>
      <c r="L55" s="7" t="n"/>
      <c r="M55" s="7" t="n"/>
      <c r="N55" s="7" t="n"/>
      <c r="O55" s="8" t="n">
        <v>18</v>
      </c>
      <c r="P55" s="7" t="n"/>
      <c r="Q55" s="7" t="n"/>
      <c r="R55" s="7" t="n"/>
      <c r="S55" s="7" t="n"/>
      <c r="T55" s="7" t="n"/>
      <c r="U55" s="7" t="n"/>
      <c r="V55" s="7">
        <f>SUM(G55:U55)</f>
        <v/>
      </c>
      <c r="W55" s="15">
        <f>IF(AND(V55=E55,F55=E55),"OK","DIFF")</f>
        <v/>
      </c>
    </row>
    <row r="56">
      <c r="A56" s="4" t="inlineStr">
        <is>
          <t>Boulder</t>
        </is>
      </c>
      <c r="B56" s="17" t="inlineStr">
        <is>
          <t>props</t>
        </is>
      </c>
      <c r="C56" s="8" t="n">
        <v>13</v>
      </c>
      <c r="D56" s="18" t="inlineStr">
        <is>
          <t>3..4</t>
        </is>
      </c>
      <c r="E56" s="8" t="n">
        <v>46</v>
      </c>
      <c r="F56" s="7">
        <f>IF(ISNUMBER(D56),C56*D56,E56)</f>
        <v/>
      </c>
      <c r="G56" s="7" t="n"/>
      <c r="H56" s="7" t="n"/>
      <c r="I56" s="7" t="n"/>
      <c r="J56" s="7" t="n"/>
      <c r="K56" s="7" t="n"/>
      <c r="L56" s="8" t="n">
        <v>46</v>
      </c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>
        <f>SUM(G56:U56)</f>
        <v/>
      </c>
      <c r="W56" s="15">
        <f>IF(AND(V56=E56,F56=E56),"OK","DIFF")</f>
        <v/>
      </c>
    </row>
    <row r="57">
      <c r="A57" s="4" t="inlineStr">
        <is>
          <t>Lamp post</t>
        </is>
      </c>
      <c r="B57" s="17" t="inlineStr">
        <is>
          <t>props</t>
        </is>
      </c>
      <c r="C57" s="8" t="n">
        <v>2</v>
      </c>
      <c r="D57" s="9" t="n">
        <v>4</v>
      </c>
      <c r="E57" s="8" t="n">
        <v>8</v>
      </c>
      <c r="F57" s="7">
        <f>IF(ISNUMBER(D57),C57*D57,E57)</f>
        <v/>
      </c>
      <c r="G57" s="7" t="n"/>
      <c r="H57" s="8" t="n">
        <v>4</v>
      </c>
      <c r="I57" s="7" t="n"/>
      <c r="J57" s="7" t="n"/>
      <c r="K57" s="7" t="n"/>
      <c r="L57" s="8" t="n">
        <v>2</v>
      </c>
      <c r="M57" s="7" t="n"/>
      <c r="N57" s="7" t="n"/>
      <c r="O57" s="8" t="n">
        <v>2</v>
      </c>
      <c r="P57" s="7" t="n"/>
      <c r="Q57" s="7" t="n"/>
      <c r="R57" s="7" t="n"/>
      <c r="S57" s="7" t="n"/>
      <c r="T57" s="7" t="n"/>
      <c r="U57" s="7" t="n"/>
      <c r="V57" s="7">
        <f>SUM(G57:U57)</f>
        <v/>
      </c>
      <c r="W57" s="15">
        <f>IF(AND(V57=E57,F57=E57),"OK","DIFF")</f>
        <v/>
      </c>
    </row>
    <row r="58">
      <c r="A58" s="4" t="inlineStr">
        <is>
          <t>Track sign</t>
        </is>
      </c>
      <c r="B58" s="17" t="inlineStr">
        <is>
          <t>props</t>
        </is>
      </c>
      <c r="C58" s="8" t="n">
        <v>1</v>
      </c>
      <c r="D58" s="9" t="n">
        <v>4</v>
      </c>
      <c r="E58" s="8" t="n">
        <v>4</v>
      </c>
      <c r="F58" s="7">
        <f>IF(ISNUMBER(D58),C58*D58,E58)</f>
        <v/>
      </c>
      <c r="G58" s="7" t="n"/>
      <c r="H58" s="8" t="n">
        <v>3</v>
      </c>
      <c r="I58" s="7" t="n"/>
      <c r="J58" s="7" t="n"/>
      <c r="K58" s="7" t="n"/>
      <c r="L58" s="7" t="n"/>
      <c r="M58" s="7" t="n"/>
      <c r="N58" s="7" t="n"/>
      <c r="O58" s="8" t="n">
        <v>1</v>
      </c>
      <c r="P58" s="7" t="n"/>
      <c r="Q58" s="7" t="n"/>
      <c r="R58" s="7" t="n"/>
      <c r="S58" s="7" t="n"/>
      <c r="T58" s="7" t="n"/>
      <c r="U58" s="7" t="n"/>
      <c r="V58" s="7">
        <f>SUM(G58:U58)</f>
        <v/>
      </c>
      <c r="W58" s="15">
        <f>IF(AND(V58=E58,F58=E58),"OK","DIFF")</f>
        <v/>
      </c>
    </row>
    <row r="59">
      <c r="A59" s="4" t="inlineStr">
        <is>
          <t>Fire barrel</t>
        </is>
      </c>
      <c r="B59" s="17" t="inlineStr">
        <is>
          <t>props</t>
        </is>
      </c>
      <c r="C59" s="8" t="n">
        <v>1</v>
      </c>
      <c r="D59" s="9" t="n">
        <v>2</v>
      </c>
      <c r="E59" s="8" t="n">
        <v>2</v>
      </c>
      <c r="F59" s="7">
        <f>IF(ISNUMBER(D59),C59*D59,E59)</f>
        <v/>
      </c>
      <c r="G59" s="7" t="n"/>
      <c r="H59" s="7" t="n"/>
      <c r="I59" s="7" t="n"/>
      <c r="J59" s="7" t="n"/>
      <c r="K59" s="7" t="n"/>
      <c r="L59" s="8" t="n">
        <v>1</v>
      </c>
      <c r="M59" s="7" t="n"/>
      <c r="N59" s="7" t="n"/>
      <c r="O59" s="8" t="n">
        <v>1</v>
      </c>
      <c r="P59" s="7" t="n"/>
      <c r="Q59" s="7" t="n"/>
      <c r="R59" s="7" t="n"/>
      <c r="S59" s="7" t="n"/>
      <c r="T59" s="7" t="n"/>
      <c r="U59" s="7" t="n"/>
      <c r="V59" s="7">
        <f>SUM(G59:U59)</f>
        <v/>
      </c>
      <c r="W59" s="15">
        <f>IF(AND(V59=E59,F59=E59),"OK","DIFF")</f>
        <v/>
      </c>
    </row>
    <row r="60">
      <c r="A60" s="4" t="inlineStr">
        <is>
          <t>Sky clock (sun)</t>
        </is>
      </c>
      <c r="B60" s="17" t="inlineStr">
        <is>
          <t>props</t>
        </is>
      </c>
      <c r="C60" s="8" t="n">
        <v>1</v>
      </c>
      <c r="D60" s="9" t="n">
        <v>1</v>
      </c>
      <c r="E60" s="8" t="n">
        <v>1</v>
      </c>
      <c r="F60" s="7">
        <f>IF(ISNUMBER(D60),C60*D60,E60)</f>
        <v/>
      </c>
      <c r="G60" s="7" t="n"/>
      <c r="H60" s="7" t="n"/>
      <c r="I60" s="7" t="n"/>
      <c r="J60" s="7" t="n"/>
      <c r="K60" s="7" t="n"/>
      <c r="L60" s="8" t="n">
        <v>1</v>
      </c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>
        <f>SUM(G60:U60)</f>
        <v/>
      </c>
      <c r="W60" s="15">
        <f>IF(AND(V60=E60,F60=E60),"OK","DIFF")</f>
        <v/>
      </c>
    </row>
    <row r="61">
      <c r="A61" s="4" t="inlineStr">
        <is>
          <t>Moon</t>
        </is>
      </c>
      <c r="B61" s="17" t="inlineStr">
        <is>
          <t>props</t>
        </is>
      </c>
      <c r="C61" s="8" t="n">
        <v>1</v>
      </c>
      <c r="D61" s="9" t="n">
        <v>1</v>
      </c>
      <c r="E61" s="8" t="n">
        <v>1</v>
      </c>
      <c r="F61" s="7">
        <f>IF(ISNUMBER(D61),C61*D61,E61)</f>
        <v/>
      </c>
      <c r="G61" s="7" t="n"/>
      <c r="H61" s="7" t="n"/>
      <c r="I61" s="7" t="n"/>
      <c r="J61" s="7" t="n"/>
      <c r="K61" s="7" t="n"/>
      <c r="L61" s="8" t="n">
        <v>1</v>
      </c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>
        <f>SUM(G61:U61)</f>
        <v/>
      </c>
      <c r="W61" s="15">
        <f>IF(AND(V61=E61,F61=E61),"OK","DIFF")</f>
        <v/>
      </c>
    </row>
    <row r="62">
      <c r="A62" s="4" t="inlineStr">
        <is>
          <t>Terrain disc</t>
        </is>
      </c>
      <c r="B62" s="17" t="inlineStr">
        <is>
          <t>terrain and backdrop</t>
        </is>
      </c>
      <c r="C62" s="8" t="n">
        <v>1</v>
      </c>
      <c r="D62" s="9" t="n">
        <v>1</v>
      </c>
      <c r="E62" s="8" t="n">
        <v>1</v>
      </c>
      <c r="F62" s="7">
        <f>IF(ISNUMBER(D62),C62*D62,E62)</f>
        <v/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8" t="n">
        <v>1</v>
      </c>
      <c r="V62" s="7">
        <f>SUM(G62:U62)</f>
        <v/>
      </c>
      <c r="W62" s="15">
        <f>IF(AND(V62=E62,F62=E62),"OK","DIFF")</f>
        <v/>
      </c>
    </row>
    <row r="63">
      <c r="A63" s="4" t="inlineStr">
        <is>
          <t>Far ground</t>
        </is>
      </c>
      <c r="B63" s="17" t="inlineStr">
        <is>
          <t>terrain and backdrop</t>
        </is>
      </c>
      <c r="C63" s="8" t="n">
        <v>1</v>
      </c>
      <c r="D63" s="9" t="n">
        <v>1</v>
      </c>
      <c r="E63" s="8" t="n">
        <v>1</v>
      </c>
      <c r="F63" s="7">
        <f>IF(ISNUMBER(D63),C63*D63,E63)</f>
        <v/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8" t="n">
        <v>1</v>
      </c>
      <c r="P63" s="7" t="n"/>
      <c r="Q63" s="7" t="n"/>
      <c r="R63" s="7" t="n"/>
      <c r="S63" s="7" t="n"/>
      <c r="T63" s="7" t="n"/>
      <c r="U63" s="7" t="n"/>
      <c r="V63" s="7">
        <f>SUM(G63:U63)</f>
        <v/>
      </c>
      <c r="W63" s="15">
        <f>IF(AND(V63=E63,F63=E63),"OK","DIFF")</f>
        <v/>
      </c>
    </row>
    <row r="64">
      <c r="A64" s="4" t="inlineStr">
        <is>
          <t>Distant hills</t>
        </is>
      </c>
      <c r="B64" s="17" t="inlineStr">
        <is>
          <t>terrain and backdrop</t>
        </is>
      </c>
      <c r="C64" s="8" t="n">
        <v>1</v>
      </c>
      <c r="D64" s="9" t="n">
        <v>21</v>
      </c>
      <c r="E64" s="8" t="n">
        <v>21</v>
      </c>
      <c r="F64" s="7">
        <f>IF(ISNUMBER(D64),C64*D64,E64)</f>
        <v/>
      </c>
      <c r="G64" s="7" t="n"/>
      <c r="H64" s="7" t="n"/>
      <c r="I64" s="7" t="n"/>
      <c r="J64" s="7" t="n"/>
      <c r="K64" s="7" t="n"/>
      <c r="L64" s="8" t="n">
        <v>21</v>
      </c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>
        <f>SUM(G64:U64)</f>
        <v/>
      </c>
      <c r="W64" s="15">
        <f>IF(AND(V64=E64,F64=E64),"OK","DIFF")</f>
        <v/>
      </c>
    </row>
    <row r="65">
      <c r="A65" s="4" t="inlineStr">
        <is>
          <t>Far radio tower</t>
        </is>
      </c>
      <c r="B65" s="17" t="inlineStr">
        <is>
          <t>terrain and backdrop</t>
        </is>
      </c>
      <c r="C65" s="8" t="n">
        <v>1</v>
      </c>
      <c r="D65" s="9" t="n">
        <v>12</v>
      </c>
      <c r="E65" s="8" t="n">
        <v>12</v>
      </c>
      <c r="F65" s="7">
        <f>IF(ISNUMBER(D65),C65*D65,E65)</f>
        <v/>
      </c>
      <c r="G65" s="7" t="n"/>
      <c r="H65" s="7" t="n"/>
      <c r="I65" s="7" t="n"/>
      <c r="J65" s="7" t="n"/>
      <c r="K65" s="7" t="n"/>
      <c r="L65" s="8" t="n">
        <v>3</v>
      </c>
      <c r="M65" s="7" t="n"/>
      <c r="N65" s="7" t="n"/>
      <c r="O65" s="8" t="n">
        <v>9</v>
      </c>
      <c r="P65" s="7" t="n"/>
      <c r="Q65" s="7" t="n"/>
      <c r="R65" s="7" t="n"/>
      <c r="S65" s="7" t="n"/>
      <c r="T65" s="7" t="n"/>
      <c r="U65" s="7" t="n"/>
      <c r="V65" s="7">
        <f>SUM(G65:U65)</f>
        <v/>
      </c>
      <c r="W65" s="15">
        <f>IF(AND(V65=E65,F65=E65),"OK","DIFF")</f>
        <v/>
      </c>
    </row>
    <row r="66">
      <c r="A66" s="4" t="inlineStr">
        <is>
          <t>Road</t>
        </is>
      </c>
      <c r="B66" s="17" t="inlineStr">
        <is>
          <t>terrain and backdrop</t>
        </is>
      </c>
      <c r="C66" s="8" t="n">
        <v>1</v>
      </c>
      <c r="D66" s="9" t="n">
        <v>7</v>
      </c>
      <c r="E66" s="8" t="n">
        <v>7</v>
      </c>
      <c r="F66" s="7">
        <f>IF(ISNUMBER(D66),C66*D66,E66)</f>
        <v/>
      </c>
      <c r="G66" s="7" t="n"/>
      <c r="H66" s="8" t="n">
        <v>7</v>
      </c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>
        <f>SUM(G66:U66)</f>
        <v/>
      </c>
      <c r="W66" s="15">
        <f>IF(AND(V66=E66,F66=E66),"OK","DIFF")</f>
        <v/>
      </c>
    </row>
    <row r="67">
      <c r="A67" s="4" t="inlineStr">
        <is>
          <t>Tyre tracks</t>
        </is>
      </c>
      <c r="B67" s="17" t="inlineStr">
        <is>
          <t>terrain and backdrop</t>
        </is>
      </c>
      <c r="C67" s="8" t="n">
        <v>1</v>
      </c>
      <c r="D67" s="9" t="n">
        <v>50</v>
      </c>
      <c r="E67" s="8" t="n">
        <v>50</v>
      </c>
      <c r="F67" s="7">
        <f>IF(ISNUMBER(D67),C67*D67,E67)</f>
        <v/>
      </c>
      <c r="G67" s="7" t="n"/>
      <c r="H67" s="8" t="n">
        <v>50</v>
      </c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>
        <f>SUM(G67:U67)</f>
        <v/>
      </c>
      <c r="W67" s="15">
        <f>IF(AND(V67=E67,F67=E67),"OK","DIFF")</f>
        <v/>
      </c>
    </row>
    <row r="68">
      <c r="A68" s="4" t="inlineStr">
        <is>
          <t>Tank spot marking</t>
        </is>
      </c>
      <c r="B68" s="17" t="inlineStr">
        <is>
          <t>terrain and backdrop</t>
        </is>
      </c>
      <c r="C68" s="8" t="n">
        <v>1</v>
      </c>
      <c r="D68" s="9" t="n">
        <v>4</v>
      </c>
      <c r="E68" s="8" t="n">
        <v>4</v>
      </c>
      <c r="F68" s="7">
        <f>IF(ISNUMBER(D68),C68*D68,E68)</f>
        <v/>
      </c>
      <c r="G68" s="7" t="n"/>
      <c r="H68" s="8" t="n">
        <v>4</v>
      </c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>
        <f>SUM(G68:U68)</f>
        <v/>
      </c>
      <c r="W68" s="15">
        <f>IF(AND(V68=E68,F68=E68),"OK","DIFF")</f>
        <v/>
      </c>
    </row>
    <row r="69">
      <c r="A69" s="4" t="inlineStr">
        <is>
          <t>Scene</t>
        </is>
      </c>
      <c r="C69" s="7">
        <f>SUM(C7:C68)</f>
        <v/>
      </c>
      <c r="E69" s="7">
        <f>SUM(E7:E68)</f>
        <v/>
      </c>
      <c r="F69" s="7">
        <f>SUM(F7:F68)</f>
        <v/>
      </c>
      <c r="G69" s="7">
        <f>SUM(G7:G68)</f>
        <v/>
      </c>
      <c r="H69" s="7">
        <f>SUM(H7:H68)</f>
        <v/>
      </c>
      <c r="I69" s="7">
        <f>SUM(I7:I68)</f>
        <v/>
      </c>
      <c r="J69" s="7">
        <f>SUM(J7:J68)</f>
        <v/>
      </c>
      <c r="K69" s="7">
        <f>SUM(K7:K68)</f>
        <v/>
      </c>
      <c r="L69" s="7">
        <f>SUM(L7:L68)</f>
        <v/>
      </c>
      <c r="M69" s="7">
        <f>SUM(M7:M68)</f>
        <v/>
      </c>
      <c r="N69" s="7">
        <f>SUM(N7:N68)</f>
        <v/>
      </c>
      <c r="O69" s="7">
        <f>SUM(O7:O68)</f>
        <v/>
      </c>
      <c r="P69" s="7">
        <f>SUM(P7:P68)</f>
        <v/>
      </c>
      <c r="Q69" s="7">
        <f>SUM(Q7:Q68)</f>
        <v/>
      </c>
      <c r="R69" s="7">
        <f>SUM(R7:R68)</f>
        <v/>
      </c>
      <c r="S69" s="7">
        <f>SUM(S7:S68)</f>
        <v/>
      </c>
      <c r="T69" s="7">
        <f>SUM(T7:T68)</f>
        <v/>
      </c>
      <c r="U69" s="7">
        <f>SUM(U7:U68)</f>
        <v/>
      </c>
      <c r="V69" s="7">
        <f>SUM(V7:V68)</f>
        <v/>
      </c>
    </row>
    <row r="70">
      <c r="A70" s="4" t="inlineStr">
        <is>
          <t>Scene parts (export leaf_count)</t>
        </is>
      </c>
      <c r="E70" s="8" t="n">
        <v>5476</v>
      </c>
      <c r="F70" s="15">
        <f>IF(E69=E70,"OK","DIFF")</f>
        <v/>
      </c>
    </row>
    <row r="73">
      <c r="A73" s="10" t="inlineStr">
        <is>
          <t>2. The report's primitive colour key: sRGB inputs, greyscale lightness L* by formula</t>
        </is>
      </c>
    </row>
    <row r="74" ht="30" customHeight="1">
      <c r="A74" s="3" t="inlineStr">
        <is>
          <t>Primitive</t>
        </is>
      </c>
      <c r="B74" s="3" t="inlineStr">
        <is>
          <t>Family</t>
        </is>
      </c>
      <c r="C74" s="3" t="inlineStr">
        <is>
          <t>R</t>
        </is>
      </c>
      <c r="D74" s="3" t="inlineStr">
        <is>
          <t>G</t>
        </is>
      </c>
      <c r="E74" s="3" t="inlineStr">
        <is>
          <t>B</t>
        </is>
      </c>
      <c r="F74" s="3" t="inlineStr">
        <is>
          <t>colour</t>
        </is>
      </c>
      <c r="G74" s="3" t="inlineStr">
        <is>
          <t>Y (linear)</t>
        </is>
      </c>
      <c r="H74" s="3" t="inlineStr">
        <is>
          <t>L*</t>
        </is>
      </c>
    </row>
    <row r="75">
      <c r="A75" s="4" t="inlineStr">
        <is>
          <t>Cube</t>
        </is>
      </c>
      <c r="B75" s="17" t="inlineStr">
        <is>
          <t>box</t>
        </is>
      </c>
      <c r="C75" s="8" t="n">
        <v>0</v>
      </c>
      <c r="D75" s="8" t="n">
        <v>70</v>
      </c>
      <c r="E75" s="8" t="n">
        <v>144</v>
      </c>
      <c r="F75" s="19" t="n"/>
      <c r="G75" s="20">
        <f>0.2126*IF(C75/255&lt;=0.04045,C75/255/12.92,((C75/255+0.055)/1.055)^2.4)+0.7152*IF(D75/255&lt;=0.04045,D75/255/12.92,((D75/255+0.055)/1.055)^2.4)+0.0722*IF(E75/255&lt;=0.04045,E75/255/12.92,((E75/255+0.055)/1.055)^2.4)</f>
        <v/>
      </c>
      <c r="H75" s="21">
        <f>IF(G75&gt;0.008856,116*G75^(1/3)-16,903.3*G75)</f>
        <v/>
      </c>
    </row>
    <row r="76">
      <c r="A76" s="4" t="inlineStr">
        <is>
          <t>Cuboid</t>
        </is>
      </c>
      <c r="B76" s="17" t="inlineStr">
        <is>
          <t>box</t>
        </is>
      </c>
      <c r="C76" s="8" t="n">
        <v>0</v>
      </c>
      <c r="D76" s="8" t="n">
        <v>109</v>
      </c>
      <c r="E76" s="8" t="n">
        <v>178</v>
      </c>
      <c r="F76" s="22" t="n"/>
      <c r="G76" s="20">
        <f>0.2126*IF(C76/255&lt;=0.04045,C76/255/12.92,((C76/255+0.055)/1.055)^2.4)+0.7152*IF(D76/255&lt;=0.04045,D76/255/12.92,((D76/255+0.055)/1.055)^2.4)+0.0722*IF(E76/255&lt;=0.04045,E76/255/12.92,((E76/255+0.055)/1.055)^2.4)</f>
        <v/>
      </c>
      <c r="H76" s="21">
        <f>IF(G76&gt;0.008856,116*G76^(1/3)-16,903.3*G76)</f>
        <v/>
      </c>
    </row>
    <row r="77">
      <c r="A77" s="4" t="inlineStr">
        <is>
          <t>Wedge</t>
        </is>
      </c>
      <c r="B77" s="17" t="inlineStr">
        <is>
          <t>box</t>
        </is>
      </c>
      <c r="C77" s="8" t="n">
        <v>0</v>
      </c>
      <c r="D77" s="8" t="n">
        <v>118</v>
      </c>
      <c r="E77" s="8" t="n">
        <v>133</v>
      </c>
      <c r="F77" s="23" t="n"/>
      <c r="G77" s="20">
        <f>0.2126*IF(C77/255&lt;=0.04045,C77/255/12.92,((C77/255+0.055)/1.055)^2.4)+0.7152*IF(D77/255&lt;=0.04045,D77/255/12.92,((D77/255+0.055)/1.055)^2.4)+0.0722*IF(E77/255&lt;=0.04045,E77/255/12.92,((E77/255+0.055)/1.055)^2.4)</f>
        <v/>
      </c>
      <c r="H77" s="21">
        <f>IF(G77&gt;0.008856,116*G77^(1/3)-16,903.3*G77)</f>
        <v/>
      </c>
    </row>
    <row r="78">
      <c r="A78" s="4" t="inlineStr">
        <is>
          <t>Tapered box</t>
        </is>
      </c>
      <c r="B78" s="17" t="inlineStr">
        <is>
          <t>box</t>
        </is>
      </c>
      <c r="C78" s="8" t="n">
        <v>80</v>
      </c>
      <c r="D78" s="8" t="n">
        <v>101</v>
      </c>
      <c r="E78" s="8" t="n">
        <v>147</v>
      </c>
      <c r="F78" s="24" t="n"/>
      <c r="G78" s="20">
        <f>0.2126*IF(C78/255&lt;=0.04045,C78/255/12.92,((C78/255+0.055)/1.055)^2.4)+0.7152*IF(D78/255&lt;=0.04045,D78/255/12.92,((D78/255+0.055)/1.055)^2.4)+0.0722*IF(E78/255&lt;=0.04045,E78/255/12.92,((E78/255+0.055)/1.055)^2.4)</f>
        <v/>
      </c>
      <c r="H78" s="21">
        <f>IF(G78&gt;0.008856,116*G78^(1/3)-16,903.3*G78)</f>
        <v/>
      </c>
    </row>
    <row r="79">
      <c r="A79" s="4" t="inlineStr">
        <is>
          <t>Pyramid</t>
        </is>
      </c>
      <c r="B79" s="17" t="inlineStr">
        <is>
          <t>box</t>
        </is>
      </c>
      <c r="C79" s="8" t="n">
        <v>0</v>
      </c>
      <c r="D79" s="8" t="n">
        <v>88</v>
      </c>
      <c r="E79" s="8" t="n">
        <v>80</v>
      </c>
      <c r="F79" s="25" t="n"/>
      <c r="G79" s="20">
        <f>0.2126*IF(C79/255&lt;=0.04045,C79/255/12.92,((C79/255+0.055)/1.055)^2.4)+0.7152*IF(D79/255&lt;=0.04045,D79/255/12.92,((D79/255+0.055)/1.055)^2.4)+0.0722*IF(E79/255&lt;=0.04045,E79/255/12.92,((E79/255+0.055)/1.055)^2.4)</f>
        <v/>
      </c>
      <c r="H79" s="21">
        <f>IF(G79&gt;0.008856,116*G79^(1/3)-16,903.3*G79)</f>
        <v/>
      </c>
    </row>
    <row r="80">
      <c r="A80" s="4" t="inlineStr">
        <is>
          <t>Sphere</t>
        </is>
      </c>
      <c r="B80" s="17" t="inlineStr">
        <is>
          <t>round</t>
        </is>
      </c>
      <c r="C80" s="8" t="n">
        <v>255</v>
      </c>
      <c r="D80" s="8" t="n">
        <v>160</v>
      </c>
      <c r="E80" s="8" t="n">
        <v>50</v>
      </c>
      <c r="F80" s="26" t="n"/>
      <c r="G80" s="20">
        <f>0.2126*IF(C80/255&lt;=0.04045,C80/255/12.92,((C80/255+0.055)/1.055)^2.4)+0.7152*IF(D80/255&lt;=0.04045,D80/255/12.92,((D80/255+0.055)/1.055)^2.4)+0.0722*IF(E80/255&lt;=0.04045,E80/255/12.92,((E80/255+0.055)/1.055)^2.4)</f>
        <v/>
      </c>
      <c r="H80" s="21">
        <f>IF(G80&gt;0.008856,116*G80^(1/3)-16,903.3*G80)</f>
        <v/>
      </c>
    </row>
    <row r="81">
      <c r="A81" s="4" t="inlineStr">
        <is>
          <t>Hemisphere</t>
        </is>
      </c>
      <c r="B81" s="17" t="inlineStr">
        <is>
          <t>round</t>
        </is>
      </c>
      <c r="C81" s="8" t="n">
        <v>255</v>
      </c>
      <c r="D81" s="8" t="n">
        <v>220</v>
      </c>
      <c r="E81" s="8" t="n">
        <v>69</v>
      </c>
      <c r="F81" s="27" t="n"/>
      <c r="G81" s="20">
        <f>0.2126*IF(C81/255&lt;=0.04045,C81/255/12.92,((C81/255+0.055)/1.055)^2.4)+0.7152*IF(D81/255&lt;=0.04045,D81/255/12.92,((D81/255+0.055)/1.055)^2.4)+0.0722*IF(E81/255&lt;=0.04045,E81/255/12.92,((E81/255+0.055)/1.055)^2.4)</f>
        <v/>
      </c>
      <c r="H81" s="21">
        <f>IF(G81&gt;0.008856,116*G81^(1/3)-16,903.3*G81)</f>
        <v/>
      </c>
    </row>
    <row r="82">
      <c r="A82" s="4" t="inlineStr">
        <is>
          <t>Capsule</t>
        </is>
      </c>
      <c r="B82" s="17" t="inlineStr">
        <is>
          <t>round</t>
        </is>
      </c>
      <c r="C82" s="8" t="n">
        <v>255</v>
      </c>
      <c r="D82" s="8" t="n">
        <v>200</v>
      </c>
      <c r="E82" s="8" t="n">
        <v>120</v>
      </c>
      <c r="F82" s="28" t="n"/>
      <c r="G82" s="20">
        <f>0.2126*IF(C82/255&lt;=0.04045,C82/255/12.92,((C82/255+0.055)/1.055)^2.4)+0.7152*IF(D82/255&lt;=0.04045,D82/255/12.92,((D82/255+0.055)/1.055)^2.4)+0.0722*IF(E82/255&lt;=0.04045,E82/255/12.92,((E82/255+0.055)/1.055)^2.4)</f>
        <v/>
      </c>
      <c r="H82" s="21">
        <f>IF(G82&gt;0.008856,116*G82^(1/3)-16,903.3*G82)</f>
        <v/>
      </c>
    </row>
    <row r="83">
      <c r="A83" s="4" t="inlineStr">
        <is>
          <t>Cylinder</t>
        </is>
      </c>
      <c r="B83" s="17" t="inlineStr">
        <is>
          <t>cylinder</t>
        </is>
      </c>
      <c r="C83" s="8" t="n">
        <v>87</v>
      </c>
      <c r="D83" s="8" t="n">
        <v>180</v>
      </c>
      <c r="E83" s="8" t="n">
        <v>93</v>
      </c>
      <c r="F83" s="29" t="n"/>
      <c r="G83" s="20">
        <f>0.2126*IF(C83/255&lt;=0.04045,C83/255/12.92,((C83/255+0.055)/1.055)^2.4)+0.7152*IF(D83/255&lt;=0.04045,D83/255/12.92,((D83/255+0.055)/1.055)^2.4)+0.0722*IF(E83/255&lt;=0.04045,E83/255/12.92,((E83/255+0.055)/1.055)^2.4)</f>
        <v/>
      </c>
      <c r="H83" s="21">
        <f>IF(G83&gt;0.008856,116*G83^(1/3)-16,903.3*G83)</f>
        <v/>
      </c>
    </row>
    <row r="84">
      <c r="A84" s="4" t="inlineStr">
        <is>
          <t>Cylinder (frustum)</t>
        </is>
      </c>
      <c r="B84" s="17" t="inlineStr">
        <is>
          <t>cylinder</t>
        </is>
      </c>
      <c r="C84" s="8" t="n">
        <v>148</v>
      </c>
      <c r="D84" s="8" t="n">
        <v>180</v>
      </c>
      <c r="E84" s="8" t="n">
        <v>70</v>
      </c>
      <c r="F84" s="30" t="n"/>
      <c r="G84" s="20">
        <f>0.2126*IF(C84/255&lt;=0.04045,C84/255/12.92,((C84/255+0.055)/1.055)^2.4)+0.7152*IF(D84/255&lt;=0.04045,D84/255/12.92,((D84/255+0.055)/1.055)^2.4)+0.0722*IF(E84/255&lt;=0.04045,E84/255/12.92,((E84/255+0.055)/1.055)^2.4)</f>
        <v/>
      </c>
      <c r="H84" s="21">
        <f>IF(G84&gt;0.008856,116*G84^(1/3)-16,903.3*G84)</f>
        <v/>
      </c>
    </row>
    <row r="85">
      <c r="A85" s="4" t="inlineStr">
        <is>
          <t>Cone</t>
        </is>
      </c>
      <c r="B85" s="17" t="inlineStr">
        <is>
          <t>cylinder</t>
        </is>
      </c>
      <c r="C85" s="8" t="n">
        <v>51</v>
      </c>
      <c r="D85" s="8" t="n">
        <v>174</v>
      </c>
      <c r="E85" s="8" t="n">
        <v>141</v>
      </c>
      <c r="F85" s="31" t="n"/>
      <c r="G85" s="20">
        <f>0.2126*IF(C85/255&lt;=0.04045,C85/255/12.92,((C85/255+0.055)/1.055)^2.4)+0.7152*IF(D85/255&lt;=0.04045,D85/255/12.92,((D85/255+0.055)/1.055)^2.4)+0.0722*IF(E85/255&lt;=0.04045,E85/255/12.92,((E85/255+0.055)/1.055)^2.4)</f>
        <v/>
      </c>
      <c r="H85" s="21">
        <f>IF(G85&gt;0.008856,116*G85^(1/3)-16,903.3*G85)</f>
        <v/>
      </c>
    </row>
    <row r="86">
      <c r="A86" s="4" t="inlineStr">
        <is>
          <t>Torus</t>
        </is>
      </c>
      <c r="B86" s="17" t="inlineStr">
        <is>
          <t>ring</t>
        </is>
      </c>
      <c r="C86" s="8" t="n">
        <v>210</v>
      </c>
      <c r="D86" s="8" t="n">
        <v>71</v>
      </c>
      <c r="E86" s="8" t="n">
        <v>144</v>
      </c>
      <c r="F86" s="32" t="n"/>
      <c r="G86" s="20">
        <f>0.2126*IF(C86/255&lt;=0.04045,C86/255/12.92,((C86/255+0.055)/1.055)^2.4)+0.7152*IF(D86/255&lt;=0.04045,D86/255/12.92,((D86/255+0.055)/1.055)^2.4)+0.0722*IF(E86/255&lt;=0.04045,E86/255/12.92,((E86/255+0.055)/1.055)^2.4)</f>
        <v/>
      </c>
      <c r="H86" s="21">
        <f>IF(G86&gt;0.008856,116*G86^(1/3)-16,903.3*G86)</f>
        <v/>
      </c>
    </row>
    <row r="87">
      <c r="A87" s="4" t="inlineStr">
        <is>
          <t>Annulus</t>
        </is>
      </c>
      <c r="B87" s="17" t="inlineStr">
        <is>
          <t>ring</t>
        </is>
      </c>
      <c r="C87" s="8" t="n">
        <v>130</v>
      </c>
      <c r="D87" s="8" t="n">
        <v>104</v>
      </c>
      <c r="E87" s="8" t="n">
        <v>192</v>
      </c>
      <c r="F87" s="33" t="n"/>
      <c r="G87" s="20">
        <f>0.2126*IF(C87/255&lt;=0.04045,C87/255/12.92,((C87/255+0.055)/1.055)^2.4)+0.7152*IF(D87/255&lt;=0.04045,D87/255/12.92,((D87/255+0.055)/1.055)^2.4)+0.0722*IF(E87/255&lt;=0.04045,E87/255/12.92,((E87/255+0.055)/1.055)^2.4)</f>
        <v/>
      </c>
      <c r="H87" s="21">
        <f>IF(G87&gt;0.008856,116*G87^(1/3)-16,903.3*G87)</f>
        <v/>
      </c>
    </row>
    <row r="88">
      <c r="A88" s="4" t="inlineStr">
        <is>
          <t>Helix</t>
        </is>
      </c>
      <c r="B88" s="17" t="inlineStr">
        <is>
          <t>ring</t>
        </is>
      </c>
      <c r="C88" s="8" t="n">
        <v>189</v>
      </c>
      <c r="D88" s="8" t="n">
        <v>107</v>
      </c>
      <c r="E88" s="8" t="n">
        <v>186</v>
      </c>
      <c r="F88" s="34" t="n"/>
      <c r="G88" s="20">
        <f>0.2126*IF(C88/255&lt;=0.04045,C88/255/12.92,((C88/255+0.055)/1.055)^2.4)+0.7152*IF(D88/255&lt;=0.04045,D88/255/12.92,((D88/255+0.055)/1.055)^2.4)+0.0722*IF(E88/255&lt;=0.04045,E88/255/12.92,((E88/255+0.055)/1.055)^2.4)</f>
        <v/>
      </c>
      <c r="H88" s="21">
        <f>IF(G88&gt;0.008856,116*G88^(1/3)-16,903.3*G88)</f>
        <v/>
      </c>
    </row>
    <row r="89">
      <c r="A89" s="4" t="inlineStr">
        <is>
          <t>Grass blade</t>
        </is>
      </c>
      <c r="B89" s="17" t="inlineStr">
        <is>
          <t>special</t>
        </is>
      </c>
      <c r="C89" s="8" t="n">
        <v>149</v>
      </c>
      <c r="D89" s="8" t="n">
        <v>147</v>
      </c>
      <c r="E89" s="8" t="n">
        <v>142</v>
      </c>
      <c r="F89" s="35" t="n"/>
      <c r="G89" s="20">
        <f>0.2126*IF(C89/255&lt;=0.04045,C89/255/12.92,((C89/255+0.055)/1.055)^2.4)+0.7152*IF(D89/255&lt;=0.04045,D89/255/12.92,((D89/255+0.055)/1.055)^2.4)+0.0722*IF(E89/255&lt;=0.04045,E89/255/12.92,((E89/255+0.055)/1.055)^2.4)</f>
        <v/>
      </c>
      <c r="H89" s="21">
        <f>IF(G89&gt;0.008856,116*G89^(1/3)-16,903.3*G89)</f>
        <v/>
      </c>
    </row>
    <row r="90">
      <c r="A90" s="4" t="inlineStr">
        <is>
          <t>Terrain disc</t>
        </is>
      </c>
      <c r="B90" s="17" t="inlineStr">
        <is>
          <t>special</t>
        </is>
      </c>
      <c r="C90" s="8" t="n">
        <v>175</v>
      </c>
      <c r="D90" s="8" t="n">
        <v>137</v>
      </c>
      <c r="E90" s="8" t="n">
        <v>103</v>
      </c>
      <c r="F90" s="36" t="n"/>
      <c r="G90" s="20">
        <f>0.2126*IF(C90/255&lt;=0.04045,C90/255/12.92,((C90/255+0.055)/1.055)^2.4)+0.7152*IF(D90/255&lt;=0.04045,D90/255/12.92,((D90/255+0.055)/1.055)^2.4)+0.0722*IF(E90/255&lt;=0.04045,E90/255/12.92,((E90/255+0.055)/1.055)^2.4)</f>
        <v/>
      </c>
      <c r="H90" s="21">
        <f>IF(G90&gt;0.008856,116*G90^(1/3)-16,903.3*G90)</f>
        <v/>
      </c>
    </row>
    <row r="92">
      <c r="A92" s="2" t="inlineStr">
        <is>
          <t>Each family has its own L* band (box 30-45, ring 50-57, special 60-61, cylinder 64-69, round 74-88), so the families stay apart in greyscale.</t>
        </is>
      </c>
    </row>
  </sheetData>
  <printOptions gridLines="0"/>
  <pageMargins left="0.4" right="0.4" top="0.4" bottom="0.4" header="0.2" footer="0.2"/>
  <pageSetup orientation="landscape" paperSize="9" scale="6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2.5" customWidth="1" min="6" max="6"/>
    <col width="9" customWidth="1" min="7" max="7"/>
    <col width="9" customWidth="1" min="8" max="8"/>
    <col width="9" customWidth="1" min="9" max="9"/>
    <col width="9" customWidth="1" min="10" max="10"/>
    <col width="2.5" customWidth="1" min="11" max="11"/>
    <col width="9" customWidth="1" min="12" max="12"/>
    <col width="9" customWidth="1" min="13" max="13"/>
    <col width="9" customWidth="1" min="14" max="14"/>
    <col width="9" customWidth="1" min="15" max="15"/>
    <col width="2.5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>
      <c r="A1" s="1" t="inlineStr">
        <is>
          <t>Transform_Trace: one real UAV vertex from local space to the window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ts --export-docs component UAV-14 'Arm Front-right' (S, R_deg, T, local_matrix, world_matrix, parent UAV-00 world_matrix); objects/Builder M = T Ry Rx Rz S; View_Projection sheet (V, P, viewport).</t>
        </is>
      </c>
    </row>
    <row r="5">
      <c r="A5" s="4" t="inlineStr">
        <is>
          <t>Part</t>
        </is>
      </c>
      <c r="B5" s="5" t="inlineStr">
        <is>
          <t>UAV-14 Arm Front-right (Cube, createCube)</t>
        </is>
      </c>
      <c r="C5" s="11" t="n"/>
      <c r="D5" s="11" t="n"/>
      <c r="E5" s="11" t="n"/>
      <c r="F5" s="11" t="n"/>
      <c r="G5" s="11" t="n"/>
      <c r="H5" s="11" t="n"/>
      <c r="I5" s="12" t="n"/>
      <c r="K5" s="4" t="inlineStr">
        <is>
          <t>Parent</t>
        </is>
      </c>
      <c r="L5" s="12" t="n"/>
      <c r="M5" s="5" t="inlineStr">
        <is>
          <t>UAV-00 Autonomous UAV (root, R = (0, 180, 0), T = (0, 7.5, 12.5))</t>
        </is>
      </c>
      <c r="N5" s="11" t="n"/>
      <c r="O5" s="11" t="n"/>
      <c r="P5" s="11" t="n"/>
      <c r="Q5" s="11" t="n"/>
      <c r="R5" s="11" t="n"/>
      <c r="S5" s="11" t="n"/>
      <c r="T5" s="12" t="n"/>
    </row>
    <row r="6">
      <c r="A6" s="3" t="inlineStr"/>
      <c r="B6" s="3" t="inlineStr">
        <is>
          <t>x</t>
        </is>
      </c>
      <c r="C6" s="3" t="inlineStr">
        <is>
          <t>y</t>
        </is>
      </c>
      <c r="D6" s="3" t="inlineStr">
        <is>
          <t>z</t>
        </is>
      </c>
      <c r="E6" s="3" t="inlineStr">
        <is>
          <t>w</t>
        </is>
      </c>
    </row>
    <row r="7">
      <c r="A7" s="4" t="inlineStr">
        <is>
          <t>S (scale)</t>
        </is>
      </c>
      <c r="B7" s="16" t="n">
        <v>0.025</v>
      </c>
      <c r="C7" s="16" t="n">
        <v>0.018</v>
      </c>
      <c r="D7" s="16" t="n">
        <v>0.22</v>
      </c>
    </row>
    <row r="8">
      <c r="A8" s="4" t="inlineStr">
        <is>
          <t>R_deg (pitch x, yaw y, roll z)</t>
        </is>
      </c>
      <c r="B8" s="8" t="n">
        <v>0</v>
      </c>
      <c r="C8" s="8" t="n">
        <v>-45</v>
      </c>
      <c r="D8" s="8" t="n">
        <v>0</v>
      </c>
    </row>
    <row r="9">
      <c r="A9" s="4" t="inlineStr">
        <is>
          <t>T (m)</t>
        </is>
      </c>
      <c r="B9" s="16" t="n">
        <v>-0.106066</v>
      </c>
      <c r="C9" s="8" t="n">
        <v>0</v>
      </c>
      <c r="D9" s="16" t="n">
        <v>0.106066</v>
      </c>
    </row>
    <row r="10">
      <c r="A10" s="4" t="inlineStr">
        <is>
          <t>local vertex p (cube corner)</t>
        </is>
      </c>
      <c r="B10" s="16" t="n">
        <v>0.5</v>
      </c>
      <c r="C10" s="16" t="n">
        <v>0.5</v>
      </c>
      <c r="D10" s="16" t="n">
        <v>0.5</v>
      </c>
      <c r="E10" s="8" t="n">
        <v>1</v>
      </c>
      <c r="F10" s="2" t="inlineStr">
        <is>
          <t>createCube() vertex 3 = (0.5, 0.5, 0.5), +X face (mesh_samples in the export)</t>
        </is>
      </c>
    </row>
    <row r="12">
      <c r="B12" s="10" t="inlineStr">
        <is>
          <t>S = scale(Sx, Sy, Sz)</t>
        </is>
      </c>
      <c r="G12" s="10" t="inlineStr">
        <is>
          <t>Rx(pitch)</t>
        </is>
      </c>
      <c r="L12" s="10" t="inlineStr">
        <is>
          <t>Ry(yaw)</t>
        </is>
      </c>
      <c r="Q12" s="10" t="inlineStr">
        <is>
          <t>Rz(roll)</t>
        </is>
      </c>
    </row>
    <row r="13">
      <c r="B13" s="15">
        <f>$B$7</f>
        <v/>
      </c>
      <c r="C13" s="37" t="n">
        <v>0</v>
      </c>
      <c r="D13" s="37" t="n">
        <v>0</v>
      </c>
      <c r="E13" s="37" t="n">
        <v>0</v>
      </c>
      <c r="G13" s="37" t="n">
        <v>1</v>
      </c>
      <c r="H13" s="37" t="n">
        <v>0</v>
      </c>
      <c r="I13" s="37" t="n">
        <v>0</v>
      </c>
      <c r="J13" s="37" t="n">
        <v>0</v>
      </c>
      <c r="L13" s="15">
        <f>COS(RADIANS($C$8))</f>
        <v/>
      </c>
      <c r="M13" s="37" t="n">
        <v>0</v>
      </c>
      <c r="N13" s="15">
        <f>SIN(RADIANS($C$8))</f>
        <v/>
      </c>
      <c r="O13" s="37" t="n">
        <v>0</v>
      </c>
      <c r="Q13" s="15">
        <f>COS(RADIANS($D$8))</f>
        <v/>
      </c>
      <c r="R13" s="15">
        <f>-SIN(RADIANS($D$8))</f>
        <v/>
      </c>
      <c r="S13" s="37" t="n">
        <v>0</v>
      </c>
      <c r="T13" s="37" t="n">
        <v>0</v>
      </c>
    </row>
    <row r="14">
      <c r="B14" s="37" t="n">
        <v>0</v>
      </c>
      <c r="C14" s="15">
        <f>$C$7</f>
        <v/>
      </c>
      <c r="D14" s="37" t="n">
        <v>0</v>
      </c>
      <c r="E14" s="37" t="n">
        <v>0</v>
      </c>
      <c r="G14" s="37" t="n">
        <v>0</v>
      </c>
      <c r="H14" s="15">
        <f>COS(RADIANS($B$8))</f>
        <v/>
      </c>
      <c r="I14" s="15">
        <f>-SIN(RADIANS($B$8))</f>
        <v/>
      </c>
      <c r="J14" s="37" t="n">
        <v>0</v>
      </c>
      <c r="L14" s="37" t="n">
        <v>0</v>
      </c>
      <c r="M14" s="37" t="n">
        <v>1</v>
      </c>
      <c r="N14" s="37" t="n">
        <v>0</v>
      </c>
      <c r="O14" s="37" t="n">
        <v>0</v>
      </c>
      <c r="Q14" s="15">
        <f>SIN(RADIANS($D$8))</f>
        <v/>
      </c>
      <c r="R14" s="15">
        <f>COS(RADIANS($D$8))</f>
        <v/>
      </c>
      <c r="S14" s="37" t="n">
        <v>0</v>
      </c>
      <c r="T14" s="37" t="n">
        <v>0</v>
      </c>
    </row>
    <row r="15">
      <c r="B15" s="37" t="n">
        <v>0</v>
      </c>
      <c r="C15" s="37" t="n">
        <v>0</v>
      </c>
      <c r="D15" s="15">
        <f>$D$7</f>
        <v/>
      </c>
      <c r="E15" s="37" t="n">
        <v>0</v>
      </c>
      <c r="G15" s="37" t="n">
        <v>0</v>
      </c>
      <c r="H15" s="15">
        <f>SIN(RADIANS($B$8))</f>
        <v/>
      </c>
      <c r="I15" s="15">
        <f>COS(RADIANS($B$8))</f>
        <v/>
      </c>
      <c r="J15" s="37" t="n">
        <v>0</v>
      </c>
      <c r="L15" s="15">
        <f>-SIN(RADIANS($C$8))</f>
        <v/>
      </c>
      <c r="M15" s="37" t="n">
        <v>0</v>
      </c>
      <c r="N15" s="15">
        <f>COS(RADIANS($C$8))</f>
        <v/>
      </c>
      <c r="O15" s="37" t="n">
        <v>0</v>
      </c>
      <c r="Q15" s="37" t="n">
        <v>0</v>
      </c>
      <c r="R15" s="37" t="n">
        <v>0</v>
      </c>
      <c r="S15" s="37" t="n">
        <v>1</v>
      </c>
      <c r="T15" s="37" t="n">
        <v>0</v>
      </c>
    </row>
    <row r="16">
      <c r="B16" s="37" t="n">
        <v>0</v>
      </c>
      <c r="C16" s="37" t="n">
        <v>0</v>
      </c>
      <c r="D16" s="37" t="n">
        <v>0</v>
      </c>
      <c r="E16" s="37" t="n">
        <v>1</v>
      </c>
      <c r="G16" s="37" t="n">
        <v>0</v>
      </c>
      <c r="H16" s="37" t="n">
        <v>0</v>
      </c>
      <c r="I16" s="37" t="n">
        <v>0</v>
      </c>
      <c r="J16" s="37" t="n">
        <v>1</v>
      </c>
      <c r="L16" s="37" t="n">
        <v>0</v>
      </c>
      <c r="M16" s="37" t="n">
        <v>0</v>
      </c>
      <c r="N16" s="37" t="n">
        <v>0</v>
      </c>
      <c r="O16" s="37" t="n">
        <v>1</v>
      </c>
      <c r="Q16" s="37" t="n">
        <v>0</v>
      </c>
      <c r="R16" s="37" t="n">
        <v>0</v>
      </c>
      <c r="S16" s="37" t="n">
        <v>0</v>
      </c>
      <c r="T16" s="37" t="n">
        <v>1</v>
      </c>
    </row>
    <row r="18">
      <c r="B18" s="10" t="inlineStr">
        <is>
          <t>T = translate(Tx, Ty, Tz)</t>
        </is>
      </c>
      <c r="G18" s="10" t="inlineStr">
        <is>
          <t>Ry Rx</t>
        </is>
      </c>
      <c r="L18" s="10" t="inlineStr">
        <is>
          <t>R = Ry Rx Rz</t>
        </is>
      </c>
      <c r="Q18" s="10" t="inlineStr">
        <is>
          <t>R S</t>
        </is>
      </c>
    </row>
    <row r="19">
      <c r="B19" s="37" t="n">
        <v>1</v>
      </c>
      <c r="C19" s="37" t="n">
        <v>0</v>
      </c>
      <c r="D19" s="37" t="n">
        <v>0</v>
      </c>
      <c r="E19" s="15">
        <f>$B$9</f>
        <v/>
      </c>
      <c r="G19" s="15">
        <f>L13*G13+M13*G14+N13*G15+O13*G16</f>
        <v/>
      </c>
      <c r="H19" s="15">
        <f>L13*H13+M13*H14+N13*H15+O13*H16</f>
        <v/>
      </c>
      <c r="I19" s="15">
        <f>L13*I13+M13*I14+N13*I15+O13*I16</f>
        <v/>
      </c>
      <c r="J19" s="15">
        <f>L13*J13+M13*J14+N13*J15+O13*J16</f>
        <v/>
      </c>
      <c r="L19" s="15">
        <f>G19*Q13+H19*Q14+I19*Q15+J19*Q16</f>
        <v/>
      </c>
      <c r="M19" s="15">
        <f>G19*R13+H19*R14+I19*R15+J19*R16</f>
        <v/>
      </c>
      <c r="N19" s="15">
        <f>G19*S13+H19*S14+I19*S15+J19*S16</f>
        <v/>
      </c>
      <c r="O19" s="15">
        <f>G19*T13+H19*T14+I19*T15+J19*T16</f>
        <v/>
      </c>
      <c r="Q19" s="15">
        <f>L19*B13+M19*B14+N19*B15+O19*B16</f>
        <v/>
      </c>
      <c r="R19" s="15">
        <f>L19*C13+M19*C14+N19*C15+O19*C16</f>
        <v/>
      </c>
      <c r="S19" s="15">
        <f>L19*D13+M19*D14+N19*D15+O19*D16</f>
        <v/>
      </c>
      <c r="T19" s="15">
        <f>L19*E13+M19*E14+N19*E15+O19*E16</f>
        <v/>
      </c>
    </row>
    <row r="20">
      <c r="B20" s="37" t="n">
        <v>0</v>
      </c>
      <c r="C20" s="37" t="n">
        <v>1</v>
      </c>
      <c r="D20" s="37" t="n">
        <v>0</v>
      </c>
      <c r="E20" s="15">
        <f>$C$9</f>
        <v/>
      </c>
      <c r="G20" s="15">
        <f>L14*G13+M14*G14+N14*G15+O14*G16</f>
        <v/>
      </c>
      <c r="H20" s="15">
        <f>L14*H13+M14*H14+N14*H15+O14*H16</f>
        <v/>
      </c>
      <c r="I20" s="15">
        <f>L14*I13+M14*I14+N14*I15+O14*I16</f>
        <v/>
      </c>
      <c r="J20" s="15">
        <f>L14*J13+M14*J14+N14*J15+O14*J16</f>
        <v/>
      </c>
      <c r="L20" s="15">
        <f>G20*Q13+H20*Q14+I20*Q15+J20*Q16</f>
        <v/>
      </c>
      <c r="M20" s="15">
        <f>G20*R13+H20*R14+I20*R15+J20*R16</f>
        <v/>
      </c>
      <c r="N20" s="15">
        <f>G20*S13+H20*S14+I20*S15+J20*S16</f>
        <v/>
      </c>
      <c r="O20" s="15">
        <f>G20*T13+H20*T14+I20*T15+J20*T16</f>
        <v/>
      </c>
      <c r="Q20" s="15">
        <f>L20*B13+M20*B14+N20*B15+O20*B16</f>
        <v/>
      </c>
      <c r="R20" s="15">
        <f>L20*C13+M20*C14+N20*C15+O20*C16</f>
        <v/>
      </c>
      <c r="S20" s="15">
        <f>L20*D13+M20*D14+N20*D15+O20*D16</f>
        <v/>
      </c>
      <c r="T20" s="15">
        <f>L20*E13+M20*E14+N20*E15+O20*E16</f>
        <v/>
      </c>
    </row>
    <row r="21">
      <c r="B21" s="37" t="n">
        <v>0</v>
      </c>
      <c r="C21" s="37" t="n">
        <v>0</v>
      </c>
      <c r="D21" s="37" t="n">
        <v>1</v>
      </c>
      <c r="E21" s="15">
        <f>$D$9</f>
        <v/>
      </c>
      <c r="G21" s="15">
        <f>L15*G13+M15*G14+N15*G15+O15*G16</f>
        <v/>
      </c>
      <c r="H21" s="15">
        <f>L15*H13+M15*H14+N15*H15+O15*H16</f>
        <v/>
      </c>
      <c r="I21" s="15">
        <f>L15*I13+M15*I14+N15*I15+O15*I16</f>
        <v/>
      </c>
      <c r="J21" s="15">
        <f>L15*J13+M15*J14+N15*J15+O15*J16</f>
        <v/>
      </c>
      <c r="L21" s="15">
        <f>G21*Q13+H21*Q14+I21*Q15+J21*Q16</f>
        <v/>
      </c>
      <c r="M21" s="15">
        <f>G21*R13+H21*R14+I21*R15+J21*R16</f>
        <v/>
      </c>
      <c r="N21" s="15">
        <f>G21*S13+H21*S14+I21*S15+J21*S16</f>
        <v/>
      </c>
      <c r="O21" s="15">
        <f>G21*T13+H21*T14+I21*T15+J21*T16</f>
        <v/>
      </c>
      <c r="Q21" s="15">
        <f>L21*B13+M21*B14+N21*B15+O21*B16</f>
        <v/>
      </c>
      <c r="R21" s="15">
        <f>L21*C13+M21*C14+N21*C15+O21*C16</f>
        <v/>
      </c>
      <c r="S21" s="15">
        <f>L21*D13+M21*D14+N21*D15+O21*D16</f>
        <v/>
      </c>
      <c r="T21" s="15">
        <f>L21*E13+M21*E14+N21*E15+O21*E16</f>
        <v/>
      </c>
    </row>
    <row r="22">
      <c r="B22" s="37" t="n">
        <v>0</v>
      </c>
      <c r="C22" s="37" t="n">
        <v>0</v>
      </c>
      <c r="D22" s="37" t="n">
        <v>0</v>
      </c>
      <c r="E22" s="37" t="n">
        <v>1</v>
      </c>
      <c r="G22" s="15">
        <f>L16*G13+M16*G14+N16*G15+O16*G16</f>
        <v/>
      </c>
      <c r="H22" s="15">
        <f>L16*H13+M16*H14+N16*H15+O16*H16</f>
        <v/>
      </c>
      <c r="I22" s="15">
        <f>L16*I13+M16*I14+N16*I15+O16*I16</f>
        <v/>
      </c>
      <c r="J22" s="15">
        <f>L16*J13+M16*J14+N16*J15+O16*J16</f>
        <v/>
      </c>
      <c r="L22" s="15">
        <f>G22*Q13+H22*Q14+I22*Q15+J22*Q16</f>
        <v/>
      </c>
      <c r="M22" s="15">
        <f>G22*R13+H22*R14+I22*R15+J22*R16</f>
        <v/>
      </c>
      <c r="N22" s="15">
        <f>G22*S13+H22*S14+I22*S15+J22*S16</f>
        <v/>
      </c>
      <c r="O22" s="15">
        <f>G22*T13+H22*T14+I22*T15+J22*T16</f>
        <v/>
      </c>
      <c r="Q22" s="15">
        <f>L22*B13+M22*B14+N22*B15+O22*B16</f>
        <v/>
      </c>
      <c r="R22" s="15">
        <f>L22*C13+M22*C14+N22*C15+O22*C16</f>
        <v/>
      </c>
      <c r="S22" s="15">
        <f>L22*D13+M22*D14+N22*D15+O22*D16</f>
        <v/>
      </c>
      <c r="T22" s="15">
        <f>L22*E13+M22*E14+N22*E15+O22*E16</f>
        <v/>
      </c>
    </row>
    <row r="24">
      <c r="B24" s="10" t="inlineStr">
        <is>
          <t>M = T R S (local matrix)</t>
        </is>
      </c>
      <c r="G24" s="10" t="inlineStr">
        <is>
          <t>M exported (local_matrix)</t>
        </is>
      </c>
      <c r="L24" s="10" t="inlineStr">
        <is>
          <t>|M - M exported|</t>
        </is>
      </c>
      <c r="Q24" s="10" t="inlineStr">
        <is>
          <t>Parent world (UAV-00, exported)</t>
        </is>
      </c>
    </row>
    <row r="25">
      <c r="B25" s="15">
        <f>B19*Q19+C19*Q20+D19*Q21+E19*Q22</f>
        <v/>
      </c>
      <c r="C25" s="15">
        <f>B19*R19+C19*R20+D19*R21+E19*R22</f>
        <v/>
      </c>
      <c r="D25" s="15">
        <f>B19*S19+C19*S20+D19*S21+E19*S22</f>
        <v/>
      </c>
      <c r="E25" s="15">
        <f>B19*T19+C19*T20+D19*T21+E19*T22</f>
        <v/>
      </c>
      <c r="G25" s="38" t="n">
        <v>0.01767767</v>
      </c>
      <c r="H25" s="9" t="n">
        <v>0</v>
      </c>
      <c r="I25" s="38" t="n">
        <v>-0.155563489</v>
      </c>
      <c r="J25" s="38" t="n">
        <v>-0.106066018</v>
      </c>
      <c r="L25" s="15">
        <f>ABS(B25-G25)</f>
        <v/>
      </c>
      <c r="M25" s="15">
        <f>ABS(C25-H25)</f>
        <v/>
      </c>
      <c r="N25" s="15">
        <f>ABS(D25-I25)</f>
        <v/>
      </c>
      <c r="O25" s="15">
        <f>ABS(E25-J25)</f>
        <v/>
      </c>
      <c r="Q25" s="9" t="n">
        <v>-1</v>
      </c>
      <c r="R25" s="9" t="n">
        <v>0</v>
      </c>
      <c r="S25" s="38" t="n">
        <v>-8.7e-08</v>
      </c>
      <c r="T25" s="9" t="n">
        <v>0</v>
      </c>
    </row>
    <row r="26">
      <c r="B26" s="15">
        <f>B20*Q19+C20*Q20+D20*Q21+E20*Q22</f>
        <v/>
      </c>
      <c r="C26" s="15">
        <f>B20*R19+C20*R20+D20*R21+E20*R22</f>
        <v/>
      </c>
      <c r="D26" s="15">
        <f>B20*S19+C20*S20+D20*S21+E20*S22</f>
        <v/>
      </c>
      <c r="E26" s="15">
        <f>B20*T19+C20*T20+D20*T21+E20*T22</f>
        <v/>
      </c>
      <c r="G26" s="9" t="n">
        <v>0</v>
      </c>
      <c r="H26" s="38" t="n">
        <v>0.017999999</v>
      </c>
      <c r="I26" s="9" t="n">
        <v>0</v>
      </c>
      <c r="J26" s="9" t="n">
        <v>0</v>
      </c>
      <c r="L26" s="15">
        <f>ABS(B26-G26)</f>
        <v/>
      </c>
      <c r="M26" s="15">
        <f>ABS(C26-H26)</f>
        <v/>
      </c>
      <c r="N26" s="15">
        <f>ABS(D26-I26)</f>
        <v/>
      </c>
      <c r="O26" s="15">
        <f>ABS(E26-J26)</f>
        <v/>
      </c>
      <c r="Q26" s="9" t="n">
        <v>0</v>
      </c>
      <c r="R26" s="9" t="n">
        <v>1</v>
      </c>
      <c r="S26" s="9" t="n">
        <v>0</v>
      </c>
      <c r="T26" s="38" t="n">
        <v>7.5</v>
      </c>
    </row>
    <row r="27">
      <c r="B27" s="15">
        <f>B21*Q19+C21*Q20+D21*Q21+E21*Q22</f>
        <v/>
      </c>
      <c r="C27" s="15">
        <f>B21*R19+C21*R20+D21*R21+E21*R22</f>
        <v/>
      </c>
      <c r="D27" s="15">
        <f>B21*S19+C21*S20+D21*S21+E21*S22</f>
        <v/>
      </c>
      <c r="E27" s="15">
        <f>B21*T19+C21*T20+D21*T21+E21*T22</f>
        <v/>
      </c>
      <c r="G27" s="38" t="n">
        <v>0.01767767</v>
      </c>
      <c r="H27" s="9" t="n">
        <v>0</v>
      </c>
      <c r="I27" s="38" t="n">
        <v>0.155563489</v>
      </c>
      <c r="J27" s="38" t="n">
        <v>0.106066018</v>
      </c>
      <c r="L27" s="15">
        <f>ABS(B27-G27)</f>
        <v/>
      </c>
      <c r="M27" s="15">
        <f>ABS(C27-H27)</f>
        <v/>
      </c>
      <c r="N27" s="15">
        <f>ABS(D27-I27)</f>
        <v/>
      </c>
      <c r="O27" s="15">
        <f>ABS(E27-J27)</f>
        <v/>
      </c>
      <c r="Q27" s="38" t="n">
        <v>8.7e-08</v>
      </c>
      <c r="R27" s="9" t="n">
        <v>0</v>
      </c>
      <c r="S27" s="9" t="n">
        <v>-1</v>
      </c>
      <c r="T27" s="38" t="n">
        <v>12.5</v>
      </c>
    </row>
    <row r="28">
      <c r="B28" s="15">
        <f>B22*Q19+C22*Q20+D22*Q21+E22*Q22</f>
        <v/>
      </c>
      <c r="C28" s="15">
        <f>B22*R19+C22*R20+D22*R21+E22*R22</f>
        <v/>
      </c>
      <c r="D28" s="15">
        <f>B22*S19+C22*S20+D22*S21+E22*S22</f>
        <v/>
      </c>
      <c r="E28" s="15">
        <f>B22*T19+C22*T20+D22*T21+E22*T22</f>
        <v/>
      </c>
      <c r="G28" s="9" t="n">
        <v>0</v>
      </c>
      <c r="H28" s="9" t="n">
        <v>0</v>
      </c>
      <c r="I28" s="9" t="n">
        <v>0</v>
      </c>
      <c r="J28" s="9" t="n">
        <v>1</v>
      </c>
      <c r="L28" s="15">
        <f>ABS(B28-G28)</f>
        <v/>
      </c>
      <c r="M28" s="15">
        <f>ABS(C28-H28)</f>
        <v/>
      </c>
      <c r="N28" s="15">
        <f>ABS(D28-I28)</f>
        <v/>
      </c>
      <c r="O28" s="15">
        <f>ABS(E28-J28)</f>
        <v/>
      </c>
      <c r="Q28" s="9" t="n">
        <v>0</v>
      </c>
      <c r="R28" s="9" t="n">
        <v>0</v>
      </c>
      <c r="S28" s="9" t="n">
        <v>0</v>
      </c>
      <c r="T28" s="9" t="n">
        <v>1</v>
      </c>
    </row>
    <row r="30">
      <c r="B30" s="10" t="inlineStr">
        <is>
          <t>World = Parent M</t>
        </is>
      </c>
      <c r="G30" s="10" t="inlineStr">
        <is>
          <t>World exported (world_matrix)</t>
        </is>
      </c>
      <c r="L30" s="10" t="inlineStr">
        <is>
          <t>|World - World exported|</t>
        </is>
      </c>
      <c r="Q30" s="10" t="inlineStr">
        <is>
          <t>View V (View_Projection sheet)</t>
        </is>
      </c>
    </row>
    <row r="31">
      <c r="B31" s="15">
        <f>Q25*B25+R25*B26+S25*B27+T25*B28</f>
        <v/>
      </c>
      <c r="C31" s="15">
        <f>Q25*C25+R25*C26+S25*C27+T25*C28</f>
        <v/>
      </c>
      <c r="D31" s="15">
        <f>Q25*D25+R25*D26+S25*D27+T25*D28</f>
        <v/>
      </c>
      <c r="E31" s="15">
        <f>Q25*E25+R25*E26+S25*E27+T25*E28</f>
        <v/>
      </c>
      <c r="G31" s="38" t="n">
        <v>-0.017677672</v>
      </c>
      <c r="H31" s="9" t="n">
        <v>0</v>
      </c>
      <c r="I31" s="38" t="n">
        <v>0.155563474</v>
      </c>
      <c r="J31" s="38" t="n">
        <v>0.106066011</v>
      </c>
      <c r="L31" s="15">
        <f>ABS(B31-G31)</f>
        <v/>
      </c>
      <c r="M31" s="15">
        <f>ABS(C31-H31)</f>
        <v/>
      </c>
      <c r="N31" s="15">
        <f>ABS(D31-I31)</f>
        <v/>
      </c>
      <c r="O31" s="15">
        <f>ABS(E31-J31)</f>
        <v/>
      </c>
      <c r="Q31" s="15">
        <f>'View_Projection'!B28</f>
        <v/>
      </c>
      <c r="R31" s="15">
        <f>'View_Projection'!C28</f>
        <v/>
      </c>
      <c r="S31" s="15">
        <f>'View_Projection'!D28</f>
        <v/>
      </c>
      <c r="T31" s="15">
        <f>'View_Projection'!E28</f>
        <v/>
      </c>
    </row>
    <row r="32">
      <c r="B32" s="15">
        <f>Q26*B25+R26*B26+S26*B27+T26*B28</f>
        <v/>
      </c>
      <c r="C32" s="15">
        <f>Q26*C25+R26*C26+S26*C27+T26*C28</f>
        <v/>
      </c>
      <c r="D32" s="15">
        <f>Q26*D25+R26*D26+S26*D27+T26*D28</f>
        <v/>
      </c>
      <c r="E32" s="15">
        <f>Q26*E25+R26*E26+S26*E27+T26*E28</f>
        <v/>
      </c>
      <c r="G32" s="9" t="n">
        <v>0</v>
      </c>
      <c r="H32" s="38" t="n">
        <v>0.017999999</v>
      </c>
      <c r="I32" s="9" t="n">
        <v>0</v>
      </c>
      <c r="J32" s="38" t="n">
        <v>7.5</v>
      </c>
      <c r="L32" s="15">
        <f>ABS(B32-G32)</f>
        <v/>
      </c>
      <c r="M32" s="15">
        <f>ABS(C32-H32)</f>
        <v/>
      </c>
      <c r="N32" s="15">
        <f>ABS(D32-I32)</f>
        <v/>
      </c>
      <c r="O32" s="15">
        <f>ABS(E32-J32)</f>
        <v/>
      </c>
      <c r="Q32" s="15">
        <f>'View_Projection'!B29</f>
        <v/>
      </c>
      <c r="R32" s="15">
        <f>'View_Projection'!C29</f>
        <v/>
      </c>
      <c r="S32" s="15">
        <f>'View_Projection'!D29</f>
        <v/>
      </c>
      <c r="T32" s="15">
        <f>'View_Projection'!E29</f>
        <v/>
      </c>
    </row>
    <row r="33">
      <c r="B33" s="15">
        <f>Q27*B25+R27*B26+S27*B27+T27*B28</f>
        <v/>
      </c>
      <c r="C33" s="15">
        <f>Q27*C25+R27*C26+S27*C27+T27*C28</f>
        <v/>
      </c>
      <c r="D33" s="15">
        <f>Q27*D25+R27*D26+S27*D27+T27*D28</f>
        <v/>
      </c>
      <c r="E33" s="15">
        <f>Q27*E25+R27*E26+S27*E27+T27*E28</f>
        <v/>
      </c>
      <c r="G33" s="38" t="n">
        <v>-0.017677669</v>
      </c>
      <c r="H33" s="9" t="n">
        <v>0</v>
      </c>
      <c r="I33" s="38" t="n">
        <v>-0.155563504</v>
      </c>
      <c r="J33" s="38" t="n">
        <v>12.3939342</v>
      </c>
      <c r="L33" s="15">
        <f>ABS(B33-G33)</f>
        <v/>
      </c>
      <c r="M33" s="15">
        <f>ABS(C33-H33)</f>
        <v/>
      </c>
      <c r="N33" s="15">
        <f>ABS(D33-I33)</f>
        <v/>
      </c>
      <c r="O33" s="15">
        <f>ABS(E33-J33)</f>
        <v/>
      </c>
      <c r="Q33" s="15">
        <f>'View_Projection'!B30</f>
        <v/>
      </c>
      <c r="R33" s="15">
        <f>'View_Projection'!C30</f>
        <v/>
      </c>
      <c r="S33" s="15">
        <f>'View_Projection'!D30</f>
        <v/>
      </c>
      <c r="T33" s="15">
        <f>'View_Projection'!E30</f>
        <v/>
      </c>
    </row>
    <row r="34">
      <c r="B34" s="15">
        <f>Q28*B25+R28*B26+S28*B27+T28*B28</f>
        <v/>
      </c>
      <c r="C34" s="15">
        <f>Q28*C25+R28*C26+S28*C27+T28*C28</f>
        <v/>
      </c>
      <c r="D34" s="15">
        <f>Q28*D25+R28*D26+S28*D27+T28*D28</f>
        <v/>
      </c>
      <c r="E34" s="15">
        <f>Q28*E25+R28*E26+S28*E27+T28*E28</f>
        <v/>
      </c>
      <c r="G34" s="9" t="n">
        <v>0</v>
      </c>
      <c r="H34" s="9" t="n">
        <v>0</v>
      </c>
      <c r="I34" s="9" t="n">
        <v>0</v>
      </c>
      <c r="J34" s="9" t="n">
        <v>1</v>
      </c>
      <c r="L34" s="15">
        <f>ABS(B34-G34)</f>
        <v/>
      </c>
      <c r="M34" s="15">
        <f>ABS(C34-H34)</f>
        <v/>
      </c>
      <c r="N34" s="15">
        <f>ABS(D34-I34)</f>
        <v/>
      </c>
      <c r="O34" s="15">
        <f>ABS(E34-J34)</f>
        <v/>
      </c>
      <c r="Q34" s="15">
        <f>'View_Projection'!B31</f>
        <v/>
      </c>
      <c r="R34" s="15">
        <f>'View_Projection'!C31</f>
        <v/>
      </c>
      <c r="S34" s="15">
        <f>'View_Projection'!D31</f>
        <v/>
      </c>
      <c r="T34" s="15">
        <f>'View_Projection'!E31</f>
        <v/>
      </c>
    </row>
    <row r="36">
      <c r="B36" s="10" t="inlineStr">
        <is>
          <t>Projection P (View_Projection sheet)</t>
        </is>
      </c>
      <c r="G36" s="10" t="inlineStr">
        <is>
          <t>Vertex pipeline (column vectors)</t>
        </is>
      </c>
      <c r="Q36" s="10" t="inlineStr">
        <is>
          <t>Checks</t>
        </is>
      </c>
    </row>
    <row r="37">
      <c r="B37" s="15">
        <f>'View_Projection'!B35</f>
        <v/>
      </c>
      <c r="C37" s="15">
        <f>'View_Projection'!C35</f>
        <v/>
      </c>
      <c r="D37" s="15">
        <f>'View_Projection'!D35</f>
        <v/>
      </c>
      <c r="E37" s="15">
        <f>'View_Projection'!E35</f>
        <v/>
      </c>
      <c r="G37" s="3" t="inlineStr">
        <is>
          <t>stage</t>
        </is>
      </c>
      <c r="H37" s="11" t="n"/>
      <c r="I37" s="11" t="n"/>
      <c r="J37" s="12" t="n"/>
      <c r="L37" s="3" t="inlineStr">
        <is>
          <t>x</t>
        </is>
      </c>
      <c r="M37" s="3" t="inlineStr">
        <is>
          <t>y</t>
        </is>
      </c>
      <c r="N37" s="3" t="inlineStr">
        <is>
          <t>z</t>
        </is>
      </c>
      <c r="O37" s="3" t="inlineStr">
        <is>
          <t>w</t>
        </is>
      </c>
      <c r="Q37" s="3" t="inlineStr">
        <is>
          <t>check</t>
        </is>
      </c>
      <c r="R37" s="11" t="n"/>
      <c r="S37" s="12" t="n"/>
      <c r="T37" s="3" t="inlineStr">
        <is>
          <t>value</t>
        </is>
      </c>
    </row>
    <row r="38">
      <c r="B38" s="15">
        <f>'View_Projection'!B36</f>
        <v/>
      </c>
      <c r="C38" s="15">
        <f>'View_Projection'!C36</f>
        <v/>
      </c>
      <c r="D38" s="15">
        <f>'View_Projection'!D36</f>
        <v/>
      </c>
      <c r="E38" s="15">
        <f>'View_Projection'!E36</f>
        <v/>
      </c>
      <c r="G38" s="4" t="inlineStr">
        <is>
          <t>local p</t>
        </is>
      </c>
      <c r="H38" s="11" t="n"/>
      <c r="I38" s="11" t="n"/>
      <c r="J38" s="12" t="n"/>
      <c r="L38" s="20">
        <f>B10</f>
        <v/>
      </c>
      <c r="M38" s="20">
        <f>C10</f>
        <v/>
      </c>
      <c r="N38" s="20">
        <f>D10</f>
        <v/>
      </c>
      <c r="O38" s="20">
        <f>E10</f>
        <v/>
      </c>
      <c r="Q38" s="4" t="inlineStr">
        <is>
          <t>max |M - export|</t>
        </is>
      </c>
      <c r="R38" s="11" t="n"/>
      <c r="S38" s="12" t="n"/>
      <c r="T38" s="39">
        <f>MAX(L25:O28)</f>
        <v/>
      </c>
    </row>
    <row r="39">
      <c r="B39" s="15">
        <f>'View_Projection'!B37</f>
        <v/>
      </c>
      <c r="C39" s="15">
        <f>'View_Projection'!C37</f>
        <v/>
      </c>
      <c r="D39" s="15">
        <f>'View_Projection'!D37</f>
        <v/>
      </c>
      <c r="E39" s="15">
        <f>'View_Projection'!E37</f>
        <v/>
      </c>
      <c r="G39" s="4" t="inlineStr">
        <is>
          <t>world = World p</t>
        </is>
      </c>
      <c r="H39" s="11" t="n"/>
      <c r="I39" s="11" t="n"/>
      <c r="J39" s="12" t="n"/>
      <c r="L39" s="20">
        <f>B31*L38+C31*M38+D31*N38+E31*O38</f>
        <v/>
      </c>
      <c r="M39" s="20">
        <f>B32*L38+C32*M38+D32*N38+E32*O38</f>
        <v/>
      </c>
      <c r="N39" s="20">
        <f>B33*L38+C33*M38+D33*N38+E33*O38</f>
        <v/>
      </c>
      <c r="O39" s="20">
        <f>B34*L38+C34*M38+D34*N38+E34*O38</f>
        <v/>
      </c>
      <c r="Q39" s="4" t="inlineStr">
        <is>
          <t>max |World - export|</t>
        </is>
      </c>
      <c r="R39" s="11" t="n"/>
      <c r="S39" s="12" t="n"/>
      <c r="T39" s="39">
        <f>MAX(L31:O34)</f>
        <v/>
      </c>
    </row>
    <row r="40">
      <c r="B40" s="15">
        <f>'View_Projection'!B38</f>
        <v/>
      </c>
      <c r="C40" s="15">
        <f>'View_Projection'!C38</f>
        <v/>
      </c>
      <c r="D40" s="15">
        <f>'View_Projection'!D38</f>
        <v/>
      </c>
      <c r="E40" s="15">
        <f>'View_Projection'!E38</f>
        <v/>
      </c>
      <c r="G40" s="4" t="inlineStr">
        <is>
          <t>eye = V world</t>
        </is>
      </c>
      <c r="H40" s="11" t="n"/>
      <c r="I40" s="11" t="n"/>
      <c r="J40" s="12" t="n"/>
      <c r="L40" s="20">
        <f>Q31*L39+R31*M39+S31*N39+T31*O39</f>
        <v/>
      </c>
      <c r="M40" s="20">
        <f>Q32*L39+R32*M39+S32*N39+T32*O39</f>
        <v/>
      </c>
      <c r="N40" s="20">
        <f>Q33*L39+R33*M39+S33*N39+T33*O39</f>
        <v/>
      </c>
      <c r="O40" s="20">
        <f>Q34*L39+R34*M39+S34*N39+T34*O39</f>
        <v/>
      </c>
      <c r="Q40" s="4" t="inlineStr">
        <is>
          <t>inside clip volume |x|,|y|,|z| &lt;= w</t>
        </is>
      </c>
      <c r="R40" s="11" t="n"/>
      <c r="S40" s="12" t="n"/>
      <c r="T40" s="15">
        <f>IF(AND(ABS(L41)&lt;=O41,ABS(M41)&lt;=O41,ABS(N41)&lt;=O41),"yes","no")</f>
        <v/>
      </c>
    </row>
    <row r="41">
      <c r="G41" s="4" t="inlineStr">
        <is>
          <t>clip = P eye</t>
        </is>
      </c>
      <c r="H41" s="11" t="n"/>
      <c r="I41" s="11" t="n"/>
      <c r="J41" s="12" t="n"/>
      <c r="L41" s="20">
        <f>B37*L40+C37*M40+D37*N40+E37*O40</f>
        <v/>
      </c>
      <c r="M41" s="20">
        <f>B38*L40+C38*M40+D38*N40+E38*O40</f>
        <v/>
      </c>
      <c r="N41" s="20">
        <f>B39*L40+C39*M40+D39*N40+E39*O40</f>
        <v/>
      </c>
      <c r="O41" s="20">
        <f>B40*L40+C40*M40+D40*N40+E40*O40</f>
        <v/>
      </c>
      <c r="Q41" s="4" t="inlineStr">
        <is>
          <t>eye-space distance -z_eye (m)</t>
        </is>
      </c>
      <c r="R41" s="11" t="n"/>
      <c r="S41" s="12" t="n"/>
      <c r="T41" s="15">
        <f>-N40</f>
        <v/>
      </c>
    </row>
    <row r="42">
      <c r="G42" s="4" t="inlineStr">
        <is>
          <t>NDC = clip / w</t>
        </is>
      </c>
      <c r="H42" s="11" t="n"/>
      <c r="I42" s="11" t="n"/>
      <c r="J42" s="12" t="n"/>
      <c r="L42" s="20">
        <f>L41/O41</f>
        <v/>
      </c>
      <c r="M42" s="20">
        <f>M41/O41</f>
        <v/>
      </c>
      <c r="N42" s="20">
        <f>N41/O41</f>
        <v/>
      </c>
      <c r="O42" s="20">
        <f>O41/O41</f>
        <v/>
      </c>
    </row>
    <row r="43">
      <c r="G43" s="4" t="inlineStr">
        <is>
          <t>window (x px, y px top-left, depth, -)</t>
        </is>
      </c>
      <c r="H43" s="11" t="n"/>
      <c r="I43" s="11" t="n"/>
      <c r="J43" s="12" t="n"/>
      <c r="L43" s="20">
        <f>(L42*0.5+0.5)*'View_Projection'!$B$12</f>
        <v/>
      </c>
      <c r="M43" s="20">
        <f>(1-(M42*0.5+0.5))*'View_Projection'!$B$13</f>
        <v/>
      </c>
      <c r="N43" s="20">
        <f>N42*0.5+0.5</f>
        <v/>
      </c>
      <c r="O43" s="17" t="inlineStr">
        <is>
          <t>-</t>
        </is>
      </c>
    </row>
    <row r="44">
      <c r="G44" s="2" t="inlineStr">
        <is>
          <t>Exported matrices are float32: differences of ~1e-7 are rounding. Window: x = (ndc.x/2+0.5) W, y = (1-(ndc.y/2+0.5)) H, d = ndc.z/2+0.5 (glDepthRange 0..1).</t>
        </is>
      </c>
    </row>
  </sheetData>
  <mergeCells count="15">
    <mergeCell ref="Q38:S38"/>
    <mergeCell ref="G40:J40"/>
    <mergeCell ref="Q37:S37"/>
    <mergeCell ref="Q41:S41"/>
    <mergeCell ref="G39:J39"/>
    <mergeCell ref="G43:J43"/>
    <mergeCell ref="K5:L5"/>
    <mergeCell ref="B5:I5"/>
    <mergeCell ref="G38:J38"/>
    <mergeCell ref="Q40:S40"/>
    <mergeCell ref="M5:T5"/>
    <mergeCell ref="Q39:S39"/>
    <mergeCell ref="G41:J41"/>
    <mergeCell ref="G37:J37"/>
    <mergeCell ref="G42:J42"/>
  </mergeCells>
  <printOptions gridLines="0"/>
  <pageMargins left="0.4" right="0.4" top="0.4" bottom="0.4" header="0.2" footer="0.2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T3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8.5" customWidth="1" min="22" max="22"/>
    <col width="8.5" customWidth="1" min="23" max="23"/>
  </cols>
  <sheetData>
    <row r="1">
      <c r="A1" s="1" t="inlineStr">
        <is>
          <t>Vertex_Groups: parts built from unit primitives by matrices (report Section 7.1)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ts --export-docs: BNK-11 'Retaining wall W' (S, R_deg, T, parent world), cube corners (primitives P01), v6.garrison.gait (thigh, shin, cycle), UAV gimbal parts; objects/Builder M = T Ry Rx Rz S; scene/Gait legFK.</t>
        </is>
      </c>
    </row>
    <row r="5">
      <c r="A5" s="10" t="inlineStr">
        <is>
          <t>A. Retaining wall W (BNK-11): unit cube -&gt; world</t>
        </is>
      </c>
    </row>
    <row r="6">
      <c r="A6" s="3" t="inlineStr"/>
      <c r="B6" s="3" t="inlineStr">
        <is>
          <t>x</t>
        </is>
      </c>
      <c r="C6" s="3" t="inlineStr">
        <is>
          <t>y</t>
        </is>
      </c>
      <c r="D6" s="3" t="inlineStr">
        <is>
          <t>z</t>
        </is>
      </c>
    </row>
    <row r="7">
      <c r="A7" s="4" t="inlineStr">
        <is>
          <t>S</t>
        </is>
      </c>
      <c r="B7" s="16" t="n">
        <v>0.35</v>
      </c>
      <c r="C7" s="16" t="n">
        <v>3.8571</v>
      </c>
      <c r="D7" s="16" t="n">
        <v>1.245</v>
      </c>
    </row>
    <row r="8">
      <c r="A8" s="4" t="inlineStr">
        <is>
          <t>R_deg</t>
        </is>
      </c>
      <c r="B8" s="8" t="n">
        <v>0</v>
      </c>
      <c r="C8" s="8" t="n">
        <v>0</v>
      </c>
      <c r="D8" s="8" t="n">
        <v>0</v>
      </c>
    </row>
    <row r="9">
      <c r="A9" s="4" t="inlineStr">
        <is>
          <t>T</t>
        </is>
      </c>
      <c r="B9" s="16" t="n">
        <v>-1.675</v>
      </c>
      <c r="C9" s="16" t="n">
        <v>-1.82145</v>
      </c>
      <c r="D9" s="16" t="n">
        <v>4.2625</v>
      </c>
    </row>
    <row r="11">
      <c r="B11" s="10" t="inlineStr">
        <is>
          <t>M = T Ry Rx Rz S</t>
        </is>
      </c>
      <c r="G11" s="10" t="inlineStr">
        <is>
          <t>W parent (export)</t>
        </is>
      </c>
      <c r="L11" s="10" t="inlineStr">
        <is>
          <t>W = W parent M</t>
        </is>
      </c>
      <c r="Q11" s="10" t="inlineStr">
        <is>
          <t>W exported</t>
        </is>
      </c>
    </row>
    <row r="12">
      <c r="B12" s="15">
        <f>(COS(RADIANS($C$8))*COS(RADIANS($D$8))+SIN(RADIANS($C$8))*SIN(RADIANS($B$8))*SIN(RADIANS($D$8)))*$B$7</f>
        <v/>
      </c>
      <c r="C12" s="15">
        <f>(-COS(RADIANS($C$8))*SIN(RADIANS($D$8))+SIN(RADIANS($C$8))*SIN(RADIANS($B$8))*COS(RADIANS($D$8)))*$C$7</f>
        <v/>
      </c>
      <c r="D12" s="15">
        <f>(SIN(RADIANS($C$8))*COS(RADIANS($B$8)))*$D$7</f>
        <v/>
      </c>
      <c r="E12" s="15">
        <f>$B$9</f>
        <v/>
      </c>
      <c r="G12" s="9" t="n">
        <v>1</v>
      </c>
      <c r="H12" s="9" t="n">
        <v>0</v>
      </c>
      <c r="I12" s="9" t="n">
        <v>0</v>
      </c>
      <c r="J12" s="9" t="n">
        <v>0</v>
      </c>
      <c r="L12" s="15">
        <f>G12*B12+H12*B13+I12*B14+J12*B15</f>
        <v/>
      </c>
      <c r="M12" s="15">
        <f>G12*C12+H12*C13+I12*C14+J12*C15</f>
        <v/>
      </c>
      <c r="N12" s="15">
        <f>G12*D12+H12*D13+I12*D14+J12*D15</f>
        <v/>
      </c>
      <c r="O12" s="15">
        <f>G12*E12+H12*E13+I12*E14+J12*E15</f>
        <v/>
      </c>
      <c r="Q12" s="38" t="n">
        <v>0.35</v>
      </c>
      <c r="R12" s="9" t="n">
        <v>0</v>
      </c>
      <c r="S12" s="9" t="n">
        <v>0</v>
      </c>
      <c r="T12" s="38" t="n">
        <v>-1.6749999</v>
      </c>
    </row>
    <row r="13">
      <c r="B13" s="15">
        <f>(COS(RADIANS($B$8))*SIN(RADIANS($D$8)))*$B$7</f>
        <v/>
      </c>
      <c r="C13" s="15">
        <f>(COS(RADIANS($B$8))*COS(RADIANS($D$8)))*$C$7</f>
        <v/>
      </c>
      <c r="D13" s="15">
        <f>(-SIN(RADIANS($B$8)))*$D$7</f>
        <v/>
      </c>
      <c r="E13" s="15">
        <f>$C$9</f>
        <v/>
      </c>
      <c r="G13" s="9" t="n">
        <v>0</v>
      </c>
      <c r="H13" s="9" t="n">
        <v>1</v>
      </c>
      <c r="I13" s="9" t="n">
        <v>0</v>
      </c>
      <c r="J13" s="9" t="n">
        <v>0</v>
      </c>
      <c r="L13" s="15">
        <f>G13*B12+H13*B13+I13*B14+J13*B15</f>
        <v/>
      </c>
      <c r="M13" s="15">
        <f>G13*C12+H13*C13+I13*C14+J13*C15</f>
        <v/>
      </c>
      <c r="N13" s="15">
        <f>G13*D12+H13*D13+I13*D14+J13*D15</f>
        <v/>
      </c>
      <c r="O13" s="15">
        <f>G13*E12+H13*E13+I13*E14+J13*E15</f>
        <v/>
      </c>
      <c r="Q13" s="9" t="n">
        <v>0</v>
      </c>
      <c r="R13" s="38" t="n">
        <v>3.8571</v>
      </c>
      <c r="S13" s="9" t="n">
        <v>0</v>
      </c>
      <c r="T13" s="38" t="n">
        <v>-1.82145</v>
      </c>
    </row>
    <row r="14">
      <c r="B14" s="15">
        <f>(-SIN(RADIANS($C$8))*COS(RADIANS($D$8))+COS(RADIANS($C$8))*SIN(RADIANS($B$8))*SIN(RADIANS($D$8)))*$B$7</f>
        <v/>
      </c>
      <c r="C14" s="15">
        <f>(SIN(RADIANS($C$8))*SIN(RADIANS($D$8))+COS(RADIANS($C$8))*SIN(RADIANS($B$8))*COS(RADIANS($D$8)))*$C$7</f>
        <v/>
      </c>
      <c r="D14" s="15">
        <f>(COS(RADIANS($C$8))*COS(RADIANS($B$8)))*$D$7</f>
        <v/>
      </c>
      <c r="E14" s="15">
        <f>$D$9</f>
        <v/>
      </c>
      <c r="G14" s="9" t="n">
        <v>0</v>
      </c>
      <c r="H14" s="9" t="n">
        <v>0</v>
      </c>
      <c r="I14" s="9" t="n">
        <v>1</v>
      </c>
      <c r="J14" s="9" t="n">
        <v>0</v>
      </c>
      <c r="L14" s="15">
        <f>G14*B12+H14*B13+I14*B14+J14*B15</f>
        <v/>
      </c>
      <c r="M14" s="15">
        <f>G14*C12+H14*C13+I14*C14+J14*C15</f>
        <v/>
      </c>
      <c r="N14" s="15">
        <f>G14*D12+H14*D13+I14*D14+J14*D15</f>
        <v/>
      </c>
      <c r="O14" s="15">
        <f>G14*E12+H14*E13+I14*E14+J14*E15</f>
        <v/>
      </c>
      <c r="Q14" s="9" t="n">
        <v>0</v>
      </c>
      <c r="R14" s="9" t="n">
        <v>0</v>
      </c>
      <c r="S14" s="38" t="n">
        <v>1.2449999</v>
      </c>
      <c r="T14" s="38" t="n">
        <v>4.2624998</v>
      </c>
    </row>
    <row r="15">
      <c r="B15" s="37" t="n">
        <v>0</v>
      </c>
      <c r="C15" s="37" t="n">
        <v>0</v>
      </c>
      <c r="D15" s="37" t="n">
        <v>0</v>
      </c>
      <c r="E15" s="37" t="n">
        <v>1</v>
      </c>
      <c r="G15" s="9" t="n">
        <v>0</v>
      </c>
      <c r="H15" s="9" t="n">
        <v>0</v>
      </c>
      <c r="I15" s="9" t="n">
        <v>0</v>
      </c>
      <c r="J15" s="9" t="n">
        <v>1</v>
      </c>
      <c r="L15" s="15">
        <f>G15*B12+H15*B13+I15*B14+J15*B15</f>
        <v/>
      </c>
      <c r="M15" s="15">
        <f>G15*C12+H15*C13+I15*C14+J15*C15</f>
        <v/>
      </c>
      <c r="N15" s="15">
        <f>G15*D12+H15*D13+I15*D14+J15*D15</f>
        <v/>
      </c>
      <c r="O15" s="15">
        <f>G15*E12+H15*E13+I15*E14+J15*E15</f>
        <v/>
      </c>
      <c r="Q15" s="9" t="n">
        <v>0</v>
      </c>
      <c r="R15" s="9" t="n">
        <v>0</v>
      </c>
      <c r="S15" s="9" t="n">
        <v>0</v>
      </c>
      <c r="T15" s="9" t="n">
        <v>1</v>
      </c>
    </row>
    <row r="16">
      <c r="Q16" s="4" t="inlineStr">
        <is>
          <t>max |W - W exported|</t>
        </is>
      </c>
      <c r="R16" s="11" t="n"/>
      <c r="S16" s="12" t="n"/>
      <c r="T16" s="20">
        <f>MAX(ABS(L12-Q12),ABS(M12-R12),ABS(N12-S12),ABS(O12-T12),ABS(L13-Q13),ABS(M13-R13),ABS(N13-S13),ABS(O13-T13),ABS(L14-Q14),ABS(M14-R14),ABS(N14-S14),ABS(O14-T14),ABS(L15-Q15),ABS(M15-R15),ABS(N15-S15),ABS(O15-T15))</f>
        <v/>
      </c>
    </row>
    <row r="17">
      <c r="L17" s="10" t="inlineStr">
        <is>
          <t>C. Leg FK: x = L1 sin h + L2 sin(h - k), y = -L1 cos h - L2 cos(h - k)</t>
        </is>
      </c>
    </row>
    <row r="18">
      <c r="A18" s="3" t="inlineStr">
        <is>
          <t>corner</t>
        </is>
      </c>
      <c r="B18" s="3" t="inlineStr">
        <is>
          <t>x</t>
        </is>
      </c>
      <c r="C18" s="3" t="inlineStr">
        <is>
          <t>y</t>
        </is>
      </c>
      <c r="D18" s="3" t="inlineStr">
        <is>
          <t>z</t>
        </is>
      </c>
      <c r="E18" s="3" t="inlineStr">
        <is>
          <t>w</t>
        </is>
      </c>
      <c r="F18" s="3" t="inlineStr"/>
      <c r="G18" s="3" t="inlineStr">
        <is>
          <t>world x</t>
        </is>
      </c>
      <c r="H18" s="3" t="inlineStr">
        <is>
          <t>world y</t>
        </is>
      </c>
      <c r="I18" s="3" t="inlineStr">
        <is>
          <t>world z</t>
        </is>
      </c>
      <c r="L18" s="3" t="inlineStr">
        <is>
          <t>L1 thigh</t>
        </is>
      </c>
      <c r="M18" s="16" t="n">
        <v>0.46</v>
      </c>
      <c r="N18" s="3" t="inlineStr">
        <is>
          <t>L2 shin</t>
        </is>
      </c>
      <c r="O18" s="16" t="n">
        <v>0.44</v>
      </c>
    </row>
    <row r="19" ht="18" customHeight="1">
      <c r="A19" s="40" t="inlineStr">
        <is>
          <t>v0</t>
        </is>
      </c>
      <c r="B19" s="41" t="n">
        <v>0.5</v>
      </c>
      <c r="C19" s="41" t="n">
        <v>-0.5</v>
      </c>
      <c r="D19" s="41" t="n">
        <v>0.5</v>
      </c>
      <c r="E19" s="41" t="n">
        <v>1</v>
      </c>
      <c r="G19" s="20">
        <f>L12*B19+M12*C19+N12*D19+O12*E19</f>
        <v/>
      </c>
      <c r="H19" s="20">
        <f>L13*B19+M13*C19+N13*D19+O13*E19</f>
        <v/>
      </c>
      <c r="I19" s="20">
        <f>L14*B19+M14*C19+N14*D19+O14*E19</f>
        <v/>
      </c>
      <c r="L19" s="3" t="inlineStr">
        <is>
          <t>phase</t>
        </is>
      </c>
      <c r="M19" s="3" t="inlineStr">
        <is>
          <t>hip h</t>
        </is>
      </c>
      <c r="N19" s="3" t="inlineStr">
        <is>
          <t>knee k</t>
        </is>
      </c>
      <c r="O19" s="3" t="inlineStr">
        <is>
          <t>x FK</t>
        </is>
      </c>
      <c r="P19" s="3" t="inlineStr">
        <is>
          <t>y FK</t>
        </is>
      </c>
      <c r="Q19" s="3" t="inlineStr">
        <is>
          <t>x export</t>
        </is>
      </c>
      <c r="R19" s="3" t="inlineStr">
        <is>
          <t>y export</t>
        </is>
      </c>
      <c r="S19" s="3" t="inlineStr">
        <is>
          <t>|diff|</t>
        </is>
      </c>
    </row>
    <row r="20">
      <c r="A20" s="40" t="inlineStr">
        <is>
          <t>v1</t>
        </is>
      </c>
      <c r="B20" s="41" t="n">
        <v>0.5</v>
      </c>
      <c r="C20" s="41" t="n">
        <v>-0.5</v>
      </c>
      <c r="D20" s="41" t="n">
        <v>-0.5</v>
      </c>
      <c r="E20" s="41" t="n">
        <v>1</v>
      </c>
      <c r="G20" s="20">
        <f>L12*B20+M12*C20+N12*D20+O12*E20</f>
        <v/>
      </c>
      <c r="H20" s="20">
        <f>L13*B20+M13*C20+N13*D20+O13*E20</f>
        <v/>
      </c>
      <c r="I20" s="20">
        <f>L14*B20+M14*C20+N14*D20+O14*E20</f>
        <v/>
      </c>
      <c r="L20" s="42" t="n">
        <v>0</v>
      </c>
      <c r="M20" s="41" t="n">
        <v>32.771</v>
      </c>
      <c r="N20" s="41" t="n">
        <v>26.1137</v>
      </c>
      <c r="O20" s="20">
        <f>$M$18*SIN(RADIANS(M20))+$O$18*SIN(RADIANS(M20-N20))</f>
        <v/>
      </c>
      <c r="P20" s="20">
        <f>-$M$18*COS(RADIANS(M20))-$O$18*COS(RADIANS(M20-N20))</f>
        <v/>
      </c>
      <c r="Q20" s="16" t="n">
        <v>0.3</v>
      </c>
      <c r="R20" s="16" t="n">
        <v>-0.82382</v>
      </c>
      <c r="S20" s="43">
        <f>SQRT((O20-Q20)^2+(P20-R20)^2)</f>
        <v/>
      </c>
    </row>
    <row r="21">
      <c r="A21" s="40" t="inlineStr">
        <is>
          <t>v2</t>
        </is>
      </c>
      <c r="B21" s="41" t="n">
        <v>0.5</v>
      </c>
      <c r="C21" s="41" t="n">
        <v>0.5</v>
      </c>
      <c r="D21" s="41" t="n">
        <v>-0.5</v>
      </c>
      <c r="E21" s="41" t="n">
        <v>1</v>
      </c>
      <c r="G21" s="20">
        <f>L12*B21+M12*C21+N12*D21+O12*E21</f>
        <v/>
      </c>
      <c r="H21" s="20">
        <f>L13*B21+M13*C21+N13*D21+O13*E21</f>
        <v/>
      </c>
      <c r="I21" s="20">
        <f>L14*B21+M14*C21+N14*D21+O14*E21</f>
        <v/>
      </c>
      <c r="L21" s="42" t="n">
        <v>0.125</v>
      </c>
      <c r="M21" s="41" t="n">
        <v>30.0534</v>
      </c>
      <c r="N21" s="41" t="n">
        <v>42.2385</v>
      </c>
      <c r="O21" s="20">
        <f>$M$18*SIN(RADIANS(M21))+$O$18*SIN(RADIANS(M21-N21))</f>
        <v/>
      </c>
      <c r="P21" s="20">
        <f>-$M$18*COS(RADIANS(M21))-$O$18*COS(RADIANS(M21-N21))</f>
        <v/>
      </c>
      <c r="Q21" s="16" t="n">
        <v>0.1375</v>
      </c>
      <c r="R21" s="16" t="n">
        <v>-0.828244</v>
      </c>
      <c r="S21" s="43">
        <f>SQRT((O21-Q21)^2+(P21-R21)^2)</f>
        <v/>
      </c>
    </row>
    <row r="22">
      <c r="A22" s="40" t="inlineStr">
        <is>
          <t>v3</t>
        </is>
      </c>
      <c r="B22" s="41" t="n">
        <v>0.5</v>
      </c>
      <c r="C22" s="41" t="n">
        <v>0.5</v>
      </c>
      <c r="D22" s="41" t="n">
        <v>0.5</v>
      </c>
      <c r="E22" s="41" t="n">
        <v>1</v>
      </c>
      <c r="G22" s="20">
        <f>L12*B22+M12*C22+N12*D22+O12*E22</f>
        <v/>
      </c>
      <c r="H22" s="20">
        <f>L13*B22+M13*C22+N13*D22+O13*E22</f>
        <v/>
      </c>
      <c r="I22" s="20">
        <f>L14*B22+M14*C22+N14*D22+O14*E22</f>
        <v/>
      </c>
      <c r="L22" s="42" t="n">
        <v>0.25</v>
      </c>
      <c r="M22" s="41" t="n">
        <v>15.7984</v>
      </c>
      <c r="N22" s="41" t="n">
        <v>35.7634</v>
      </c>
      <c r="O22" s="20">
        <f>$M$18*SIN(RADIANS(M22))+$O$18*SIN(RADIANS(M22-N22))</f>
        <v/>
      </c>
      <c r="P22" s="20">
        <f>-$M$18*COS(RADIANS(M22))-$O$18*COS(RADIANS(M22-N22))</f>
        <v/>
      </c>
      <c r="Q22" s="16" t="n">
        <v>-0.025</v>
      </c>
      <c r="R22" s="16" t="n">
        <v>-0.8561800000000001</v>
      </c>
      <c r="S22" s="43">
        <f>SQRT((O22-Q22)^2+(P22-R22)^2)</f>
        <v/>
      </c>
    </row>
    <row r="23">
      <c r="A23" s="40" t="inlineStr">
        <is>
          <t>v4</t>
        </is>
      </c>
      <c r="B23" s="41" t="n">
        <v>-0.5</v>
      </c>
      <c r="C23" s="41" t="n">
        <v>-0.5</v>
      </c>
      <c r="D23" s="41" t="n">
        <v>-0.5</v>
      </c>
      <c r="E23" s="41" t="n">
        <v>1</v>
      </c>
      <c r="G23" s="20">
        <f>L12*B23+M12*C23+N12*D23+O12*E23</f>
        <v/>
      </c>
      <c r="H23" s="20">
        <f>L13*B23+M13*C23+N13*D23+O13*E23</f>
        <v/>
      </c>
      <c r="I23" s="20">
        <f>L14*B23+M14*C23+N14*D23+O14*E23</f>
        <v/>
      </c>
      <c r="L23" s="42" t="n">
        <v>0.375</v>
      </c>
      <c r="M23" s="41" t="n">
        <v>1.5555</v>
      </c>
      <c r="N23" s="41" t="n">
        <v>28.5892</v>
      </c>
      <c r="O23" s="20">
        <f>$M$18*SIN(RADIANS(M23))+$O$18*SIN(RADIANS(M23-N23))</f>
        <v/>
      </c>
      <c r="P23" s="20">
        <f>-$M$18*COS(RADIANS(M23))-$O$18*COS(RADIANS(M23-N23))</f>
        <v/>
      </c>
      <c r="Q23" s="16" t="n">
        <v>-0.1875</v>
      </c>
      <c r="R23" s="16" t="n">
        <v>-0.851756</v>
      </c>
      <c r="S23" s="43">
        <f>SQRT((O23-Q23)^2+(P23-R23)^2)</f>
        <v/>
      </c>
    </row>
    <row r="24">
      <c r="A24" s="40" t="inlineStr">
        <is>
          <t>v5</t>
        </is>
      </c>
      <c r="B24" s="41" t="n">
        <v>-0.5</v>
      </c>
      <c r="C24" s="41" t="n">
        <v>-0.5</v>
      </c>
      <c r="D24" s="41" t="n">
        <v>0.5</v>
      </c>
      <c r="E24" s="41" t="n">
        <v>1</v>
      </c>
      <c r="G24" s="20">
        <f>L12*B24+M12*C24+N12*D24+O12*E24</f>
        <v/>
      </c>
      <c r="H24" s="20">
        <f>L13*B24+M13*C24+N13*D24+O13*E24</f>
        <v/>
      </c>
      <c r="I24" s="20">
        <f>L14*B24+M14*C24+N14*D24+O14*E24</f>
        <v/>
      </c>
      <c r="L24" s="42" t="n">
        <v>0.5</v>
      </c>
      <c r="M24" s="41" t="n">
        <v>-6.5205</v>
      </c>
      <c r="N24" s="41" t="n">
        <v>36.0684</v>
      </c>
      <c r="O24" s="20">
        <f>$M$18*SIN(RADIANS(M24))+$O$18*SIN(RADIANS(M24-N24))</f>
        <v/>
      </c>
      <c r="P24" s="20">
        <f>-$M$18*COS(RADIANS(M24))-$O$18*COS(RADIANS(M24-N24))</f>
        <v/>
      </c>
      <c r="Q24" s="16" t="n">
        <v>-0.35</v>
      </c>
      <c r="R24" s="16" t="n">
        <v>-0.780965</v>
      </c>
      <c r="S24" s="43">
        <f>SQRT((O24-Q24)^2+(P24-R24)^2)</f>
        <v/>
      </c>
    </row>
    <row r="25">
      <c r="A25" s="40" t="inlineStr">
        <is>
          <t>v6</t>
        </is>
      </c>
      <c r="B25" s="41" t="n">
        <v>-0.5</v>
      </c>
      <c r="C25" s="41" t="n">
        <v>0.5</v>
      </c>
      <c r="D25" s="41" t="n">
        <v>0.5</v>
      </c>
      <c r="E25" s="41" t="n">
        <v>1</v>
      </c>
      <c r="G25" s="20">
        <f>L12*B25+M12*C25+N12*D25+O12*E25</f>
        <v/>
      </c>
      <c r="H25" s="20">
        <f>L13*B25+M13*C25+N13*D25+O13*E25</f>
        <v/>
      </c>
      <c r="I25" s="20">
        <f>L14*B25+M14*C25+N14*D25+O14*E25</f>
        <v/>
      </c>
      <c r="L25" s="42" t="n">
        <v>0.625</v>
      </c>
      <c r="M25" s="41" t="n">
        <v>-21.1388</v>
      </c>
      <c r="N25" s="41" t="n">
        <v>24.1828</v>
      </c>
      <c r="O25" s="20">
        <f>$M$18*SIN(RADIANS(M25))+$O$18*SIN(RADIANS(M25-N25))</f>
        <v/>
      </c>
      <c r="P25" s="20">
        <f>-$M$18*COS(RADIANS(M25))-$O$18*COS(RADIANS(M25-N25))</f>
        <v/>
      </c>
      <c r="Q25" s="16" t="n">
        <v>-0.478757</v>
      </c>
      <c r="R25" s="16" t="n">
        <v>-0.7384230000000001</v>
      </c>
      <c r="S25" s="43">
        <f>SQRT((O25-Q25)^2+(P25-R25)^2)</f>
        <v/>
      </c>
    </row>
    <row r="26">
      <c r="A26" s="40" t="inlineStr">
        <is>
          <t>v7</t>
        </is>
      </c>
      <c r="B26" s="41" t="n">
        <v>-0.5</v>
      </c>
      <c r="C26" s="41" t="n">
        <v>0.5</v>
      </c>
      <c r="D26" s="41" t="n">
        <v>-0.5</v>
      </c>
      <c r="E26" s="41" t="n">
        <v>1</v>
      </c>
      <c r="G26" s="20">
        <f>L12*B26+M12*C26+N12*D26+O12*E26</f>
        <v/>
      </c>
      <c r="H26" s="20">
        <f>L13*B26+M13*C26+N13*D26+O13*E26</f>
        <v/>
      </c>
      <c r="I26" s="20">
        <f>L14*B26+M14*C26+N14*D26+O14*E26</f>
        <v/>
      </c>
      <c r="L26" s="42" t="n">
        <v>0.75</v>
      </c>
      <c r="M26" s="41" t="n">
        <v>8.2873</v>
      </c>
      <c r="N26" s="41" t="n">
        <v>59.2127</v>
      </c>
      <c r="O26" s="20">
        <f>$M$18*SIN(RADIANS(M26))+$O$18*SIN(RADIANS(M26-N26))</f>
        <v/>
      </c>
      <c r="P26" s="20">
        <f>-$M$18*COS(RADIANS(M26))-$O$18*COS(RADIANS(M26-N26))</f>
        <v/>
      </c>
      <c r="Q26" s="16" t="n">
        <v>-0.275281</v>
      </c>
      <c r="R26" s="16" t="n">
        <v>-0.732542</v>
      </c>
      <c r="S26" s="43">
        <f>SQRT((O26-Q26)^2+(P26-R26)^2)</f>
        <v/>
      </c>
    </row>
    <row r="27">
      <c r="L27" s="42" t="n">
        <v>0.875</v>
      </c>
      <c r="M27" s="41" t="n">
        <v>41.894</v>
      </c>
      <c r="N27" s="41" t="n">
        <v>59.9294</v>
      </c>
      <c r="O27" s="20">
        <f>$M$18*SIN(RADIANS(M27))+$O$18*SIN(RADIANS(M27-N27))</f>
        <v/>
      </c>
      <c r="P27" s="20">
        <f>-$M$18*COS(RADIANS(M27))-$O$18*COS(RADIANS(M27-N27))</f>
        <v/>
      </c>
      <c r="Q27" s="16" t="n">
        <v>0.170941</v>
      </c>
      <c r="R27" s="16" t="n">
        <v>-0.760796</v>
      </c>
      <c r="S27" s="43">
        <f>SQRT((O27-Q27)^2+(P27-R27)^2)</f>
        <v/>
      </c>
    </row>
    <row r="28">
      <c r="L28" s="42" t="n">
        <v>1</v>
      </c>
      <c r="M28" s="41" t="n">
        <v>32.771</v>
      </c>
      <c r="N28" s="41" t="n">
        <v>26.1137</v>
      </c>
      <c r="O28" s="20">
        <f>$M$18*SIN(RADIANS(M28))+$O$18*SIN(RADIANS(M28-N28))</f>
        <v/>
      </c>
      <c r="P28" s="20">
        <f>-$M$18*COS(RADIANS(M28))-$O$18*COS(RADIANS(M28-N28))</f>
        <v/>
      </c>
      <c r="Q28" s="16" t="n">
        <v>0.3</v>
      </c>
      <c r="R28" s="16" t="n">
        <v>-0.82382</v>
      </c>
      <c r="S28" s="43">
        <f>SQRT((O28-Q28)^2+(P28-R28)^2)</f>
        <v/>
      </c>
    </row>
    <row r="29">
      <c r="A29" s="10" t="inlineStr">
        <is>
          <t>D. UAV camera: view axis = R_UAV Ry(yaw) Rx(pitch) (0, 0, 1)</t>
        </is>
      </c>
    </row>
    <row r="30">
      <c r="A30" s="4" t="inlineStr">
        <is>
          <t>yaw (deg)</t>
        </is>
      </c>
      <c r="B30" s="8" t="n">
        <v>0</v>
      </c>
      <c r="C30" s="4" t="inlineStr">
        <is>
          <t>pitch (deg)</t>
        </is>
      </c>
      <c r="D30" s="8" t="n">
        <v>50</v>
      </c>
    </row>
    <row r="31">
      <c r="B31" s="10" t="inlineStr">
        <is>
          <t>R_UAV (rotation of UAV-00 world, export)</t>
        </is>
      </c>
      <c r="G31" s="4" t="inlineStr">
        <is>
          <t>gimbal axis</t>
        </is>
      </c>
      <c r="I31" s="4" t="inlineStr">
        <is>
          <t>world view axis</t>
        </is>
      </c>
      <c r="K31" s="4" t="inlineStr">
        <is>
          <t>below horizon (deg)</t>
        </is>
      </c>
      <c r="L31" s="12" t="n"/>
    </row>
    <row r="32">
      <c r="B32" s="9" t="n">
        <v>-1</v>
      </c>
      <c r="C32" s="9" t="n">
        <v>0</v>
      </c>
      <c r="D32" s="38" t="n">
        <v>-1e-07</v>
      </c>
      <c r="G32" s="20">
        <f>SIN(RADIANS($B$30))*COS(RADIANS($D$30))</f>
        <v/>
      </c>
      <c r="I32" s="20">
        <f>B32*G32+C32*G33+D32*G34</f>
        <v/>
      </c>
      <c r="K32" s="20">
        <f>DEGREES(ASIN(-I33))</f>
        <v/>
      </c>
    </row>
    <row r="33">
      <c r="B33" s="9" t="n">
        <v>0</v>
      </c>
      <c r="C33" s="9" t="n">
        <v>1</v>
      </c>
      <c r="D33" s="9" t="n">
        <v>0</v>
      </c>
      <c r="G33" s="20">
        <f>-SIN(RADIANS($D$30))</f>
        <v/>
      </c>
      <c r="I33" s="20">
        <f>B33*G32+C33*G33+D33*G34</f>
        <v/>
      </c>
    </row>
    <row r="34">
      <c r="B34" s="38" t="n">
        <v>1e-07</v>
      </c>
      <c r="C34" s="9" t="n">
        <v>0</v>
      </c>
      <c r="D34" s="9" t="n">
        <v>-1</v>
      </c>
      <c r="G34" s="20">
        <f>COS(RADIANS($B$30))*COS(RADIANS($D$30))</f>
        <v/>
      </c>
      <c r="I34" s="20">
        <f>B34*G32+C34*G33+D34*G34</f>
        <v/>
      </c>
    </row>
    <row r="36">
      <c r="A36" s="2" t="inlineStr">
        <is>
          <t>Change yaw / pitch (yellow): the axis turns; the pitch alone sets the angle below the horizon (the UAV flies level).</t>
        </is>
      </c>
    </row>
  </sheetData>
  <mergeCells count="2">
    <mergeCell ref="Q16:S16"/>
    <mergeCell ref="K31:L31"/>
  </mergeCells>
  <printOptions gridLines="0"/>
  <pageMargins left="0.4" right="0.4" top="0.4" bottom="0.4" header="0.2" footer="0.2"/>
  <pageSetup orientation="landscape" paperSize="9" scale="76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3" customWidth="1" min="6" max="6"/>
    <col width="10" customWidth="1" min="7" max="7"/>
    <col width="11" customWidth="1" min="8" max="8"/>
    <col width="11" customWidth="1" min="9" max="9"/>
    <col width="12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View_Projection: default orbit camera, lookAt basis, perspective and depth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scene/Camera.h (target, yaw 32, pitch 27, distance 34, fov 50), Camera.cpp compute() (orbit eye), Math3D.cpp lookAt / perspective, near 0.05 far 600, 24-bit depth (FrameBuffers.cpp).</t>
        </is>
      </c>
    </row>
    <row r="4">
      <c r="G4" s="10" t="inlineStr">
        <is>
          <t>Depth mapping (24-bit fixed point: step = 1 / (2^24 - 1))</t>
        </is>
      </c>
    </row>
    <row r="5" ht="44" customHeight="1">
      <c r="A5" s="3" t="inlineStr">
        <is>
          <t>Input / derived</t>
        </is>
      </c>
      <c r="B5" s="3" t="inlineStr">
        <is>
          <t>x</t>
        </is>
      </c>
      <c r="C5" s="3" t="inlineStr">
        <is>
          <t>y</t>
        </is>
      </c>
      <c r="D5" s="3" t="inlineStr">
        <is>
          <t>z</t>
        </is>
      </c>
      <c r="G5" s="3" t="inlineStr">
        <is>
          <t>z_eye (m)</t>
        </is>
      </c>
      <c r="H5" s="3" t="inlineStr">
        <is>
          <t>z_ndc (near 0.05)</t>
        </is>
      </c>
      <c r="I5" s="3" t="inlineStr">
        <is>
          <t>depth d (near 0.05)</t>
        </is>
      </c>
      <c r="J5" s="3" t="inlineStr">
        <is>
          <t>metres per depth step (near 0.05)</t>
        </is>
      </c>
      <c r="K5" s="3" t="inlineStr">
        <is>
          <t>z_ndc (near 0.5)</t>
        </is>
      </c>
      <c r="L5" s="3" t="inlineStr">
        <is>
          <t>depth d (near 0.5)</t>
        </is>
      </c>
      <c r="M5" s="3" t="inlineStr">
        <is>
          <t>metres per depth step (near 0.5)</t>
        </is>
      </c>
    </row>
    <row r="6">
      <c r="A6" s="4" t="inlineStr">
        <is>
          <t>target (m)</t>
        </is>
      </c>
      <c r="B6" s="16" t="n">
        <v>0</v>
      </c>
      <c r="C6" s="16" t="n">
        <v>0.8</v>
      </c>
      <c r="D6" s="16" t="n">
        <v>0</v>
      </c>
      <c r="G6" s="16" t="n">
        <v>-0.05</v>
      </c>
      <c r="H6" s="20">
        <f>((-($B$15+$B$14)/($B$15-$B$14))*G6+(-2*$B$15*$B$14/($B$15-$B$14)))/(-G6)</f>
        <v/>
      </c>
      <c r="I6" s="20">
        <f>0.5*H6+0.5</f>
        <v/>
      </c>
      <c r="J6" s="44">
        <f>(1/(2^24-1))*($B$15-$B$14)*G6^2/($B$15*$B$14)</f>
        <v/>
      </c>
      <c r="K6" s="6" t="inlineStr">
        <is>
          <t>clipped</t>
        </is>
      </c>
      <c r="L6" s="6" t="inlineStr">
        <is>
          <t>clipped</t>
        </is>
      </c>
      <c r="M6" s="6" t="inlineStr">
        <is>
          <t>clipped</t>
        </is>
      </c>
    </row>
    <row r="7">
      <c r="A7" s="4" t="inlineStr">
        <is>
          <t>up</t>
        </is>
      </c>
      <c r="B7" s="16" t="n">
        <v>0</v>
      </c>
      <c r="C7" s="16" t="n">
        <v>1</v>
      </c>
      <c r="D7" s="16" t="n">
        <v>0</v>
      </c>
      <c r="G7" s="16" t="n">
        <v>-0.1</v>
      </c>
      <c r="H7" s="20">
        <f>((-($B$15+$B$14)/($B$15-$B$14))*G7+(-2*$B$15*$B$14/($B$15-$B$14)))/(-G7)</f>
        <v/>
      </c>
      <c r="I7" s="20">
        <f>0.5*H7+0.5</f>
        <v/>
      </c>
      <c r="J7" s="44">
        <f>(1/(2^24-1))*($B$15-$B$14)*G7^2/($B$15*$B$14)</f>
        <v/>
      </c>
      <c r="K7" s="6" t="inlineStr">
        <is>
          <t>clipped</t>
        </is>
      </c>
      <c r="L7" s="6" t="inlineStr">
        <is>
          <t>clipped</t>
        </is>
      </c>
      <c r="M7" s="6" t="inlineStr">
        <is>
          <t>clipped</t>
        </is>
      </c>
    </row>
    <row r="8">
      <c r="A8" s="4" t="inlineStr">
        <is>
          <t>yaw (deg)</t>
        </is>
      </c>
      <c r="B8" s="8" t="n">
        <v>32</v>
      </c>
      <c r="G8" s="16" t="n">
        <v>-0.5</v>
      </c>
      <c r="H8" s="20">
        <f>((-($B$15+$B$14)/($B$15-$B$14))*G8+(-2*$B$15*$B$14/($B$15-$B$14)))/(-G8)</f>
        <v/>
      </c>
      <c r="I8" s="20">
        <f>0.5*H8+0.5</f>
        <v/>
      </c>
      <c r="J8" s="44">
        <f>(1/(2^24-1))*($B$15-$B$14)*G8^2/($B$15*$B$14)</f>
        <v/>
      </c>
      <c r="K8" s="20">
        <f>((-($B$15+$B$16)/($B$15-$B$16))*G8+(-2*$B$15*$B$16/($B$15-$B$16)))/(-G8)</f>
        <v/>
      </c>
      <c r="L8" s="20">
        <f>0.5*K8+0.5</f>
        <v/>
      </c>
      <c r="M8" s="44">
        <f>(1/(2^24-1))*($B$15-$B$16)*G8^2/($B$15*$B$16)</f>
        <v/>
      </c>
    </row>
    <row r="9">
      <c r="A9" s="4" t="inlineStr">
        <is>
          <t>pitch (deg)</t>
        </is>
      </c>
      <c r="B9" s="8" t="n">
        <v>27</v>
      </c>
      <c r="G9" s="16" t="n">
        <v>-1</v>
      </c>
      <c r="H9" s="20">
        <f>((-($B$15+$B$14)/($B$15-$B$14))*G9+(-2*$B$15*$B$14/($B$15-$B$14)))/(-G9)</f>
        <v/>
      </c>
      <c r="I9" s="20">
        <f>0.5*H9+0.5</f>
        <v/>
      </c>
      <c r="J9" s="44">
        <f>(1/(2^24-1))*($B$15-$B$14)*G9^2/($B$15*$B$14)</f>
        <v/>
      </c>
      <c r="K9" s="20">
        <f>((-($B$15+$B$16)/($B$15-$B$16))*G9+(-2*$B$15*$B$16/($B$15-$B$16)))/(-G9)</f>
        <v/>
      </c>
      <c r="L9" s="20">
        <f>0.5*K9+0.5</f>
        <v/>
      </c>
      <c r="M9" s="44">
        <f>(1/(2^24-1))*($B$15-$B$16)*G9^2/($B$15*$B$16)</f>
        <v/>
      </c>
    </row>
    <row r="10">
      <c r="A10" s="4" t="inlineStr">
        <is>
          <t>distance (m)</t>
        </is>
      </c>
      <c r="B10" s="8" t="n">
        <v>34</v>
      </c>
      <c r="G10" s="16" t="n">
        <v>-2</v>
      </c>
      <c r="H10" s="20">
        <f>((-($B$15+$B$14)/($B$15-$B$14))*G10+(-2*$B$15*$B$14/($B$15-$B$14)))/(-G10)</f>
        <v/>
      </c>
      <c r="I10" s="20">
        <f>0.5*H10+0.5</f>
        <v/>
      </c>
      <c r="J10" s="44">
        <f>(1/(2^24-1))*($B$15-$B$14)*G10^2/($B$15*$B$14)</f>
        <v/>
      </c>
      <c r="K10" s="20">
        <f>((-($B$15+$B$16)/($B$15-$B$16))*G10+(-2*$B$15*$B$16/($B$15-$B$16)))/(-G10)</f>
        <v/>
      </c>
      <c r="L10" s="20">
        <f>0.5*K10+0.5</f>
        <v/>
      </c>
      <c r="M10" s="44">
        <f>(1/(2^24-1))*($B$15-$B$16)*G10^2/($B$15*$B$16)</f>
        <v/>
      </c>
    </row>
    <row r="11">
      <c r="A11" s="4" t="inlineStr">
        <is>
          <t>fov y (deg)</t>
        </is>
      </c>
      <c r="B11" s="8" t="n">
        <v>50</v>
      </c>
      <c r="G11" s="16" t="n">
        <v>-5</v>
      </c>
      <c r="H11" s="20">
        <f>((-($B$15+$B$14)/($B$15-$B$14))*G11+(-2*$B$15*$B$14/($B$15-$B$14)))/(-G11)</f>
        <v/>
      </c>
      <c r="I11" s="20">
        <f>0.5*H11+0.5</f>
        <v/>
      </c>
      <c r="J11" s="44">
        <f>(1/(2^24-1))*($B$15-$B$14)*G11^2/($B$15*$B$14)</f>
        <v/>
      </c>
      <c r="K11" s="20">
        <f>((-($B$15+$B$16)/($B$15-$B$16))*G11+(-2*$B$15*$B$16/($B$15-$B$16)))/(-G11)</f>
        <v/>
      </c>
      <c r="L11" s="20">
        <f>0.5*K11+0.5</f>
        <v/>
      </c>
      <c r="M11" s="44">
        <f>(1/(2^24-1))*($B$15-$B$16)*G11^2/($B$15*$B$16)</f>
        <v/>
      </c>
    </row>
    <row r="12">
      <c r="A12" s="4" t="inlineStr">
        <is>
          <t>width (px)</t>
        </is>
      </c>
      <c r="B12" s="8" t="n">
        <v>1920</v>
      </c>
      <c r="G12" s="16" t="n">
        <v>-10</v>
      </c>
      <c r="H12" s="20">
        <f>((-($B$15+$B$14)/($B$15-$B$14))*G12+(-2*$B$15*$B$14/($B$15-$B$14)))/(-G12)</f>
        <v/>
      </c>
      <c r="I12" s="20">
        <f>0.5*H12+0.5</f>
        <v/>
      </c>
      <c r="J12" s="44">
        <f>(1/(2^24-1))*($B$15-$B$14)*G12^2/($B$15*$B$14)</f>
        <v/>
      </c>
      <c r="K12" s="20">
        <f>((-($B$15+$B$16)/($B$15-$B$16))*G12+(-2*$B$15*$B$16/($B$15-$B$16)))/(-G12)</f>
        <v/>
      </c>
      <c r="L12" s="20">
        <f>0.5*K12+0.5</f>
        <v/>
      </c>
      <c r="M12" s="44">
        <f>(1/(2^24-1))*($B$15-$B$16)*G12^2/($B$15*$B$16)</f>
        <v/>
      </c>
    </row>
    <row r="13">
      <c r="A13" s="4" t="inlineStr">
        <is>
          <t>height (px)</t>
        </is>
      </c>
      <c r="B13" s="8" t="n">
        <v>1080</v>
      </c>
      <c r="G13" s="16" t="n">
        <v>-34</v>
      </c>
      <c r="H13" s="20">
        <f>((-($B$15+$B$14)/($B$15-$B$14))*G13+(-2*$B$15*$B$14/($B$15-$B$14)))/(-G13)</f>
        <v/>
      </c>
      <c r="I13" s="20">
        <f>0.5*H13+0.5</f>
        <v/>
      </c>
      <c r="J13" s="44">
        <f>(1/(2^24-1))*($B$15-$B$14)*G13^2/($B$15*$B$14)</f>
        <v/>
      </c>
      <c r="K13" s="20">
        <f>((-($B$15+$B$16)/($B$15-$B$16))*G13+(-2*$B$15*$B$16/($B$15-$B$16)))/(-G13)</f>
        <v/>
      </c>
      <c r="L13" s="20">
        <f>0.5*K13+0.5</f>
        <v/>
      </c>
      <c r="M13" s="44">
        <f>(1/(2^24-1))*($B$15-$B$16)*G13^2/($B$15*$B$16)</f>
        <v/>
      </c>
    </row>
    <row r="14">
      <c r="A14" s="4" t="inlineStr">
        <is>
          <t>near (m)</t>
        </is>
      </c>
      <c r="B14" s="16" t="n">
        <v>0.05</v>
      </c>
      <c r="G14" s="16" t="n">
        <v>-50</v>
      </c>
      <c r="H14" s="20">
        <f>((-($B$15+$B$14)/($B$15-$B$14))*G14+(-2*$B$15*$B$14/($B$15-$B$14)))/(-G14)</f>
        <v/>
      </c>
      <c r="I14" s="20">
        <f>0.5*H14+0.5</f>
        <v/>
      </c>
      <c r="J14" s="44">
        <f>(1/(2^24-1))*($B$15-$B$14)*G14^2/($B$15*$B$14)</f>
        <v/>
      </c>
      <c r="K14" s="20">
        <f>((-($B$15+$B$16)/($B$15-$B$16))*G14+(-2*$B$15*$B$16/($B$15-$B$16)))/(-G14)</f>
        <v/>
      </c>
      <c r="L14" s="20">
        <f>0.5*K14+0.5</f>
        <v/>
      </c>
      <c r="M14" s="44">
        <f>(1/(2^24-1))*($B$15-$B$16)*G14^2/($B$15*$B$16)</f>
        <v/>
      </c>
    </row>
    <row r="15">
      <c r="A15" s="4" t="inlineStr">
        <is>
          <t>far (m)</t>
        </is>
      </c>
      <c r="B15" s="8" t="n">
        <v>600</v>
      </c>
      <c r="G15" s="16" t="n">
        <v>-100</v>
      </c>
      <c r="H15" s="20">
        <f>((-($B$15+$B$14)/($B$15-$B$14))*G15+(-2*$B$15*$B$14/($B$15-$B$14)))/(-G15)</f>
        <v/>
      </c>
      <c r="I15" s="20">
        <f>0.5*H15+0.5</f>
        <v/>
      </c>
      <c r="J15" s="44">
        <f>(1/(2^24-1))*($B$15-$B$14)*G15^2/($B$15*$B$14)</f>
        <v/>
      </c>
      <c r="K15" s="20">
        <f>((-($B$15+$B$16)/($B$15-$B$16))*G15+(-2*$B$15*$B$16/($B$15-$B$16)))/(-G15)</f>
        <v/>
      </c>
      <c r="L15" s="20">
        <f>0.5*K15+0.5</f>
        <v/>
      </c>
      <c r="M15" s="44">
        <f>(1/(2^24-1))*($B$15-$B$16)*G15^2/($B$15*$B$16)</f>
        <v/>
      </c>
    </row>
    <row r="16">
      <c r="A16" s="4" t="inlineStr">
        <is>
          <t>near, comparison (m)</t>
        </is>
      </c>
      <c r="B16" s="16" t="n">
        <v>0.5</v>
      </c>
      <c r="G16" s="16" t="n">
        <v>-200</v>
      </c>
      <c r="H16" s="20">
        <f>((-($B$15+$B$14)/($B$15-$B$14))*G16+(-2*$B$15*$B$14/($B$15-$B$14)))/(-G16)</f>
        <v/>
      </c>
      <c r="I16" s="20">
        <f>0.5*H16+0.5</f>
        <v/>
      </c>
      <c r="J16" s="44">
        <f>(1/(2^24-1))*($B$15-$B$14)*G16^2/($B$15*$B$14)</f>
        <v/>
      </c>
      <c r="K16" s="20">
        <f>((-($B$15+$B$16)/($B$15-$B$16))*G16+(-2*$B$15*$B$16/($B$15-$B$16)))/(-G16)</f>
        <v/>
      </c>
      <c r="L16" s="20">
        <f>0.5*K16+0.5</f>
        <v/>
      </c>
      <c r="M16" s="44">
        <f>(1/(2^24-1))*($B$15-$B$16)*G16^2/($B$15*$B$16)</f>
        <v/>
      </c>
    </row>
    <row r="17">
      <c r="A17" s="4" t="inlineStr">
        <is>
          <t>aspect = width / height</t>
        </is>
      </c>
      <c r="B17" s="20">
        <f>B12/B13</f>
        <v/>
      </c>
      <c r="G17" s="16" t="n">
        <v>-400</v>
      </c>
      <c r="H17" s="20">
        <f>((-($B$15+$B$14)/($B$15-$B$14))*G17+(-2*$B$15*$B$14/($B$15-$B$14)))/(-G17)</f>
        <v/>
      </c>
      <c r="I17" s="20">
        <f>0.5*H17+0.5</f>
        <v/>
      </c>
      <c r="J17" s="44">
        <f>(1/(2^24-1))*($B$15-$B$14)*G17^2/($B$15*$B$14)</f>
        <v/>
      </c>
      <c r="K17" s="20">
        <f>((-($B$15+$B$16)/($B$15-$B$16))*G17+(-2*$B$15*$B$16/($B$15-$B$16)))/(-G17)</f>
        <v/>
      </c>
      <c r="L17" s="20">
        <f>0.5*K17+0.5</f>
        <v/>
      </c>
      <c r="M17" s="44">
        <f>(1/(2^24-1))*($B$15-$B$16)*G17^2/($B$15*$B$16)</f>
        <v/>
      </c>
    </row>
    <row r="18">
      <c r="A18" s="4" t="inlineStr">
        <is>
          <t>eye = target + d (cos p sin y, sin p, cos p cos y)</t>
        </is>
      </c>
      <c r="B18" s="20">
        <f>B6+$B$10*COS(RADIANS($B$9))*SIN(RADIANS($B$8))</f>
        <v/>
      </c>
      <c r="C18" s="20">
        <f>C6+$B$10*SIN(RADIANS($B$9))</f>
        <v/>
      </c>
      <c r="D18" s="20">
        <f>D6+$B$10*COS(RADIANS($B$9))*COS(RADIANS($B$8))</f>
        <v/>
      </c>
      <c r="G18" s="16" t="n">
        <v>-600</v>
      </c>
      <c r="H18" s="20">
        <f>((-($B$15+$B$14)/($B$15-$B$14))*G18+(-2*$B$15*$B$14/($B$15-$B$14)))/(-G18)</f>
        <v/>
      </c>
      <c r="I18" s="20">
        <f>0.5*H18+0.5</f>
        <v/>
      </c>
      <c r="J18" s="44">
        <f>(1/(2^24-1))*($B$15-$B$14)*G18^2/($B$15*$B$14)</f>
        <v/>
      </c>
      <c r="K18" s="20">
        <f>((-($B$15+$B$16)/($B$15-$B$16))*G18+(-2*$B$15*$B$16/($B$15-$B$16)))/(-G18)</f>
        <v/>
      </c>
      <c r="L18" s="20">
        <f>0.5*K18+0.5</f>
        <v/>
      </c>
      <c r="M18" s="44">
        <f>(1/(2^24-1))*($B$15-$B$16)*G18^2/($B$15*$B$16)</f>
        <v/>
      </c>
    </row>
    <row r="19">
      <c r="A19" s="4" t="inlineStr">
        <is>
          <t>eye - target</t>
        </is>
      </c>
      <c r="B19" s="20">
        <f>B18-B6</f>
        <v/>
      </c>
      <c r="C19" s="20">
        <f>C18-C6</f>
        <v/>
      </c>
      <c r="D19" s="20">
        <f>D18-D6</f>
        <v/>
      </c>
    </row>
    <row r="20">
      <c r="A20" s="4" t="inlineStr">
        <is>
          <t>n = normalize(eye - target)</t>
        </is>
      </c>
      <c r="B20" s="20">
        <f>B19/SQRT(B19^2+C19^2+D19^2)</f>
        <v/>
      </c>
      <c r="C20" s="20">
        <f>C19/SQRT(B19^2+C19^2+D19^2)</f>
        <v/>
      </c>
      <c r="D20" s="20">
        <f>D19/SQRT(B19^2+C19^2+D19^2)</f>
        <v/>
      </c>
      <c r="G20" s="10" t="inlineStr">
        <is>
          <t>Summary</t>
        </is>
      </c>
    </row>
    <row r="21">
      <c r="A21" s="4" t="inlineStr">
        <is>
          <t>up x n</t>
        </is>
      </c>
      <c r="B21" s="20">
        <f>C7*D20-D7*C20</f>
        <v/>
      </c>
      <c r="C21" s="20">
        <f>D7*B20-B7*D20</f>
        <v/>
      </c>
      <c r="D21" s="20">
        <f>B7*C20-C7*B20</f>
        <v/>
      </c>
      <c r="G21" s="4" t="inlineStr">
        <is>
          <t>depth step at 100 m (m)</t>
        </is>
      </c>
      <c r="H21" s="11" t="n"/>
      <c r="I21" s="12" t="n"/>
      <c r="J21" s="44">
        <f>J15</f>
        <v/>
      </c>
      <c r="M21" s="44">
        <f>M15</f>
        <v/>
      </c>
    </row>
    <row r="22">
      <c r="A22" s="4" t="inlineStr">
        <is>
          <t>u = normalize(up x n)</t>
        </is>
      </c>
      <c r="B22" s="20">
        <f>B21/SQRT(B21^2+C21^2+D21^2)</f>
        <v/>
      </c>
      <c r="C22" s="20">
        <f>C21/SQRT(B21^2+C21^2+D21^2)</f>
        <v/>
      </c>
      <c r="D22" s="20">
        <f>D21/SQRT(B21^2+C21^2+D21^2)</f>
        <v/>
      </c>
      <c r="G22" s="4" t="inlineStr">
        <is>
          <t>ratio near 0.05 / near 0.5 at 100 m</t>
        </is>
      </c>
      <c r="H22" s="11" t="n"/>
      <c r="I22" s="12" t="n"/>
      <c r="J22" s="20">
        <f>J15/M15</f>
        <v/>
      </c>
    </row>
    <row r="23">
      <c r="A23" s="4" t="inlineStr">
        <is>
          <t>v = n x u</t>
        </is>
      </c>
      <c r="B23" s="20">
        <f>C20*D22-D20*C22</f>
        <v/>
      </c>
      <c r="C23" s="20">
        <f>D20*B22-B20*D22</f>
        <v/>
      </c>
      <c r="D23" s="20">
        <f>B20*C22-C20*B22</f>
        <v/>
      </c>
      <c r="G23" s="4" t="inlineStr">
        <is>
          <t>share of [0, 1] depth used by the first 1 m</t>
        </is>
      </c>
      <c r="H23" s="11" t="n"/>
      <c r="I23" s="12" t="n"/>
      <c r="J23" s="20">
        <f>I9</f>
        <v/>
      </c>
      <c r="M23" s="20">
        <f>L9</f>
        <v/>
      </c>
    </row>
    <row r="24">
      <c r="A24" s="4" t="inlineStr">
        <is>
          <t>code: s = normalize(f x up), f = -n; |s - u|</t>
        </is>
      </c>
      <c r="B24" s="20">
        <f>ABS(-(C20*D7-D20*C7)-B22*SQRT(B21^2+C21^2+D21^2))+ABS(-(D20*B7-B20*D7)-C22*SQRT(B21^2+C21^2+D21^2))+ABS(-(B20*C7-C20*B7)-D22*SQRT(B21^2+C21^2+D21^2))</f>
        <v/>
      </c>
      <c r="G24" s="4" t="inlineStr">
        <is>
          <t>share of depth used beyond 10 m</t>
        </is>
      </c>
      <c r="H24" s="11" t="n"/>
      <c r="I24" s="12" t="n"/>
      <c r="J24" s="20">
        <f>1-I12</f>
        <v/>
      </c>
      <c r="M24" s="20">
        <f>1-L12</f>
        <v/>
      </c>
    </row>
    <row r="25">
      <c r="A25" s="4" t="inlineStr">
        <is>
          <t>u . v,  u . n,  v . n (orthogonal: 0)</t>
        </is>
      </c>
      <c r="B25" s="20">
        <f>B22*B23+C22*C23+D22*D23</f>
        <v/>
      </c>
      <c r="C25" s="20">
        <f>B22*B20+C22*C20+D22*D20</f>
        <v/>
      </c>
      <c r="D25" s="20">
        <f>B23*B20+C23*C20+D23*D20</f>
        <v/>
      </c>
    </row>
    <row r="26">
      <c r="G26" s="2" t="inlineStr">
        <is>
          <t>d = (F / (F - N)) (1 - N / |z|): precision falls with z^2.</t>
        </is>
      </c>
    </row>
    <row r="27">
      <c r="B27" s="10" t="inlineStr">
        <is>
          <t>View V = lookAt(eye, target, up): rows u, v, n; last column -(axis . eye)</t>
        </is>
      </c>
      <c r="G27" s="2" t="inlineStr">
        <is>
          <t>Step size dz = step (F - N) z^2 / (F N): ten times the near plane = ten times finer steps.</t>
        </is>
      </c>
    </row>
    <row r="28">
      <c r="A28" s="4" t="inlineStr">
        <is>
          <t>row 0 (u)</t>
        </is>
      </c>
      <c r="B28" s="15">
        <f>B22</f>
        <v/>
      </c>
      <c r="C28" s="15">
        <f>C22</f>
        <v/>
      </c>
      <c r="D28" s="15">
        <f>D22</f>
        <v/>
      </c>
      <c r="E28" s="15">
        <f>-(B22*B18+C22*C18+D22*D18)</f>
        <v/>
      </c>
      <c r="G28" s="2" t="inlineStr">
        <is>
          <t>Two surfaces closer than one step at 100 m share a depth value: z-fighting.</t>
        </is>
      </c>
    </row>
    <row r="29">
      <c r="A29" s="4" t="inlineStr">
        <is>
          <t>row 1 (v)</t>
        </is>
      </c>
      <c r="B29" s="15">
        <f>B23</f>
        <v/>
      </c>
      <c r="C29" s="15">
        <f>C23</f>
        <v/>
      </c>
      <c r="D29" s="15">
        <f>D23</f>
        <v/>
      </c>
      <c r="E29" s="15">
        <f>-(B23*B18+C23*C18+D23*D18)</f>
        <v/>
      </c>
      <c r="G29" s="2" t="inlineStr">
        <is>
          <t>The code keeps near 0.05 m for the first-person views; 24-bit depth.</t>
        </is>
      </c>
    </row>
    <row r="30">
      <c r="A30" s="4" t="inlineStr">
        <is>
          <t>row 2 (n)</t>
        </is>
      </c>
      <c r="B30" s="15">
        <f>B20</f>
        <v/>
      </c>
      <c r="C30" s="15">
        <f>C20</f>
        <v/>
      </c>
      <c r="D30" s="15">
        <f>D20</f>
        <v/>
      </c>
      <c r="E30" s="15">
        <f>-(B20*B18+C20*C18+D20*D18)</f>
        <v/>
      </c>
    </row>
    <row r="31">
      <c r="A31" s="4" t="inlineStr">
        <is>
          <t>row 3</t>
        </is>
      </c>
      <c r="B31" s="37" t="n">
        <v>0</v>
      </c>
      <c r="C31" s="37" t="n">
        <v>0</v>
      </c>
      <c r="D31" s="37" t="n">
        <v>0</v>
      </c>
      <c r="E31" s="37" t="n">
        <v>1</v>
      </c>
    </row>
    <row r="33">
      <c r="A33" s="4" t="inlineStr">
        <is>
          <t>t = 1 / tan(fov / 2)</t>
        </is>
      </c>
      <c r="B33" s="20">
        <f>1/TAN(RADIANS($B$11)/2)</f>
        <v/>
      </c>
    </row>
    <row r="34">
      <c r="B34" s="10" t="inlineStr">
        <is>
          <t>Perspective P (Math3D perspective, OpenGL clip z in [-w, w])</t>
        </is>
      </c>
    </row>
    <row r="35">
      <c r="A35" s="4" t="inlineStr">
        <is>
          <t>row 0</t>
        </is>
      </c>
      <c r="B35" s="15">
        <f>$B$33/$B$17</f>
        <v/>
      </c>
      <c r="C35" s="37" t="n">
        <v>0</v>
      </c>
      <c r="D35" s="37" t="n">
        <v>0</v>
      </c>
      <c r="E35" s="37" t="n">
        <v>0</v>
      </c>
    </row>
    <row r="36">
      <c r="A36" s="4" t="inlineStr">
        <is>
          <t>row 1</t>
        </is>
      </c>
      <c r="B36" s="37" t="n">
        <v>0</v>
      </c>
      <c r="C36" s="15">
        <f>$B$33</f>
        <v/>
      </c>
      <c r="D36" s="37" t="n">
        <v>0</v>
      </c>
      <c r="E36" s="37" t="n">
        <v>0</v>
      </c>
    </row>
    <row r="37">
      <c r="A37" s="4" t="inlineStr">
        <is>
          <t>row 2</t>
        </is>
      </c>
      <c r="B37" s="37" t="n">
        <v>0</v>
      </c>
      <c r="C37" s="37" t="n">
        <v>0</v>
      </c>
      <c r="D37" s="15">
        <f>-($B$15+$B$14)/($B$15-$B$14)</f>
        <v/>
      </c>
      <c r="E37" s="15">
        <f>-2*$B$15*$B$14/($B$15-$B$14)</f>
        <v/>
      </c>
    </row>
    <row r="38">
      <c r="A38" s="4" t="inlineStr">
        <is>
          <t>row 3</t>
        </is>
      </c>
      <c r="B38" s="37" t="n">
        <v>0</v>
      </c>
      <c r="C38" s="37" t="n">
        <v>0</v>
      </c>
      <c r="D38" s="37" t="n">
        <v>-1</v>
      </c>
      <c r="E38" s="37" t="n">
        <v>0</v>
      </c>
    </row>
    <row r="40">
      <c r="A40" s="2" t="inlineStr">
        <is>
          <t>Code (lookAt): f = normalize(target - eye), s = normalize(f x up), u' = s x f; rows s, u', -f. Since f = -n: s = u and u' = v, the same matrix.</t>
        </is>
      </c>
    </row>
  </sheetData>
  <mergeCells count="4">
    <mergeCell ref="G22:I22"/>
    <mergeCell ref="G21:I21"/>
    <mergeCell ref="G23:I23"/>
    <mergeCell ref="G24:I24"/>
  </mergeCells>
  <printOptions gridLines="0"/>
  <pageMargins left="0.4" right="0.4" top="0.4" bottom="0.4" header="0.2" footer="0.2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4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9" customWidth="1" min="20" max="20"/>
    <col width="10" customWidth="1" min="21" max="21"/>
  </cols>
  <sheetData>
    <row r="1">
      <c r="A1" s="1" t="inlineStr">
        <is>
          <t>Clipping: Cohen-Sutherland, Liang-Barsky, Sutherland-Hodgman (textbook worked example)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Worked textbook example (window and lines chosen for teaching). The code itself clips on the GPU (clip volume -w &lt;= x, y, z &lt;= w) and culls on the CPU with math/Frustum (6 planes, sphere test).</t>
        </is>
      </c>
    </row>
    <row r="5">
      <c r="A5" s="4" t="inlineStr">
        <is>
          <t>Window</t>
        </is>
      </c>
      <c r="B5" s="40" t="inlineStr">
        <is>
          <t>xmin</t>
        </is>
      </c>
      <c r="C5" s="8" t="n">
        <v>0</v>
      </c>
      <c r="D5" s="40" t="inlineStr">
        <is>
          <t>xmax</t>
        </is>
      </c>
      <c r="E5" s="8" t="n">
        <v>10</v>
      </c>
      <c r="F5" s="40" t="inlineStr">
        <is>
          <t>ymin</t>
        </is>
      </c>
      <c r="G5" s="8" t="n">
        <v>0</v>
      </c>
      <c r="H5" s="40" t="inlineStr">
        <is>
          <t>ymax</t>
        </is>
      </c>
      <c r="I5" s="8" t="n">
        <v>8</v>
      </c>
      <c r="K5" s="2" t="inlineStr">
        <is>
          <t>Outcode bits T B R L = (y &gt; ymax)(y &lt; ymin)(x &gt; xmax)(x &lt; xmin); code = 8T + 4B + 2R + L</t>
        </is>
      </c>
    </row>
    <row r="7">
      <c r="A7" s="10" t="inlineStr">
        <is>
          <t>1. Cohen-Sutherland outcodes</t>
        </is>
      </c>
    </row>
    <row r="8" ht="30" customHeight="1">
      <c r="A8" s="3" t="inlineStr">
        <is>
          <t>line</t>
        </is>
      </c>
      <c r="B8" s="3" t="inlineStr">
        <is>
          <t>x0</t>
        </is>
      </c>
      <c r="C8" s="3" t="inlineStr">
        <is>
          <t>y0</t>
        </is>
      </c>
      <c r="D8" s="3" t="inlineStr">
        <is>
          <t>x1</t>
        </is>
      </c>
      <c r="E8" s="3" t="inlineStr">
        <is>
          <t>y1</t>
        </is>
      </c>
      <c r="F8" s="3" t="inlineStr">
        <is>
          <t>T0</t>
        </is>
      </c>
      <c r="G8" s="3" t="inlineStr">
        <is>
          <t>B0</t>
        </is>
      </c>
      <c r="H8" s="3" t="inlineStr">
        <is>
          <t>R0</t>
        </is>
      </c>
      <c r="I8" s="3" t="inlineStr">
        <is>
          <t>L0</t>
        </is>
      </c>
      <c r="J8" s="3" t="inlineStr">
        <is>
          <t>code0</t>
        </is>
      </c>
      <c r="K8" s="3" t="inlineStr">
        <is>
          <t>T1</t>
        </is>
      </c>
      <c r="L8" s="3" t="inlineStr">
        <is>
          <t>B1</t>
        </is>
      </c>
      <c r="M8" s="3" t="inlineStr">
        <is>
          <t>R1</t>
        </is>
      </c>
      <c r="N8" s="3" t="inlineStr">
        <is>
          <t>L1</t>
        </is>
      </c>
      <c r="O8" s="3" t="inlineStr">
        <is>
          <t>code1</t>
        </is>
      </c>
      <c r="P8" s="3" t="inlineStr">
        <is>
          <t>bits 0</t>
        </is>
      </c>
      <c r="Q8" s="3" t="inlineStr">
        <is>
          <t>bits 1</t>
        </is>
      </c>
      <c r="R8" s="3" t="inlineStr">
        <is>
          <t>AND of codes</t>
        </is>
      </c>
      <c r="S8" s="3" t="inlineStr">
        <is>
          <t>decision</t>
        </is>
      </c>
    </row>
    <row r="9">
      <c r="A9" s="40" t="inlineStr">
        <is>
          <t>L1</t>
        </is>
      </c>
      <c r="B9" s="8" t="n">
        <v>2</v>
      </c>
      <c r="C9" s="8" t="n">
        <v>2</v>
      </c>
      <c r="D9" s="8" t="n">
        <v>8</v>
      </c>
      <c r="E9" s="8" t="n">
        <v>6</v>
      </c>
      <c r="F9" s="37">
        <f>IF(C9&gt;$I$5,1,0)</f>
        <v/>
      </c>
      <c r="G9" s="37">
        <f>IF(C9&lt;$G$5,1,0)</f>
        <v/>
      </c>
      <c r="H9" s="37">
        <f>IF(B9&gt;$E$5,1,0)</f>
        <v/>
      </c>
      <c r="I9" s="37">
        <f>IF(B9&lt;$C$5,1,0)</f>
        <v/>
      </c>
      <c r="J9" s="37">
        <f>8*F9+4*G9+2*H9+I9</f>
        <v/>
      </c>
      <c r="K9" s="37">
        <f>IF(E9&gt;$I$5,1,0)</f>
        <v/>
      </c>
      <c r="L9" s="37">
        <f>IF(E9&lt;$G$5,1,0)</f>
        <v/>
      </c>
      <c r="M9" s="37">
        <f>IF(D9&gt;$E$5,1,0)</f>
        <v/>
      </c>
      <c r="N9" s="37">
        <f>IF(D9&lt;$C$5,1,0)</f>
        <v/>
      </c>
      <c r="O9" s="37">
        <f>8*K9+4*L9+2*M9+N9</f>
        <v/>
      </c>
      <c r="P9" s="15">
        <f>F9&amp;G9&amp;H9&amp;I9</f>
        <v/>
      </c>
      <c r="Q9" s="15">
        <f>K9&amp;L9&amp;M9&amp;N9</f>
        <v/>
      </c>
      <c r="R9" s="37">
        <f>F9*K9+G9*L9+H9*M9+I9*N9</f>
        <v/>
      </c>
      <c r="S9" s="20">
        <f>IF(J9+O9=0,"accept (both inside)",IF(R9&gt;0,"reject (same side)","clip (subdivide)"))</f>
        <v/>
      </c>
      <c r="T9" s="11" t="n"/>
      <c r="U9" s="12" t="n"/>
    </row>
    <row r="10">
      <c r="A10" s="40" t="inlineStr">
        <is>
          <t>L2</t>
        </is>
      </c>
      <c r="B10" s="8" t="n">
        <v>-2</v>
      </c>
      <c r="C10" s="8" t="n">
        <v>-1</v>
      </c>
      <c r="D10" s="8" t="n">
        <v>-1</v>
      </c>
      <c r="E10" s="8" t="n">
        <v>9</v>
      </c>
      <c r="F10" s="37">
        <f>IF(C10&gt;$I$5,1,0)</f>
        <v/>
      </c>
      <c r="G10" s="37">
        <f>IF(C10&lt;$G$5,1,0)</f>
        <v/>
      </c>
      <c r="H10" s="37">
        <f>IF(B10&gt;$E$5,1,0)</f>
        <v/>
      </c>
      <c r="I10" s="37">
        <f>IF(B10&lt;$C$5,1,0)</f>
        <v/>
      </c>
      <c r="J10" s="37">
        <f>8*F10+4*G10+2*H10+I10</f>
        <v/>
      </c>
      <c r="K10" s="37">
        <f>IF(E10&gt;$I$5,1,0)</f>
        <v/>
      </c>
      <c r="L10" s="37">
        <f>IF(E10&lt;$G$5,1,0)</f>
        <v/>
      </c>
      <c r="M10" s="37">
        <f>IF(D10&gt;$E$5,1,0)</f>
        <v/>
      </c>
      <c r="N10" s="37">
        <f>IF(D10&lt;$C$5,1,0)</f>
        <v/>
      </c>
      <c r="O10" s="37">
        <f>8*K10+4*L10+2*M10+N10</f>
        <v/>
      </c>
      <c r="P10" s="15">
        <f>F10&amp;G10&amp;H10&amp;I10</f>
        <v/>
      </c>
      <c r="Q10" s="15">
        <f>K10&amp;L10&amp;M10&amp;N10</f>
        <v/>
      </c>
      <c r="R10" s="37">
        <f>F10*K10+G10*L10+H10*M10+I10*N10</f>
        <v/>
      </c>
      <c r="S10" s="20">
        <f>IF(J10+O10=0,"accept (both inside)",IF(R10&gt;0,"reject (same side)","clip (subdivide)"))</f>
        <v/>
      </c>
      <c r="T10" s="11" t="n"/>
      <c r="U10" s="12" t="n"/>
    </row>
    <row r="11">
      <c r="A11" s="40" t="inlineStr">
        <is>
          <t>L3</t>
        </is>
      </c>
      <c r="B11" s="8" t="n">
        <v>-3</v>
      </c>
      <c r="C11" s="8" t="n">
        <v>4</v>
      </c>
      <c r="D11" s="8" t="n">
        <v>6</v>
      </c>
      <c r="E11" s="8" t="n">
        <v>12</v>
      </c>
      <c r="F11" s="37">
        <f>IF(C11&gt;$I$5,1,0)</f>
        <v/>
      </c>
      <c r="G11" s="37">
        <f>IF(C11&lt;$G$5,1,0)</f>
        <v/>
      </c>
      <c r="H11" s="37">
        <f>IF(B11&gt;$E$5,1,0)</f>
        <v/>
      </c>
      <c r="I11" s="37">
        <f>IF(B11&lt;$C$5,1,0)</f>
        <v/>
      </c>
      <c r="J11" s="37">
        <f>8*F11+4*G11+2*H11+I11</f>
        <v/>
      </c>
      <c r="K11" s="37">
        <f>IF(E11&gt;$I$5,1,0)</f>
        <v/>
      </c>
      <c r="L11" s="37">
        <f>IF(E11&lt;$G$5,1,0)</f>
        <v/>
      </c>
      <c r="M11" s="37">
        <f>IF(D11&gt;$E$5,1,0)</f>
        <v/>
      </c>
      <c r="N11" s="37">
        <f>IF(D11&lt;$C$5,1,0)</f>
        <v/>
      </c>
      <c r="O11" s="37">
        <f>8*K11+4*L11+2*M11+N11</f>
        <v/>
      </c>
      <c r="P11" s="15">
        <f>F11&amp;G11&amp;H11&amp;I11</f>
        <v/>
      </c>
      <c r="Q11" s="15">
        <f>K11&amp;L11&amp;M11&amp;N11</f>
        <v/>
      </c>
      <c r="R11" s="37">
        <f>F11*K11+G11*L11+H11*M11+I11*N11</f>
        <v/>
      </c>
      <c r="S11" s="20">
        <f>IF(J11+O11=0,"accept (both inside)",IF(R11&gt;0,"reject (same side)","clip (subdivide)"))</f>
        <v/>
      </c>
      <c r="T11" s="11" t="n"/>
      <c r="U11" s="12" t="n"/>
    </row>
    <row r="12">
      <c r="A12" s="40" t="inlineStr">
        <is>
          <t>L4</t>
        </is>
      </c>
      <c r="B12" s="8" t="n">
        <v>-2</v>
      </c>
      <c r="C12" s="8" t="n">
        <v>3</v>
      </c>
      <c r="D12" s="8" t="n">
        <v>12</v>
      </c>
      <c r="E12" s="8" t="n">
        <v>5</v>
      </c>
      <c r="F12" s="37">
        <f>IF(C12&gt;$I$5,1,0)</f>
        <v/>
      </c>
      <c r="G12" s="37">
        <f>IF(C12&lt;$G$5,1,0)</f>
        <v/>
      </c>
      <c r="H12" s="37">
        <f>IF(B12&gt;$E$5,1,0)</f>
        <v/>
      </c>
      <c r="I12" s="37">
        <f>IF(B12&lt;$C$5,1,0)</f>
        <v/>
      </c>
      <c r="J12" s="37">
        <f>8*F12+4*G12+2*H12+I12</f>
        <v/>
      </c>
      <c r="K12" s="37">
        <f>IF(E12&gt;$I$5,1,0)</f>
        <v/>
      </c>
      <c r="L12" s="37">
        <f>IF(E12&lt;$G$5,1,0)</f>
        <v/>
      </c>
      <c r="M12" s="37">
        <f>IF(D12&gt;$E$5,1,0)</f>
        <v/>
      </c>
      <c r="N12" s="37">
        <f>IF(D12&lt;$C$5,1,0)</f>
        <v/>
      </c>
      <c r="O12" s="37">
        <f>8*K12+4*L12+2*M12+N12</f>
        <v/>
      </c>
      <c r="P12" s="15">
        <f>F12&amp;G12&amp;H12&amp;I12</f>
        <v/>
      </c>
      <c r="Q12" s="15">
        <f>K12&amp;L12&amp;M12&amp;N12</f>
        <v/>
      </c>
      <c r="R12" s="37">
        <f>F12*K12+G12*L12+H12*M12+I12*N12</f>
        <v/>
      </c>
      <c r="S12" s="20">
        <f>IF(J12+O12=0,"accept (both inside)",IF(R12&gt;0,"reject (same side)","clip (subdivide)"))</f>
        <v/>
      </c>
      <c r="T12" s="11" t="n"/>
      <c r="U12" s="12" t="n"/>
    </row>
    <row r="14">
      <c r="A14" s="10" t="inlineStr">
        <is>
          <t>2. Liang-Barsky: x = x0 + t dx, y = y0 + t dy; p1 = -dx, q1 = x0 - xmin; p2 = dx, q2 = xmax - x0; p3 = -dy, q3 = y0 - ymin; p4 = dy, q4 = ymax - y0</t>
        </is>
      </c>
    </row>
    <row r="15" ht="44" customHeight="1">
      <c r="A15" s="3" t="inlineStr">
        <is>
          <t>line</t>
        </is>
      </c>
      <c r="B15" s="3" t="inlineStr">
        <is>
          <t>dx</t>
        </is>
      </c>
      <c r="C15" s="3" t="inlineStr">
        <is>
          <t>dy</t>
        </is>
      </c>
      <c r="D15" s="3" t="inlineStr">
        <is>
          <t>p1</t>
        </is>
      </c>
      <c r="E15" s="3" t="inlineStr">
        <is>
          <t>p2</t>
        </is>
      </c>
      <c r="F15" s="3" t="inlineStr">
        <is>
          <t>p3</t>
        </is>
      </c>
      <c r="G15" s="3" t="inlineStr">
        <is>
          <t>p4</t>
        </is>
      </c>
      <c r="H15" s="3" t="inlineStr">
        <is>
          <t>q1</t>
        </is>
      </c>
      <c r="I15" s="3" t="inlineStr">
        <is>
          <t>q2</t>
        </is>
      </c>
      <c r="J15" s="3" t="inlineStr">
        <is>
          <t>q3</t>
        </is>
      </c>
      <c r="K15" s="3" t="inlineStr">
        <is>
          <t>q4</t>
        </is>
      </c>
      <c r="L15" s="3" t="inlineStr">
        <is>
          <t>t enter = max(0, q/p, p&lt;0)</t>
        </is>
      </c>
      <c r="M15" s="3" t="inlineStr">
        <is>
          <t>t exit = min(1, q/p, p&gt;0)</t>
        </is>
      </c>
      <c r="N15" s="3" t="inlineStr">
        <is>
          <t>parallel outside</t>
        </is>
      </c>
      <c r="O15" s="3" t="inlineStr">
        <is>
          <t>visible</t>
        </is>
      </c>
      <c r="P15" s="3" t="inlineStr">
        <is>
          <t>x0'</t>
        </is>
      </c>
      <c r="Q15" s="3" t="inlineStr">
        <is>
          <t>y0'</t>
        </is>
      </c>
      <c r="R15" s="3" t="inlineStr">
        <is>
          <t>x1'</t>
        </is>
      </c>
      <c r="S15" s="3" t="inlineStr">
        <is>
          <t>y1'</t>
        </is>
      </c>
    </row>
    <row r="16">
      <c r="A16" s="45">
        <f>A9</f>
        <v/>
      </c>
      <c r="B16" s="7">
        <f>D9-B9</f>
        <v/>
      </c>
      <c r="C16" s="7">
        <f>E9-C9</f>
        <v/>
      </c>
      <c r="D16" s="7">
        <f>-B16</f>
        <v/>
      </c>
      <c r="E16" s="7">
        <f>B16</f>
        <v/>
      </c>
      <c r="F16" s="7">
        <f>-C16</f>
        <v/>
      </c>
      <c r="G16" s="7">
        <f>C16</f>
        <v/>
      </c>
      <c r="H16" s="7">
        <f>B9-$C$5</f>
        <v/>
      </c>
      <c r="I16" s="7">
        <f>$E$5-B9</f>
        <v/>
      </c>
      <c r="J16" s="7">
        <f>C9-$G$5</f>
        <v/>
      </c>
      <c r="K16" s="7">
        <f>$I$5-C9</f>
        <v/>
      </c>
      <c r="L16" s="20">
        <f>MAX(0,IF(D16&lt;0,H16/D16,0),IF(E16&lt;0,I16/E16,0),IF(F16&lt;0,J16/F16,0),IF(G16&lt;0,K16/G16,0))</f>
        <v/>
      </c>
      <c r="M16" s="20">
        <f>MIN(1,IF(D16&gt;0,H16/D16,1),IF(E16&gt;0,I16/E16,1),IF(F16&gt;0,J16/F16,1),IF(G16&gt;0,K16/G16,1))</f>
        <v/>
      </c>
      <c r="N16" s="15">
        <f>IF(OR(AND(D16=0,H16&lt;0),AND(E16=0,I16&lt;0),AND(F16=0,J16&lt;0),AND(G16=0,K16&lt;0)),"yes","no")</f>
        <v/>
      </c>
      <c r="O16" s="15">
        <f>IF(AND(N16="no",L16&lt;=M16),"yes","no")</f>
        <v/>
      </c>
      <c r="P16" s="20">
        <f>IF(O16="yes",B9+L16*B16,"-")</f>
        <v/>
      </c>
      <c r="Q16" s="20">
        <f>IF(O16="yes",C9+L16*C16,"-")</f>
        <v/>
      </c>
      <c r="R16" s="20">
        <f>IF(O16="yes",B9+M16*B16,"-")</f>
        <v/>
      </c>
      <c r="S16" s="20">
        <f>IF(O16="yes",C9+M16*C16,"-")</f>
        <v/>
      </c>
    </row>
    <row r="17">
      <c r="A17" s="45">
        <f>A10</f>
        <v/>
      </c>
      <c r="B17" s="7">
        <f>D10-B10</f>
        <v/>
      </c>
      <c r="C17" s="7">
        <f>E10-C10</f>
        <v/>
      </c>
      <c r="D17" s="7">
        <f>-B17</f>
        <v/>
      </c>
      <c r="E17" s="7">
        <f>B17</f>
        <v/>
      </c>
      <c r="F17" s="7">
        <f>-C17</f>
        <v/>
      </c>
      <c r="G17" s="7">
        <f>C17</f>
        <v/>
      </c>
      <c r="H17" s="7">
        <f>B10-$C$5</f>
        <v/>
      </c>
      <c r="I17" s="7">
        <f>$E$5-B10</f>
        <v/>
      </c>
      <c r="J17" s="7">
        <f>C10-$G$5</f>
        <v/>
      </c>
      <c r="K17" s="7">
        <f>$I$5-C10</f>
        <v/>
      </c>
      <c r="L17" s="20">
        <f>MAX(0,IF(D17&lt;0,H17/D17,0),IF(E17&lt;0,I17/E17,0),IF(F17&lt;0,J17/F17,0),IF(G17&lt;0,K17/G17,0))</f>
        <v/>
      </c>
      <c r="M17" s="20">
        <f>MIN(1,IF(D17&gt;0,H17/D17,1),IF(E17&gt;0,I17/E17,1),IF(F17&gt;0,J17/F17,1),IF(G17&gt;0,K17/G17,1))</f>
        <v/>
      </c>
      <c r="N17" s="15">
        <f>IF(OR(AND(D17=0,H17&lt;0),AND(E17=0,I17&lt;0),AND(F17=0,J17&lt;0),AND(G17=0,K17&lt;0)),"yes","no")</f>
        <v/>
      </c>
      <c r="O17" s="15">
        <f>IF(AND(N17="no",L17&lt;=M17),"yes","no")</f>
        <v/>
      </c>
      <c r="P17" s="20">
        <f>IF(O17="yes",B10+L17*B17,"-")</f>
        <v/>
      </c>
      <c r="Q17" s="20">
        <f>IF(O17="yes",C10+L17*C17,"-")</f>
        <v/>
      </c>
      <c r="R17" s="20">
        <f>IF(O17="yes",B10+M17*B17,"-")</f>
        <v/>
      </c>
      <c r="S17" s="20">
        <f>IF(O17="yes",C10+M17*C17,"-")</f>
        <v/>
      </c>
    </row>
    <row r="18">
      <c r="A18" s="45">
        <f>A11</f>
        <v/>
      </c>
      <c r="B18" s="7">
        <f>D11-B11</f>
        <v/>
      </c>
      <c r="C18" s="7">
        <f>E11-C11</f>
        <v/>
      </c>
      <c r="D18" s="7">
        <f>-B18</f>
        <v/>
      </c>
      <c r="E18" s="7">
        <f>B18</f>
        <v/>
      </c>
      <c r="F18" s="7">
        <f>-C18</f>
        <v/>
      </c>
      <c r="G18" s="7">
        <f>C18</f>
        <v/>
      </c>
      <c r="H18" s="7">
        <f>B11-$C$5</f>
        <v/>
      </c>
      <c r="I18" s="7">
        <f>$E$5-B11</f>
        <v/>
      </c>
      <c r="J18" s="7">
        <f>C11-$G$5</f>
        <v/>
      </c>
      <c r="K18" s="7">
        <f>$I$5-C11</f>
        <v/>
      </c>
      <c r="L18" s="20">
        <f>MAX(0,IF(D18&lt;0,H18/D18,0),IF(E18&lt;0,I18/E18,0),IF(F18&lt;0,J18/F18,0),IF(G18&lt;0,K18/G18,0))</f>
        <v/>
      </c>
      <c r="M18" s="20">
        <f>MIN(1,IF(D18&gt;0,H18/D18,1),IF(E18&gt;0,I18/E18,1),IF(F18&gt;0,J18/F18,1),IF(G18&gt;0,K18/G18,1))</f>
        <v/>
      </c>
      <c r="N18" s="15">
        <f>IF(OR(AND(D18=0,H18&lt;0),AND(E18=0,I18&lt;0),AND(F18=0,J18&lt;0),AND(G18=0,K18&lt;0)),"yes","no")</f>
        <v/>
      </c>
      <c r="O18" s="15">
        <f>IF(AND(N18="no",L18&lt;=M18),"yes","no")</f>
        <v/>
      </c>
      <c r="P18" s="20">
        <f>IF(O18="yes",B11+L18*B18,"-")</f>
        <v/>
      </c>
      <c r="Q18" s="20">
        <f>IF(O18="yes",C11+L18*C18,"-")</f>
        <v/>
      </c>
      <c r="R18" s="20">
        <f>IF(O18="yes",B11+M18*B18,"-")</f>
        <v/>
      </c>
      <c r="S18" s="20">
        <f>IF(O18="yes",C11+M18*C18,"-")</f>
        <v/>
      </c>
    </row>
    <row r="19">
      <c r="A19" s="45">
        <f>A12</f>
        <v/>
      </c>
      <c r="B19" s="7">
        <f>D12-B12</f>
        <v/>
      </c>
      <c r="C19" s="7">
        <f>E12-C12</f>
        <v/>
      </c>
      <c r="D19" s="7">
        <f>-B19</f>
        <v/>
      </c>
      <c r="E19" s="7">
        <f>B19</f>
        <v/>
      </c>
      <c r="F19" s="7">
        <f>-C19</f>
        <v/>
      </c>
      <c r="G19" s="7">
        <f>C19</f>
        <v/>
      </c>
      <c r="H19" s="7">
        <f>B12-$C$5</f>
        <v/>
      </c>
      <c r="I19" s="7">
        <f>$E$5-B12</f>
        <v/>
      </c>
      <c r="J19" s="7">
        <f>C12-$G$5</f>
        <v/>
      </c>
      <c r="K19" s="7">
        <f>$I$5-C12</f>
        <v/>
      </c>
      <c r="L19" s="20">
        <f>MAX(0,IF(D19&lt;0,H19/D19,0),IF(E19&lt;0,I19/E19,0),IF(F19&lt;0,J19/F19,0),IF(G19&lt;0,K19/G19,0))</f>
        <v/>
      </c>
      <c r="M19" s="20">
        <f>MIN(1,IF(D19&gt;0,H19/D19,1),IF(E19&gt;0,I19/E19,1),IF(F19&gt;0,J19/F19,1),IF(G19&gt;0,K19/G19,1))</f>
        <v/>
      </c>
      <c r="N19" s="15">
        <f>IF(OR(AND(D19=0,H19&lt;0),AND(E19=0,I19&lt;0),AND(F19=0,J19&lt;0),AND(G19=0,K19&lt;0)),"yes","no")</f>
        <v/>
      </c>
      <c r="O19" s="15">
        <f>IF(AND(N19="no",L19&lt;=M19),"yes","no")</f>
        <v/>
      </c>
      <c r="P19" s="20">
        <f>IF(O19="yes",B12+L19*B19,"-")</f>
        <v/>
      </c>
      <c r="Q19" s="20">
        <f>IF(O19="yes",C12+L19*C19,"-")</f>
        <v/>
      </c>
      <c r="R19" s="20">
        <f>IF(O19="yes",B12+M19*B19,"-")</f>
        <v/>
      </c>
      <c r="S19" s="20">
        <f>IF(O19="yes",C12+M19*C19,"-")</f>
        <v/>
      </c>
    </row>
    <row r="21">
      <c r="A21" s="10" t="inlineStr">
        <is>
          <t>3. Sutherland-Hodgman: triangle clipped against the 4 window edges in turn (output list -&gt; next stage input)</t>
        </is>
      </c>
    </row>
    <row r="22">
      <c r="A22" s="4" t="inlineStr">
        <is>
          <t>Triangle</t>
        </is>
      </c>
      <c r="B22" s="40" t="inlineStr">
        <is>
          <t>A</t>
        </is>
      </c>
      <c r="C22" s="8" t="n">
        <v>-2</v>
      </c>
      <c r="D22" s="8" t="n">
        <v>3</v>
      </c>
      <c r="E22" s="40" t="inlineStr">
        <is>
          <t>B</t>
        </is>
      </c>
      <c r="F22" s="8" t="n">
        <v>7</v>
      </c>
      <c r="G22" s="8" t="n">
        <v>-2</v>
      </c>
      <c r="H22" s="40" t="inlineStr">
        <is>
          <t>C</t>
        </is>
      </c>
      <c r="I22" s="8" t="n">
        <v>12</v>
      </c>
      <c r="J22" s="8" t="n">
        <v>10</v>
      </c>
    </row>
    <row r="23">
      <c r="A23" s="10" t="inlineStr">
        <is>
          <t>Stage 1: left x &gt;= xmin</t>
        </is>
      </c>
      <c r="L23" s="10" t="inlineStr">
        <is>
          <t>Stage 2: right x &lt;= xmax</t>
        </is>
      </c>
    </row>
    <row r="24" ht="18" customHeight="1">
      <c r="A24" s="3" t="inlineStr">
        <is>
          <t>edge</t>
        </is>
      </c>
      <c r="B24" s="3" t="inlineStr">
        <is>
          <t>Sx</t>
        </is>
      </c>
      <c r="C24" s="3" t="inlineStr">
        <is>
          <t>Sy</t>
        </is>
      </c>
      <c r="D24" s="3" t="inlineStr">
        <is>
          <t>Px</t>
        </is>
      </c>
      <c r="E24" s="3" t="inlineStr">
        <is>
          <t>Py</t>
        </is>
      </c>
      <c r="F24" s="3" t="inlineStr">
        <is>
          <t>S in</t>
        </is>
      </c>
      <c r="G24" s="3" t="inlineStr">
        <is>
          <t>P in</t>
        </is>
      </c>
      <c r="H24" s="3" t="inlineStr">
        <is>
          <t>Ix</t>
        </is>
      </c>
      <c r="I24" s="3" t="inlineStr">
        <is>
          <t>Iy</t>
        </is>
      </c>
      <c r="J24" s="3" t="inlineStr">
        <is>
          <t>output</t>
        </is>
      </c>
      <c r="L24" s="3" t="inlineStr">
        <is>
          <t>edge</t>
        </is>
      </c>
      <c r="M24" s="3" t="inlineStr">
        <is>
          <t>Sx</t>
        </is>
      </c>
      <c r="N24" s="3" t="inlineStr">
        <is>
          <t>Sy</t>
        </is>
      </c>
      <c r="O24" s="3" t="inlineStr">
        <is>
          <t>Px</t>
        </is>
      </c>
      <c r="P24" s="3" t="inlineStr">
        <is>
          <t>Py</t>
        </is>
      </c>
      <c r="Q24" s="3" t="inlineStr">
        <is>
          <t>S in</t>
        </is>
      </c>
      <c r="R24" s="3" t="inlineStr">
        <is>
          <t>P in</t>
        </is>
      </c>
      <c r="S24" s="3" t="inlineStr">
        <is>
          <t>Ix</t>
        </is>
      </c>
      <c r="T24" s="3" t="inlineStr">
        <is>
          <t>Iy</t>
        </is>
      </c>
      <c r="U24" s="3" t="inlineStr">
        <is>
          <t>output</t>
        </is>
      </c>
    </row>
    <row r="25">
      <c r="A25" s="6" t="inlineStr">
        <is>
          <t>1-2</t>
        </is>
      </c>
      <c r="B25" s="20">
        <f>C22</f>
        <v/>
      </c>
      <c r="C25" s="20">
        <f>D22</f>
        <v/>
      </c>
      <c r="D25" s="20">
        <f>F22</f>
        <v/>
      </c>
      <c r="E25" s="20">
        <f>G22</f>
        <v/>
      </c>
      <c r="F25" s="37">
        <f>IF(B25&gt;=$C$5,1,0)</f>
        <v/>
      </c>
      <c r="G25" s="37">
        <f>IF(D25&gt;=$C$5,1,0)</f>
        <v/>
      </c>
      <c r="H25" s="20">
        <f>IF(F25&lt;&gt;G25,$C$5,"-")</f>
        <v/>
      </c>
      <c r="I25" s="20">
        <f>IF(F25&lt;&gt;G25,C25+($C$5-B25)*(E25-C25)/(D25-B25),"-")</f>
        <v/>
      </c>
      <c r="J25" s="15">
        <f>IF(F25+G25=2,"P",IF(G25=1,"I, P",IF(F25=1,"I","none")))</f>
        <v/>
      </c>
      <c r="L25" s="6" t="inlineStr">
        <is>
          <t>1-2</t>
        </is>
      </c>
      <c r="M25" s="20">
        <f>H25</f>
        <v/>
      </c>
      <c r="N25" s="20">
        <f>I25</f>
        <v/>
      </c>
      <c r="O25" s="20">
        <f>D25</f>
        <v/>
      </c>
      <c r="P25" s="20">
        <f>E25</f>
        <v/>
      </c>
      <c r="Q25" s="37">
        <f>IF(M25&lt;=$E$5,1,0)</f>
        <v/>
      </c>
      <c r="R25" s="37">
        <f>IF(O25&lt;=$E$5,1,0)</f>
        <v/>
      </c>
      <c r="S25" s="20">
        <f>IF(Q25&lt;&gt;R25,$E$5,"-")</f>
        <v/>
      </c>
      <c r="T25" s="20">
        <f>IF(Q25&lt;&gt;R25,N25+($E$5-M25)*(P25-N25)/(O25-M25),"-")</f>
        <v/>
      </c>
      <c r="U25" s="15">
        <f>IF(Q25+R25=2,"P",IF(R25=1,"I, P",IF(Q25=1,"I","none")))</f>
        <v/>
      </c>
    </row>
    <row r="26">
      <c r="A26" s="6" t="inlineStr">
        <is>
          <t>2-3</t>
        </is>
      </c>
      <c r="B26" s="20">
        <f>F22</f>
        <v/>
      </c>
      <c r="C26" s="20">
        <f>G22</f>
        <v/>
      </c>
      <c r="D26" s="20">
        <f>I22</f>
        <v/>
      </c>
      <c r="E26" s="20">
        <f>J22</f>
        <v/>
      </c>
      <c r="F26" s="37">
        <f>IF(B26&gt;=$C$5,1,0)</f>
        <v/>
      </c>
      <c r="G26" s="37">
        <f>IF(D26&gt;=$C$5,1,0)</f>
        <v/>
      </c>
      <c r="H26" s="20">
        <f>IF(F26&lt;&gt;G26,$C$5,"-")</f>
        <v/>
      </c>
      <c r="I26" s="20">
        <f>IF(F26&lt;&gt;G26,C26+($C$5-B26)*(E26-C26)/(D26-B26),"-")</f>
        <v/>
      </c>
      <c r="J26" s="15">
        <f>IF(F26+G26=2,"P",IF(G26=1,"I, P",IF(F26=1,"I","none")))</f>
        <v/>
      </c>
      <c r="L26" s="6" t="inlineStr">
        <is>
          <t>2-3</t>
        </is>
      </c>
      <c r="M26" s="20">
        <f>D25</f>
        <v/>
      </c>
      <c r="N26" s="20">
        <f>E25</f>
        <v/>
      </c>
      <c r="O26" s="20">
        <f>D26</f>
        <v/>
      </c>
      <c r="P26" s="20">
        <f>E26</f>
        <v/>
      </c>
      <c r="Q26" s="37">
        <f>IF(M26&lt;=$E$5,1,0)</f>
        <v/>
      </c>
      <c r="R26" s="37">
        <f>IF(O26&lt;=$E$5,1,0)</f>
        <v/>
      </c>
      <c r="S26" s="20">
        <f>IF(Q26&lt;&gt;R26,$E$5,"-")</f>
        <v/>
      </c>
      <c r="T26" s="20">
        <f>IF(Q26&lt;&gt;R26,N26+($E$5-M26)*(P26-N26)/(O26-M26),"-")</f>
        <v/>
      </c>
      <c r="U26" s="15">
        <f>IF(Q26+R26=2,"P",IF(R26=1,"I, P",IF(Q26=1,"I","none")))</f>
        <v/>
      </c>
    </row>
    <row r="27">
      <c r="A27" s="6" t="inlineStr">
        <is>
          <t>3-1</t>
        </is>
      </c>
      <c r="B27" s="20">
        <f>I22</f>
        <v/>
      </c>
      <c r="C27" s="20">
        <f>J22</f>
        <v/>
      </c>
      <c r="D27" s="20">
        <f>C22</f>
        <v/>
      </c>
      <c r="E27" s="20">
        <f>D22</f>
        <v/>
      </c>
      <c r="F27" s="37">
        <f>IF(B27&gt;=$C$5,1,0)</f>
        <v/>
      </c>
      <c r="G27" s="37">
        <f>IF(D27&gt;=$C$5,1,0)</f>
        <v/>
      </c>
      <c r="H27" s="20">
        <f>IF(F27&lt;&gt;G27,$C$5,"-")</f>
        <v/>
      </c>
      <c r="I27" s="20">
        <f>IF(F27&lt;&gt;G27,C27+($C$5-B27)*(E27-C27)/(D27-B27),"-")</f>
        <v/>
      </c>
      <c r="J27" s="15">
        <f>IF(F27+G27=2,"P",IF(G27=1,"I, P",IF(F27=1,"I","none")))</f>
        <v/>
      </c>
      <c r="L27" s="6" t="inlineStr">
        <is>
          <t>3-4</t>
        </is>
      </c>
      <c r="M27" s="20">
        <f>D26</f>
        <v/>
      </c>
      <c r="N27" s="20">
        <f>E26</f>
        <v/>
      </c>
      <c r="O27" s="20">
        <f>H27</f>
        <v/>
      </c>
      <c r="P27" s="20">
        <f>I27</f>
        <v/>
      </c>
      <c r="Q27" s="37">
        <f>IF(M27&lt;=$E$5,1,0)</f>
        <v/>
      </c>
      <c r="R27" s="37">
        <f>IF(O27&lt;=$E$5,1,0)</f>
        <v/>
      </c>
      <c r="S27" s="20">
        <f>IF(Q27&lt;&gt;R27,$E$5,"-")</f>
        <v/>
      </c>
      <c r="T27" s="20">
        <f>IF(Q27&lt;&gt;R27,N27+($E$5-M27)*(P27-N27)/(O27-M27),"-")</f>
        <v/>
      </c>
      <c r="U27" s="15">
        <f>IF(Q27+R27=2,"P",IF(R27=1,"I, P",IF(Q27=1,"I","none")))</f>
        <v/>
      </c>
    </row>
    <row r="28">
      <c r="A28" s="40" t="inlineStr">
        <is>
          <t>out</t>
        </is>
      </c>
      <c r="B28" s="20">
        <f>"("&amp;ROUND(H25,2)&amp;", "&amp;ROUND(I25,2)&amp;")"&amp;" "&amp;"("&amp;ROUND(D25,2)&amp;", "&amp;ROUND(E25,2)&amp;")"&amp;" "&amp;"("&amp;ROUND(D26,2)&amp;", "&amp;ROUND(E26,2)&amp;")"&amp;" "&amp;"("&amp;ROUND(H27,2)&amp;", "&amp;ROUND(I27,2)&amp;")"</f>
        <v/>
      </c>
      <c r="C28" s="11" t="n"/>
      <c r="D28" s="11" t="n"/>
      <c r="E28" s="11" t="n"/>
      <c r="F28" s="11" t="n"/>
      <c r="G28" s="11" t="n"/>
      <c r="H28" s="11" t="n"/>
      <c r="I28" s="11" t="n"/>
      <c r="J28" s="12" t="n"/>
      <c r="L28" s="6" t="inlineStr">
        <is>
          <t>4-1</t>
        </is>
      </c>
      <c r="M28" s="20">
        <f>H27</f>
        <v/>
      </c>
      <c r="N28" s="20">
        <f>I27</f>
        <v/>
      </c>
      <c r="O28" s="20">
        <f>H25</f>
        <v/>
      </c>
      <c r="P28" s="20">
        <f>I25</f>
        <v/>
      </c>
      <c r="Q28" s="37">
        <f>IF(M28&lt;=$E$5,1,0)</f>
        <v/>
      </c>
      <c r="R28" s="37">
        <f>IF(O28&lt;=$E$5,1,0)</f>
        <v/>
      </c>
      <c r="S28" s="20">
        <f>IF(Q28&lt;&gt;R28,$E$5,"-")</f>
        <v/>
      </c>
      <c r="T28" s="20">
        <f>IF(Q28&lt;&gt;R28,N28+($E$5-M28)*(P28-N28)/(O28-M28),"-")</f>
        <v/>
      </c>
      <c r="U28" s="15">
        <f>IF(Q28+R28=2,"P",IF(R28=1,"I, P",IF(Q28=1,"I","none")))</f>
        <v/>
      </c>
    </row>
    <row r="29">
      <c r="A29" s="2" t="inlineStr">
        <is>
          <t>4 vertices</t>
        </is>
      </c>
      <c r="L29" s="40" t="inlineStr">
        <is>
          <t>out</t>
        </is>
      </c>
      <c r="M29" s="20">
        <f>"("&amp;ROUND(O25,2)&amp;", "&amp;ROUND(P25,2)&amp;")"&amp;" "&amp;"("&amp;ROUND(S26,2)&amp;", "&amp;ROUND(T26,2)&amp;")"&amp;" "&amp;"("&amp;ROUND(S27,2)&amp;", "&amp;ROUND(T27,2)&amp;")"&amp;" "&amp;"("&amp;ROUND(O27,2)&amp;", "&amp;ROUND(P27,2)&amp;")"&amp;" "&amp;"("&amp;ROUND(O28,2)&amp;", "&amp;ROUND(P28,2)&amp;")"</f>
        <v/>
      </c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L30" s="2" t="inlineStr">
        <is>
          <t>5 vertices</t>
        </is>
      </c>
    </row>
    <row r="32">
      <c r="A32" s="10" t="inlineStr">
        <is>
          <t>Stage 3: bottom y &gt;= ymin</t>
        </is>
      </c>
      <c r="L32" s="10" t="inlineStr">
        <is>
          <t>Stage 4: top y &lt;= ymax</t>
        </is>
      </c>
    </row>
    <row r="33" ht="18" customHeight="1">
      <c r="A33" s="3" t="inlineStr">
        <is>
          <t>edge</t>
        </is>
      </c>
      <c r="B33" s="3" t="inlineStr">
        <is>
          <t>Sx</t>
        </is>
      </c>
      <c r="C33" s="3" t="inlineStr">
        <is>
          <t>Sy</t>
        </is>
      </c>
      <c r="D33" s="3" t="inlineStr">
        <is>
          <t>Px</t>
        </is>
      </c>
      <c r="E33" s="3" t="inlineStr">
        <is>
          <t>Py</t>
        </is>
      </c>
      <c r="F33" s="3" t="inlineStr">
        <is>
          <t>S in</t>
        </is>
      </c>
      <c r="G33" s="3" t="inlineStr">
        <is>
          <t>P in</t>
        </is>
      </c>
      <c r="H33" s="3" t="inlineStr">
        <is>
          <t>Ix</t>
        </is>
      </c>
      <c r="I33" s="3" t="inlineStr">
        <is>
          <t>Iy</t>
        </is>
      </c>
      <c r="J33" s="3" t="inlineStr">
        <is>
          <t>output</t>
        </is>
      </c>
      <c r="L33" s="3" t="inlineStr">
        <is>
          <t>edge</t>
        </is>
      </c>
      <c r="M33" s="3" t="inlineStr">
        <is>
          <t>Sx</t>
        </is>
      </c>
      <c r="N33" s="3" t="inlineStr">
        <is>
          <t>Sy</t>
        </is>
      </c>
      <c r="O33" s="3" t="inlineStr">
        <is>
          <t>Px</t>
        </is>
      </c>
      <c r="P33" s="3" t="inlineStr">
        <is>
          <t>Py</t>
        </is>
      </c>
      <c r="Q33" s="3" t="inlineStr">
        <is>
          <t>S in</t>
        </is>
      </c>
      <c r="R33" s="3" t="inlineStr">
        <is>
          <t>P in</t>
        </is>
      </c>
      <c r="S33" s="3" t="inlineStr">
        <is>
          <t>Ix</t>
        </is>
      </c>
      <c r="T33" s="3" t="inlineStr">
        <is>
          <t>Iy</t>
        </is>
      </c>
      <c r="U33" s="3" t="inlineStr">
        <is>
          <t>output</t>
        </is>
      </c>
    </row>
    <row r="34">
      <c r="A34" s="6" t="inlineStr">
        <is>
          <t>1-2</t>
        </is>
      </c>
      <c r="B34" s="20">
        <f>O25</f>
        <v/>
      </c>
      <c r="C34" s="20">
        <f>P25</f>
        <v/>
      </c>
      <c r="D34" s="20">
        <f>S26</f>
        <v/>
      </c>
      <c r="E34" s="20">
        <f>T26</f>
        <v/>
      </c>
      <c r="F34" s="37">
        <f>IF(C34&gt;=$G$5,1,0)</f>
        <v/>
      </c>
      <c r="G34" s="37">
        <f>IF(E34&gt;=$G$5,1,0)</f>
        <v/>
      </c>
      <c r="H34" s="20">
        <f>IF(F34&lt;&gt;G34,B34+($G$5-C34)*(D34-B34)/(E34-C34),"-")</f>
        <v/>
      </c>
      <c r="I34" s="20">
        <f>IF(F34&lt;&gt;G34,$G$5,"-")</f>
        <v/>
      </c>
      <c r="J34" s="15">
        <f>IF(F34+G34=2,"P",IF(G34=1,"I, P",IF(F34=1,"I","none")))</f>
        <v/>
      </c>
      <c r="L34" s="6" t="inlineStr">
        <is>
          <t>1-2</t>
        </is>
      </c>
      <c r="M34" s="20">
        <f>H34</f>
        <v/>
      </c>
      <c r="N34" s="20">
        <f>I34</f>
        <v/>
      </c>
      <c r="O34" s="20">
        <f>D34</f>
        <v/>
      </c>
      <c r="P34" s="20">
        <f>E34</f>
        <v/>
      </c>
      <c r="Q34" s="37">
        <f>IF(N34&lt;=$I$5,1,0)</f>
        <v/>
      </c>
      <c r="R34" s="37">
        <f>IF(P34&lt;=$I$5,1,0)</f>
        <v/>
      </c>
      <c r="S34" s="20">
        <f>IF(Q34&lt;&gt;R34,M34+($I$5-N34)*(O34-M34)/(P34-N34),"-")</f>
        <v/>
      </c>
      <c r="T34" s="20">
        <f>IF(Q34&lt;&gt;R34,$I$5,"-")</f>
        <v/>
      </c>
      <c r="U34" s="15">
        <f>IF(Q34+R34=2,"P",IF(R34=1,"I, P",IF(Q34=1,"I","none")))</f>
        <v/>
      </c>
    </row>
    <row r="35">
      <c r="A35" s="6" t="inlineStr">
        <is>
          <t>2-3</t>
        </is>
      </c>
      <c r="B35" s="20">
        <f>S26</f>
        <v/>
      </c>
      <c r="C35" s="20">
        <f>T26</f>
        <v/>
      </c>
      <c r="D35" s="20">
        <f>S27</f>
        <v/>
      </c>
      <c r="E35" s="20">
        <f>T27</f>
        <v/>
      </c>
      <c r="F35" s="37">
        <f>IF(C35&gt;=$G$5,1,0)</f>
        <v/>
      </c>
      <c r="G35" s="37">
        <f>IF(E35&gt;=$G$5,1,0)</f>
        <v/>
      </c>
      <c r="H35" s="20">
        <f>IF(F35&lt;&gt;G35,B35+($G$5-C35)*(D35-B35)/(E35-C35),"-")</f>
        <v/>
      </c>
      <c r="I35" s="20">
        <f>IF(F35&lt;&gt;G35,$G$5,"-")</f>
        <v/>
      </c>
      <c r="J35" s="15">
        <f>IF(F35+G35=2,"P",IF(G35=1,"I, P",IF(F35=1,"I","none")))</f>
        <v/>
      </c>
      <c r="L35" s="6" t="inlineStr">
        <is>
          <t>2-3</t>
        </is>
      </c>
      <c r="M35" s="20">
        <f>D34</f>
        <v/>
      </c>
      <c r="N35" s="20">
        <f>E34</f>
        <v/>
      </c>
      <c r="O35" s="20">
        <f>D35</f>
        <v/>
      </c>
      <c r="P35" s="20">
        <f>E35</f>
        <v/>
      </c>
      <c r="Q35" s="37">
        <f>IF(N35&lt;=$I$5,1,0)</f>
        <v/>
      </c>
      <c r="R35" s="37">
        <f>IF(P35&lt;=$I$5,1,0)</f>
        <v/>
      </c>
      <c r="S35" s="20">
        <f>IF(Q35&lt;&gt;R35,M35+($I$5-N35)*(O35-M35)/(P35-N35),"-")</f>
        <v/>
      </c>
      <c r="T35" s="20">
        <f>IF(Q35&lt;&gt;R35,$I$5,"-")</f>
        <v/>
      </c>
      <c r="U35" s="15">
        <f>IF(Q35+R35=2,"P",IF(R35=1,"I, P",IF(Q35=1,"I","none")))</f>
        <v/>
      </c>
    </row>
    <row r="36">
      <c r="A36" s="6" t="inlineStr">
        <is>
          <t>3-4</t>
        </is>
      </c>
      <c r="B36" s="20">
        <f>S27</f>
        <v/>
      </c>
      <c r="C36" s="20">
        <f>T27</f>
        <v/>
      </c>
      <c r="D36" s="20">
        <f>O27</f>
        <v/>
      </c>
      <c r="E36" s="20">
        <f>P27</f>
        <v/>
      </c>
      <c r="F36" s="37">
        <f>IF(C36&gt;=$G$5,1,0)</f>
        <v/>
      </c>
      <c r="G36" s="37">
        <f>IF(E36&gt;=$G$5,1,0)</f>
        <v/>
      </c>
      <c r="H36" s="20">
        <f>IF(F36&lt;&gt;G36,B36+($G$5-C36)*(D36-B36)/(E36-C36),"-")</f>
        <v/>
      </c>
      <c r="I36" s="20">
        <f>IF(F36&lt;&gt;G36,$G$5,"-")</f>
        <v/>
      </c>
      <c r="J36" s="15">
        <f>IF(F36+G36=2,"P",IF(G36=1,"I, P",IF(F36=1,"I","none")))</f>
        <v/>
      </c>
      <c r="L36" s="6" t="inlineStr">
        <is>
          <t>3-4</t>
        </is>
      </c>
      <c r="M36" s="20">
        <f>D35</f>
        <v/>
      </c>
      <c r="N36" s="20">
        <f>E35</f>
        <v/>
      </c>
      <c r="O36" s="20">
        <f>D36</f>
        <v/>
      </c>
      <c r="P36" s="20">
        <f>E36</f>
        <v/>
      </c>
      <c r="Q36" s="37">
        <f>IF(N36&lt;=$I$5,1,0)</f>
        <v/>
      </c>
      <c r="R36" s="37">
        <f>IF(P36&lt;=$I$5,1,0)</f>
        <v/>
      </c>
      <c r="S36" s="20">
        <f>IF(Q36&lt;&gt;R36,M36+($I$5-N36)*(O36-M36)/(P36-N36),"-")</f>
        <v/>
      </c>
      <c r="T36" s="20">
        <f>IF(Q36&lt;&gt;R36,$I$5,"-")</f>
        <v/>
      </c>
      <c r="U36" s="15">
        <f>IF(Q36+R36=2,"P",IF(R36=1,"I, P",IF(Q36=1,"I","none")))</f>
        <v/>
      </c>
    </row>
    <row r="37">
      <c r="A37" s="6" t="inlineStr">
        <is>
          <t>4-5</t>
        </is>
      </c>
      <c r="B37" s="20">
        <f>O27</f>
        <v/>
      </c>
      <c r="C37" s="20">
        <f>P27</f>
        <v/>
      </c>
      <c r="D37" s="20">
        <f>O28</f>
        <v/>
      </c>
      <c r="E37" s="20">
        <f>P28</f>
        <v/>
      </c>
      <c r="F37" s="37">
        <f>IF(C37&gt;=$G$5,1,0)</f>
        <v/>
      </c>
      <c r="G37" s="37">
        <f>IF(E37&gt;=$G$5,1,0)</f>
        <v/>
      </c>
      <c r="H37" s="20">
        <f>IF(F37&lt;&gt;G37,B37+($G$5-C37)*(D37-B37)/(E37-C37),"-")</f>
        <v/>
      </c>
      <c r="I37" s="20">
        <f>IF(F37&lt;&gt;G37,$G$5,"-")</f>
        <v/>
      </c>
      <c r="J37" s="15">
        <f>IF(F37+G37=2,"P",IF(G37=1,"I, P",IF(F37=1,"I","none")))</f>
        <v/>
      </c>
      <c r="L37" s="6" t="inlineStr">
        <is>
          <t>4-5</t>
        </is>
      </c>
      <c r="M37" s="20">
        <f>D36</f>
        <v/>
      </c>
      <c r="N37" s="20">
        <f>E36</f>
        <v/>
      </c>
      <c r="O37" s="20">
        <f>D37</f>
        <v/>
      </c>
      <c r="P37" s="20">
        <f>E37</f>
        <v/>
      </c>
      <c r="Q37" s="37">
        <f>IF(N37&lt;=$I$5,1,0)</f>
        <v/>
      </c>
      <c r="R37" s="37">
        <f>IF(P37&lt;=$I$5,1,0)</f>
        <v/>
      </c>
      <c r="S37" s="20">
        <f>IF(Q37&lt;&gt;R37,M37+($I$5-N37)*(O37-M37)/(P37-N37),"-")</f>
        <v/>
      </c>
      <c r="T37" s="20">
        <f>IF(Q37&lt;&gt;R37,$I$5,"-")</f>
        <v/>
      </c>
      <c r="U37" s="15">
        <f>IF(Q37+R37=2,"P",IF(R37=1,"I, P",IF(Q37=1,"I","none")))</f>
        <v/>
      </c>
    </row>
    <row r="38">
      <c r="A38" s="6" t="inlineStr">
        <is>
          <t>5-1</t>
        </is>
      </c>
      <c r="B38" s="20">
        <f>O28</f>
        <v/>
      </c>
      <c r="C38" s="20">
        <f>P28</f>
        <v/>
      </c>
      <c r="D38" s="20">
        <f>O25</f>
        <v/>
      </c>
      <c r="E38" s="20">
        <f>P25</f>
        <v/>
      </c>
      <c r="F38" s="37">
        <f>IF(C38&gt;=$G$5,1,0)</f>
        <v/>
      </c>
      <c r="G38" s="37">
        <f>IF(E38&gt;=$G$5,1,0)</f>
        <v/>
      </c>
      <c r="H38" s="20">
        <f>IF(F38&lt;&gt;G38,B38+($G$5-C38)*(D38-B38)/(E38-C38),"-")</f>
        <v/>
      </c>
      <c r="I38" s="20">
        <f>IF(F38&lt;&gt;G38,$G$5,"-")</f>
        <v/>
      </c>
      <c r="J38" s="15">
        <f>IF(F38+G38=2,"P",IF(G38=1,"I, P",IF(F38=1,"I","none")))</f>
        <v/>
      </c>
      <c r="L38" s="6" t="inlineStr">
        <is>
          <t>5-6</t>
        </is>
      </c>
      <c r="M38" s="20">
        <f>D37</f>
        <v/>
      </c>
      <c r="N38" s="20">
        <f>E37</f>
        <v/>
      </c>
      <c r="O38" s="20">
        <f>H38</f>
        <v/>
      </c>
      <c r="P38" s="20">
        <f>I38</f>
        <v/>
      </c>
      <c r="Q38" s="37">
        <f>IF(N38&lt;=$I$5,1,0)</f>
        <v/>
      </c>
      <c r="R38" s="37">
        <f>IF(P38&lt;=$I$5,1,0)</f>
        <v/>
      </c>
      <c r="S38" s="20">
        <f>IF(Q38&lt;&gt;R38,M38+($I$5-N38)*(O38-M38)/(P38-N38),"-")</f>
        <v/>
      </c>
      <c r="T38" s="20">
        <f>IF(Q38&lt;&gt;R38,$I$5,"-")</f>
        <v/>
      </c>
      <c r="U38" s="15">
        <f>IF(Q38+R38=2,"P",IF(R38=1,"I, P",IF(Q38=1,"I","none")))</f>
        <v/>
      </c>
    </row>
    <row r="39">
      <c r="A39" s="40" t="inlineStr">
        <is>
          <t>out</t>
        </is>
      </c>
      <c r="B39" s="20">
        <f>"("&amp;ROUND(H34,2)&amp;", "&amp;ROUND(I34,2)&amp;")"&amp;" "&amp;"("&amp;ROUND(D34,2)&amp;", "&amp;ROUND(E34,2)&amp;")"&amp;" "&amp;"("&amp;ROUND(D35,2)&amp;", "&amp;ROUND(E35,2)&amp;")"&amp;" "&amp;"("&amp;ROUND(D36,2)&amp;", "&amp;ROUND(E36,2)&amp;")"&amp;" "&amp;"("&amp;ROUND(D37,2)&amp;", "&amp;ROUND(E37,2)&amp;")"&amp;" "&amp;"("&amp;ROUND(H38,2)&amp;", "&amp;ROUND(I38,2)&amp;")"</f>
        <v/>
      </c>
      <c r="C39" s="11" t="n"/>
      <c r="D39" s="11" t="n"/>
      <c r="E39" s="11" t="n"/>
      <c r="F39" s="11" t="n"/>
      <c r="G39" s="11" t="n"/>
      <c r="H39" s="11" t="n"/>
      <c r="I39" s="11" t="n"/>
      <c r="J39" s="12" t="n"/>
      <c r="L39" s="6" t="inlineStr">
        <is>
          <t>6-1</t>
        </is>
      </c>
      <c r="M39" s="20">
        <f>H38</f>
        <v/>
      </c>
      <c r="N39" s="20">
        <f>I38</f>
        <v/>
      </c>
      <c r="O39" s="20">
        <f>H34</f>
        <v/>
      </c>
      <c r="P39" s="20">
        <f>I34</f>
        <v/>
      </c>
      <c r="Q39" s="37">
        <f>IF(N39&lt;=$I$5,1,0)</f>
        <v/>
      </c>
      <c r="R39" s="37">
        <f>IF(P39&lt;=$I$5,1,0)</f>
        <v/>
      </c>
      <c r="S39" s="20">
        <f>IF(Q39&lt;&gt;R39,M39+($I$5-N39)*(O39-M39)/(P39-N39),"-")</f>
        <v/>
      </c>
      <c r="T39" s="20">
        <f>IF(Q39&lt;&gt;R39,$I$5,"-")</f>
        <v/>
      </c>
      <c r="U39" s="15">
        <f>IF(Q39+R39=2,"P",IF(R39=1,"I, P",IF(Q39=1,"I","none")))</f>
        <v/>
      </c>
    </row>
    <row r="40">
      <c r="A40" s="2" t="inlineStr">
        <is>
          <t>6 vertices</t>
        </is>
      </c>
      <c r="L40" s="40" t="inlineStr">
        <is>
          <t>out</t>
        </is>
      </c>
      <c r="M40" s="20">
        <f>"("&amp;ROUND(O34,2)&amp;", "&amp;ROUND(P34,2)&amp;")"&amp;" "&amp;"("&amp;ROUND(S35,2)&amp;", "&amp;ROUND(T35,2)&amp;")"&amp;" "&amp;"("&amp;ROUND(S36,2)&amp;", "&amp;ROUND(T36,2)&amp;")"&amp;" "&amp;"("&amp;ROUND(O36,2)&amp;", "&amp;ROUND(P36,2)&amp;")"&amp;" "&amp;"("&amp;ROUND(O37,2)&amp;", "&amp;ROUND(P37,2)&amp;")"&amp;" "&amp;"("&amp;ROUND(O38,2)&amp;", "&amp;ROUND(P38,2)&amp;")"&amp;" "&amp;"("&amp;ROUND(O39,2)&amp;", "&amp;ROUND(P39,2)&amp;")"</f>
        <v/>
      </c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L41" s="2" t="inlineStr">
        <is>
          <t>7 vertices</t>
        </is>
      </c>
    </row>
    <row r="42">
      <c r="A42" s="2" t="inlineStr">
        <is>
          <t>Each stage keeps the output-list rule: in-in -&gt; P; in-out -&gt; I; out-in -&gt; I, P; out-out -&gt; none. The final list is the clipped polygon (fan-triangulated afterwards).</t>
        </is>
      </c>
    </row>
  </sheetData>
  <mergeCells count="8">
    <mergeCell ref="S10:U10"/>
    <mergeCell ref="M29:U29"/>
    <mergeCell ref="B28:J28"/>
    <mergeCell ref="S9:U9"/>
    <mergeCell ref="M40:U40"/>
    <mergeCell ref="S11:U11"/>
    <mergeCell ref="B39:J39"/>
    <mergeCell ref="S12:U12"/>
  </mergeCells>
  <printOptions gridLines="0"/>
  <pageMargins left="0.4" right="0.4" top="0.4" bottom="0.4" header="0.2" footer="0.2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K5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3" customWidth="1" min="7" max="7"/>
    <col width="33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Illumination: ambient + Lambert diffuse + Blinn-Phong specular at one roof point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scene/DayCycle (solar model, transmittance, 3.2 smoothstep(-1, 10, e), ambient mixLog); export 'lights'; ShaderSources.cpp brdf(); BNK-171 'Roof slab A'.</t>
        </is>
      </c>
    </row>
    <row r="5" ht="30" customHeight="1">
      <c r="A5" s="3" t="inlineStr">
        <is>
          <t>Quantity</t>
        </is>
      </c>
      <c r="B5" s="3" t="inlineStr">
        <is>
          <t>Noon</t>
        </is>
      </c>
      <c r="C5" s="3" t="inlineStr">
        <is>
          <t>Sunset</t>
        </is>
      </c>
      <c r="D5" s="3" t="inlineStr">
        <is>
          <t>Night (moon)</t>
        </is>
      </c>
      <c r="E5" s="3" t="inlineStr">
        <is>
          <t>UAV spot (beam axis)</t>
        </is>
      </c>
      <c r="F5" s="3" t="inlineStr">
        <is>
          <t>UAV spot (roof point)</t>
        </is>
      </c>
      <c r="H5" s="3" t="inlineStr">
        <is>
          <t>Input (from the code)</t>
        </is>
      </c>
      <c r="I5" s="3" t="inlineStr">
        <is>
          <t>x / R</t>
        </is>
      </c>
      <c r="J5" s="3" t="inlineStr">
        <is>
          <t>y / G</t>
        </is>
      </c>
      <c r="K5" s="3" t="inlineStr">
        <is>
          <t>z / B</t>
        </is>
      </c>
    </row>
    <row r="6">
      <c r="A6" s="4" t="inlineStr">
        <is>
          <t>hour (clock)</t>
        </is>
      </c>
      <c r="B6" s="46" t="n">
        <v>12</v>
      </c>
      <c r="C6" s="46" t="n">
        <v>17.5</v>
      </c>
      <c r="D6" s="46" t="n">
        <v>23</v>
      </c>
      <c r="E6" s="46" t="n">
        <v>23</v>
      </c>
      <c r="F6" s="46" t="n">
        <v>23</v>
      </c>
      <c r="H6" s="4" t="inlineStr">
        <is>
          <t>latitude phi, declination delta (deg)</t>
        </is>
      </c>
      <c r="I6" s="16" t="n">
        <v>22.8</v>
      </c>
      <c r="J6" s="16" t="n">
        <v>-4.6</v>
      </c>
    </row>
    <row r="7">
      <c r="A7" s="4" t="inlineStr">
        <is>
          <t>H = 15 (hour - 12) (deg)</t>
        </is>
      </c>
      <c r="B7" s="20">
        <f>15*(B6-12)</f>
        <v/>
      </c>
      <c r="C7" s="20">
        <f>15*(C6-12)</f>
        <v/>
      </c>
      <c r="D7" s="20">
        <f>15*(D6-12)</f>
        <v/>
      </c>
      <c r="E7" s="20">
        <f>15*(E6-12)</f>
        <v/>
      </c>
      <c r="F7" s="20">
        <f>15*(F6-12)</f>
        <v/>
      </c>
      <c r="H7" s="4" t="inlineStr">
        <is>
          <t>sun intensity, key above (deg)</t>
        </is>
      </c>
      <c r="I7" s="16" t="n">
        <v>3.2</v>
      </c>
      <c r="J7" s="16" t="n">
        <v>-1</v>
      </c>
    </row>
    <row r="8">
      <c r="A8" s="4" t="inlineStr">
        <is>
          <t>sin e = sin phi sin d + cos phi cos d cos H</t>
        </is>
      </c>
      <c r="B8" s="20">
        <f>SIN(RADIANS($I$6))*SIN(RADIANS($J$6))+COS(RADIANS($I$6))*COS(RADIANS($J$6))*COS(RADIANS(B7))</f>
        <v/>
      </c>
      <c r="C8" s="20">
        <f>SIN(RADIANS($I$6))*SIN(RADIANS($J$6))+COS(RADIANS($I$6))*COS(RADIANS($J$6))*COS(RADIANS(C7))</f>
        <v/>
      </c>
      <c r="D8" s="20">
        <f>SIN(RADIANS($I$6))*SIN(RADIANS($J$6))+COS(RADIANS($I$6))*COS(RADIANS($J$6))*COS(RADIANS(D7))</f>
        <v/>
      </c>
      <c r="E8" s="20">
        <f>SIN(RADIANS($I$6))*SIN(RADIANS($J$6))+COS(RADIANS($I$6))*COS(RADIANS($J$6))*COS(RADIANS(E7))</f>
        <v/>
      </c>
      <c r="F8" s="20">
        <f>SIN(RADIANS($I$6))*SIN(RADIANS($J$6))+COS(RADIANS($I$6))*COS(RADIANS($J$6))*COS(RADIANS(F7))</f>
        <v/>
      </c>
      <c r="H8" s="4" t="inlineStr">
        <is>
          <t>optical depth tau (R, G, B)</t>
        </is>
      </c>
      <c r="I8" s="16" t="n">
        <v>0.06</v>
      </c>
      <c r="J8" s="16" t="n">
        <v>0.11</v>
      </c>
      <c r="K8" s="16" t="n">
        <v>0.21</v>
      </c>
    </row>
    <row r="9">
      <c r="A9" s="4" t="inlineStr">
        <is>
          <t>sun elevation e (deg)</t>
        </is>
      </c>
      <c r="B9" s="20">
        <f>DEGREES(ASIN(B8))</f>
        <v/>
      </c>
      <c r="C9" s="20">
        <f>DEGREES(ASIN(C8))</f>
        <v/>
      </c>
      <c r="D9" s="20">
        <f>DEGREES(ASIN(D8))</f>
        <v/>
      </c>
      <c r="E9" s="20">
        <f>DEGREES(ASIN(E8))</f>
        <v/>
      </c>
      <c r="F9" s="20">
        <f>DEGREES(ASIN(F8))</f>
        <v/>
      </c>
      <c r="H9" s="4" t="inlineStr">
        <is>
          <t>moon direction (travel)</t>
        </is>
      </c>
      <c r="I9" s="16" t="n">
        <v>-0.5598</v>
      </c>
      <c r="J9" s="16" t="n">
        <v>-0.3868</v>
      </c>
      <c r="K9" s="16" t="n">
        <v>0.7328</v>
      </c>
    </row>
    <row r="10">
      <c r="A10" s="4" t="inlineStr">
        <is>
          <t>daylight w = smoothstep(-8, 6, e)</t>
        </is>
      </c>
      <c r="B10" s="20">
        <f>(MIN(MAX((B9-(-8))/((6)-(-8)),0),1)^2*(3-2*MIN(MAX((B9-(-8))/((6)-(-8)),0),1)))</f>
        <v/>
      </c>
      <c r="C10" s="20">
        <f>(MIN(MAX((C9-(-8))/((6)-(-8)),0),1)^2*(3-2*MIN(MAX((C9-(-8))/((6)-(-8)),0),1)))</f>
        <v/>
      </c>
      <c r="D10" s="20">
        <f>(MIN(MAX((D9-(-8))/((6)-(-8)),0),1)^2*(3-2*MIN(MAX((D9-(-8))/((6)-(-8)),0),1)))</f>
        <v/>
      </c>
      <c r="E10" s="20">
        <f>(MIN(MAX((E9-(-8))/((6)-(-8)),0),1)^2*(3-2*MIN(MAX((E9-(-8))/((6)-(-8)),0),1)))</f>
        <v/>
      </c>
      <c r="F10" s="20">
        <f>(MIN(MAX((F9-(-8))/((6)-(-8)),0),1)^2*(3-2*MIN(MAX((F9-(-8))/((6)-(-8)),0),1)))</f>
        <v/>
      </c>
      <c r="H10" s="4" t="inlineStr">
        <is>
          <t>moon colour</t>
        </is>
      </c>
      <c r="I10" s="16" t="n">
        <v>0.55</v>
      </c>
      <c r="J10" s="16" t="n">
        <v>0.62</v>
      </c>
      <c r="K10" s="16" t="n">
        <v>0.8</v>
      </c>
    </row>
    <row r="11">
      <c r="A11" s="4" t="inlineStr">
        <is>
          <t>surface point P.x (m)</t>
        </is>
      </c>
      <c r="B11" s="20">
        <f>$I$21</f>
        <v/>
      </c>
      <c r="C11" s="20">
        <f>$I$21</f>
        <v/>
      </c>
      <c r="D11" s="20">
        <f>$I$21</f>
        <v/>
      </c>
      <c r="E11" s="20">
        <f>$I$12+(($J$21-$J$12)/$J$13)*$I$13</f>
        <v/>
      </c>
      <c r="F11" s="20">
        <f>$I$21</f>
        <v/>
      </c>
      <c r="H11" s="4" t="inlineStr">
        <is>
          <t>moon intensity</t>
        </is>
      </c>
      <c r="I11" s="16" t="n">
        <v>0.95</v>
      </c>
    </row>
    <row r="12">
      <c r="A12" s="4" t="inlineStr">
        <is>
          <t>surface point P.y (m)</t>
        </is>
      </c>
      <c r="B12" s="20">
        <f>$J$21</f>
        <v/>
      </c>
      <c r="C12" s="20">
        <f>$J$21</f>
        <v/>
      </c>
      <c r="D12" s="20">
        <f>$J$21</f>
        <v/>
      </c>
      <c r="E12" s="20">
        <f>$J$21</f>
        <v/>
      </c>
      <c r="F12" s="20">
        <f>$J$21</f>
        <v/>
      </c>
      <c r="H12" s="4" t="inlineStr">
        <is>
          <t>spot position (m)</t>
        </is>
      </c>
      <c r="I12" s="16" t="n">
        <v>-0</v>
      </c>
      <c r="J12" s="16" t="n">
        <v>7.356</v>
      </c>
      <c r="K12" s="16" t="n">
        <v>12.37</v>
      </c>
    </row>
    <row r="13">
      <c r="A13" s="4" t="inlineStr">
        <is>
          <t>surface point P.z (m)</t>
        </is>
      </c>
      <c r="B13" s="20">
        <f>$K$21</f>
        <v/>
      </c>
      <c r="C13" s="20">
        <f>$K$21</f>
        <v/>
      </c>
      <c r="D13" s="20">
        <f>$K$21</f>
        <v/>
      </c>
      <c r="E13" s="20">
        <f>$K$12+(($J$21-$J$12)/$J$13)*$K$13</f>
        <v/>
      </c>
      <c r="F13" s="20">
        <f>$K$21</f>
        <v/>
      </c>
      <c r="H13" s="4" t="inlineStr">
        <is>
          <t>spot direction</t>
        </is>
      </c>
      <c r="I13" s="16" t="n">
        <v>-0</v>
      </c>
      <c r="J13" s="16" t="n">
        <v>-0.766</v>
      </c>
      <c r="K13" s="16" t="n">
        <v>-0.6428</v>
      </c>
    </row>
    <row r="14">
      <c r="A14" s="4" t="inlineStr">
        <is>
          <t>to light (unnormalised) x</t>
        </is>
      </c>
      <c r="B14" s="20">
        <f>-COS(RADIANS($J$6))*SIN(RADIANS(B7))</f>
        <v/>
      </c>
      <c r="C14" s="20">
        <f>-COS(RADIANS($J$6))*SIN(RADIANS(C7))</f>
        <v/>
      </c>
      <c r="D14" s="20">
        <f>-$I$9</f>
        <v/>
      </c>
      <c r="E14" s="20">
        <f>$I$12-E11</f>
        <v/>
      </c>
      <c r="F14" s="20">
        <f>$I$12-F11</f>
        <v/>
      </c>
      <c r="H14" s="4" t="inlineStr">
        <is>
          <t>spot colour</t>
        </is>
      </c>
      <c r="I14" s="8" t="n">
        <v>1</v>
      </c>
      <c r="J14" s="16" t="n">
        <v>0.95</v>
      </c>
      <c r="K14" s="16" t="n">
        <v>0.82</v>
      </c>
    </row>
    <row r="15">
      <c r="A15" s="4" t="inlineStr">
        <is>
          <t>to light (unnormalised) y</t>
        </is>
      </c>
      <c r="B15" s="20">
        <f>B8</f>
        <v/>
      </c>
      <c r="C15" s="20">
        <f>C8</f>
        <v/>
      </c>
      <c r="D15" s="20">
        <f>-$J$9</f>
        <v/>
      </c>
      <c r="E15" s="20">
        <f>$J$12-E12</f>
        <v/>
      </c>
      <c r="F15" s="20">
        <f>$J$12-F12</f>
        <v/>
      </c>
      <c r="H15" s="4" t="inlineStr">
        <is>
          <t>spot intensity, inner, outer (deg)</t>
        </is>
      </c>
      <c r="I15" s="8" t="n">
        <v>5</v>
      </c>
      <c r="J15" s="8" t="n">
        <v>9</v>
      </c>
      <c r="K15" s="8" t="n">
        <v>14</v>
      </c>
    </row>
    <row r="16">
      <c r="A16" s="4" t="inlineStr">
        <is>
          <t>to light (unnormalised) z</t>
        </is>
      </c>
      <c r="B16" s="20">
        <f>COS(RADIANS($I$6))*SIN(RADIANS($J$6))-SIN(RADIANS($I$6))*COS(RADIANS($J$6))*COS(RADIANS(B7))</f>
        <v/>
      </c>
      <c r="C16" s="20">
        <f>COS(RADIANS($I$6))*SIN(RADIANS($J$6))-SIN(RADIANS($I$6))*COS(RADIANS($J$6))*COS(RADIANS(C7))</f>
        <v/>
      </c>
      <c r="D16" s="20">
        <f>-$K$9</f>
        <v/>
      </c>
      <c r="E16" s="20">
        <f>$K$12-E13</f>
        <v/>
      </c>
      <c r="F16" s="20">
        <f>$K$12-F13</f>
        <v/>
      </c>
      <c r="H16" s="4" t="inlineStr">
        <is>
          <t>spot attenuation linear, quadratic</t>
        </is>
      </c>
      <c r="I16" s="16" t="n">
        <v>0.05</v>
      </c>
      <c r="J16" s="16" t="n">
        <v>0.03</v>
      </c>
    </row>
    <row r="17">
      <c r="A17" s="4" t="inlineStr">
        <is>
          <t>distance d = |to light| (m)</t>
        </is>
      </c>
      <c r="B17" s="20">
        <f>SQRT(B14^2+B15^2+B16^2)</f>
        <v/>
      </c>
      <c r="C17" s="20">
        <f>SQRT(C14^2+C15^2+C16^2)</f>
        <v/>
      </c>
      <c r="D17" s="20">
        <f>SQRT(D14^2+D15^2+D16^2)</f>
        <v/>
      </c>
      <c r="E17" s="20">
        <f>SQRT(E14^2+E15^2+E16^2)</f>
        <v/>
      </c>
      <c r="F17" s="20">
        <f>SQRT(F14^2+F15^2+F16^2)</f>
        <v/>
      </c>
      <c r="H17" s="4" t="inlineStr">
        <is>
          <t>night ambient (LightRig)</t>
        </is>
      </c>
      <c r="I17" s="16" t="n">
        <v>0.06</v>
      </c>
      <c r="J17" s="16" t="n">
        <v>0.065</v>
      </c>
      <c r="K17" s="16" t="n">
        <v>0.08500000000000001</v>
      </c>
    </row>
    <row r="18">
      <c r="A18" s="4" t="inlineStr">
        <is>
          <t>L.x (unit)</t>
        </is>
      </c>
      <c r="B18" s="20">
        <f>B14/B17</f>
        <v/>
      </c>
      <c r="C18" s="20">
        <f>C14/C17</f>
        <v/>
      </c>
      <c r="D18" s="20">
        <f>D14/D17</f>
        <v/>
      </c>
      <c r="E18" s="20">
        <f>E14/E17</f>
        <v/>
      </c>
      <c r="F18" s="20">
        <f>F14/F17</f>
        <v/>
      </c>
      <c r="H18" s="4" t="inlineStr">
        <is>
          <t>day ambient (kDayAmbient)</t>
        </is>
      </c>
      <c r="I18" s="16" t="n">
        <v>0.34</v>
      </c>
      <c r="J18" s="16" t="n">
        <v>0.36</v>
      </c>
      <c r="K18" s="16" t="n">
        <v>0.4</v>
      </c>
    </row>
    <row r="19">
      <c r="A19" s="4" t="inlineStr">
        <is>
          <t>L.y (unit)</t>
        </is>
      </c>
      <c r="B19" s="20">
        <f>B15/B17</f>
        <v/>
      </c>
      <c r="C19" s="20">
        <f>C15/C17</f>
        <v/>
      </c>
      <c r="D19" s="20">
        <f>D15/D17</f>
        <v/>
      </c>
      <c r="E19" s="20">
        <f>E15/E17</f>
        <v/>
      </c>
      <c r="F19" s="20">
        <f>F15/F17</f>
        <v/>
      </c>
      <c r="H19" s="4" t="inlineStr">
        <is>
          <t>roof albedo kd (BNK-171 colour)</t>
        </is>
      </c>
      <c r="I19" s="16" t="n">
        <v>0.3</v>
      </c>
      <c r="J19" s="16" t="n">
        <v>0.3</v>
      </c>
      <c r="K19" s="16" t="n">
        <v>0.28</v>
      </c>
    </row>
    <row r="20">
      <c r="A20" s="4" t="inlineStr">
        <is>
          <t>L.z (unit)</t>
        </is>
      </c>
      <c r="B20" s="20">
        <f>B16/B17</f>
        <v/>
      </c>
      <c r="C20" s="20">
        <f>C16/C17</f>
        <v/>
      </c>
      <c r="D20" s="20">
        <f>D16/D17</f>
        <v/>
      </c>
      <c r="E20" s="20">
        <f>E16/E17</f>
        <v/>
      </c>
      <c r="F20" s="20">
        <f>F16/F17</f>
        <v/>
      </c>
      <c r="H20" s="4" t="inlineStr">
        <is>
          <t>roof ks, shininess n</t>
        </is>
      </c>
      <c r="I20" s="16" t="n">
        <v>0.076</v>
      </c>
      <c r="J20" s="8" t="n">
        <v>2</v>
      </c>
    </row>
    <row r="21">
      <c r="A21" s="4" t="inlineStr">
        <is>
          <t>angle to spot axis (deg)</t>
        </is>
      </c>
      <c r="B21" s="6" t="inlineStr">
        <is>
          <t>-</t>
        </is>
      </c>
      <c r="C21" s="6" t="inlineStr">
        <is>
          <t>-</t>
        </is>
      </c>
      <c r="D21" s="6" t="inlineStr">
        <is>
          <t>-</t>
        </is>
      </c>
      <c r="E21" s="20">
        <f>DEGREES(ACOS(-(E18*$I$13+E19*$J$13+E20*$K$13)))</f>
        <v/>
      </c>
      <c r="F21" s="20">
        <f>DEGREES(ACOS(-(F18*$I$13+F19*$J$13+F20*$K$13)))</f>
        <v/>
      </c>
      <c r="H21" s="4" t="inlineStr">
        <is>
          <t>roof point P (top face, m)</t>
        </is>
      </c>
      <c r="I21" s="8" t="n">
        <v>0</v>
      </c>
      <c r="J21" s="16" t="n">
        <v>-0.45</v>
      </c>
      <c r="K21" s="16" t="n">
        <v>-1.3</v>
      </c>
    </row>
    <row r="22">
      <c r="A22" s="4" t="inlineStr">
        <is>
          <t>spot cone c^2, c = clamp((cos a - cos o)/(cos i - cos o))</t>
        </is>
      </c>
      <c r="B22" s="6" t="inlineStr">
        <is>
          <t>-</t>
        </is>
      </c>
      <c r="C22" s="6" t="inlineStr">
        <is>
          <t>-</t>
        </is>
      </c>
      <c r="D22" s="6" t="inlineStr">
        <is>
          <t>-</t>
        </is>
      </c>
      <c r="E22" s="20">
        <f>MIN(MAX((COS(RADIANS(E21))-COS(RADIANS($K$15)))/(COS(RADIANS($J$15))-COS(RADIANS($K$15))),0),1)^2</f>
        <v/>
      </c>
      <c r="F22" s="20">
        <f>MIN(MAX((COS(RADIANS(F21))-COS(RADIANS($K$15)))/(COS(RADIANS($J$15))-COS(RADIANS($K$15))),0),1)^2</f>
        <v/>
      </c>
      <c r="H22" s="4" t="inlineStr">
        <is>
          <t>normal N</t>
        </is>
      </c>
      <c r="I22" s="8" t="n">
        <v>0</v>
      </c>
      <c r="J22" s="8" t="n">
        <v>1</v>
      </c>
      <c r="K22" s="8" t="n">
        <v>0</v>
      </c>
    </row>
    <row r="23">
      <c r="A23" s="4" t="inlineStr">
        <is>
          <t>attenuation 1 / (1 + kl d + kq d^2)</t>
        </is>
      </c>
      <c r="B23" s="6" t="inlineStr">
        <is>
          <t>-</t>
        </is>
      </c>
      <c r="C23" s="6" t="inlineStr">
        <is>
          <t>-</t>
        </is>
      </c>
      <c r="D23" s="6" t="inlineStr">
        <is>
          <t>-</t>
        </is>
      </c>
      <c r="E23" s="20">
        <f>1/(1+$I$16*E17+$J$16*E17^2)</f>
        <v/>
      </c>
      <c r="F23" s="20">
        <f>1/(1+$I$16*F17+$J$16*F17^2)</f>
        <v/>
      </c>
      <c r="H23" s="4" t="inlineStr">
        <is>
          <t>viewer: orbit eye (View_Projection)</t>
        </is>
      </c>
      <c r="I23" s="20">
        <f>'View_Projection'!$B$18</f>
        <v/>
      </c>
      <c r="J23" s="20">
        <f>'View_Projection'!$C$18</f>
        <v/>
      </c>
      <c r="K23" s="20">
        <f>'View_Projection'!$D$18</f>
        <v/>
      </c>
    </row>
    <row r="24">
      <c r="A24" s="4" t="inlineStr">
        <is>
          <t>air mass m (Kasten-Young)</t>
        </is>
      </c>
      <c r="B24" s="20">
        <f>1/(SIN(RADIANS(MAX(B9,-1)))+0.50572*(MAX(B9,-1)+6.07995)^(-1.6364))</f>
        <v/>
      </c>
      <c r="C24" s="20">
        <f>1/(SIN(RADIANS(MAX(C9,-1)))+0.50572*(MAX(C9,-1)+6.07995)^(-1.6364))</f>
        <v/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</row>
    <row r="25">
      <c r="A25" s="4" t="inlineStr">
        <is>
          <t>light intensity (scalar)</t>
        </is>
      </c>
      <c r="B25" s="20">
        <f>$I$7*(MIN(MAX((B9-($J$7))/((10)-($J$7)),0),1)^2*(3-2*MIN(MAX((B9-($J$7))/((10)-($J$7)),0),1)))</f>
        <v/>
      </c>
      <c r="C25" s="20">
        <f>$I$7*(MIN(MAX((C9-($J$7))/((10)-($J$7)),0),1)^2*(3-2*MIN(MAX((C9-($J$7))/((10)-($J$7)),0),1)))</f>
        <v/>
      </c>
      <c r="D25" s="20">
        <f>$I$11</f>
        <v/>
      </c>
      <c r="E25" s="20">
        <f>$I$15*E22*E23</f>
        <v/>
      </c>
      <c r="F25" s="20">
        <f>$I$15*F22*F23</f>
        <v/>
      </c>
      <c r="H25" s="2" t="inlineStr">
        <is>
          <t>Model (display-referred Blinn-Phong path), per channel:</t>
        </is>
      </c>
    </row>
    <row r="26">
      <c r="A26" s="4" t="inlineStr">
        <is>
          <t>N . L (clamped at 0)</t>
        </is>
      </c>
      <c r="B26" s="20">
        <f>MAX(0,$I$22*B18+$J$22*B19+$K$22*B20)</f>
        <v/>
      </c>
      <c r="C26" s="20">
        <f>MAX(0,$I$22*C18+$J$22*C19+$K$22*C20)</f>
        <v/>
      </c>
      <c r="D26" s="20">
        <f>MAX(0,$I$22*D18+$J$22*D19+$K$22*D20)</f>
        <v/>
      </c>
      <c r="E26" s="20">
        <f>MAX(0,$I$22*E18+$J$22*E19+$K$22*E20)</f>
        <v/>
      </c>
      <c r="F26" s="20">
        <f>MAX(0,$I$22*F18+$J$22*F19+$K$22*F20)</f>
        <v/>
      </c>
      <c r="H26" s="2" t="inlineStr">
        <is>
          <t xml:space="preserve">  I = kd Ia + kd Il (N.L) + ks Il (N.H)^n</t>
        </is>
      </c>
    </row>
    <row r="27">
      <c r="A27" s="4" t="inlineStr">
        <is>
          <t>L + V (H before normalising) x</t>
        </is>
      </c>
      <c r="B27" s="20">
        <f>B18+($I$23-B11)/SQRT(($I$23-B11)^2+($J$23-B12)^2+($K$23-B13)^2)</f>
        <v/>
      </c>
      <c r="C27" s="20">
        <f>C18+($I$23-C11)/SQRT(($I$23-C11)^2+($J$23-C12)^2+($K$23-C13)^2)</f>
        <v/>
      </c>
      <c r="D27" s="20">
        <f>D18+($I$23-D11)/SQRT(($I$23-D11)^2+($J$23-D12)^2+($K$23-D13)^2)</f>
        <v/>
      </c>
      <c r="E27" s="20">
        <f>E18+($I$23-E11)/SQRT(($I$23-E11)^2+($J$23-E12)^2+($K$23-E13)^2)</f>
        <v/>
      </c>
      <c r="F27" s="20">
        <f>F18+($I$23-F11)/SQRT(($I$23-F11)^2+($J$23-F12)^2+($K$23-F13)^2)</f>
        <v/>
      </c>
      <c r="H27" s="2" t="inlineStr">
        <is>
          <t>Not modelled: shadows, AO, relief, HDR sky SH ambient,</t>
        </is>
      </c>
    </row>
    <row r="28">
      <c r="A28" s="4" t="inlineStr">
        <is>
          <t>L + V y</t>
        </is>
      </c>
      <c r="B28" s="20">
        <f>B19+($J$23-B12)/SQRT(($I$23-B11)^2+($J$23-B12)^2+($K$23-B13)^2)</f>
        <v/>
      </c>
      <c r="C28" s="20">
        <f>C19+($J$23-C12)/SQRT(($I$23-C11)^2+($J$23-C12)^2+($K$23-C13)^2)</f>
        <v/>
      </c>
      <c r="D28" s="20">
        <f>D19+($J$23-D12)/SQRT(($I$23-D11)^2+($J$23-D12)^2+($K$23-D13)^2)</f>
        <v/>
      </c>
      <c r="E28" s="20">
        <f>E19+($J$23-E12)/SQRT(($I$23-E11)^2+($J$23-E12)^2+($K$23-E13)^2)</f>
        <v/>
      </c>
      <c r="F28" s="20">
        <f>F19+($J$23-F12)/SQRT(($I$23-F11)^2+($J$23-F12)^2+($K$23-F13)^2)</f>
        <v/>
      </c>
      <c r="H28" s="2" t="inlineStr">
        <is>
          <t xml:space="preserve">  moon tint.</t>
        </is>
      </c>
    </row>
    <row r="29">
      <c r="A29" s="4" t="inlineStr">
        <is>
          <t>L + V z</t>
        </is>
      </c>
      <c r="B29" s="20">
        <f>B20+($K$23-B13)/SQRT(($I$23-B11)^2+($J$23-B12)^2+($K$23-B13)^2)</f>
        <v/>
      </c>
      <c r="C29" s="20">
        <f>C20+($K$23-C13)/SQRT(($I$23-C11)^2+($J$23-C12)^2+($K$23-C13)^2)</f>
        <v/>
      </c>
      <c r="D29" s="20">
        <f>D20+($K$23-D13)/SQRT(($I$23-D11)^2+($J$23-D12)^2+($K$23-D13)^2)</f>
        <v/>
      </c>
      <c r="E29" s="20">
        <f>E20+($K$23-E13)/SQRT(($I$23-E11)^2+($J$23-E12)^2+($K$23-E13)^2)</f>
        <v/>
      </c>
      <c r="F29" s="20">
        <f>F20+($K$23-F13)/SQRT(($I$23-F11)^2+($J$23-F12)^2+($K$23-F13)^2)</f>
        <v/>
      </c>
      <c r="H29" s="2" t="inlineStr">
        <is>
          <t>Spot cone (shader): c = clamp((cos a - cos outer) /</t>
        </is>
      </c>
    </row>
    <row r="30">
      <c r="A30" s="4" t="inlineStr">
        <is>
          <t>N . H</t>
        </is>
      </c>
      <c r="B30" s="20">
        <f>MAX(0,($I$22*B27+$J$22*B28+$K$22*B29)/SQRT(B27^2+B28^2+B29^2))</f>
        <v/>
      </c>
      <c r="C30" s="20">
        <f>MAX(0,($I$22*C27+$J$22*C28+$K$22*C29)/SQRT(C27^2+C28^2+C29^2))</f>
        <v/>
      </c>
      <c r="D30" s="20">
        <f>MAX(0,($I$22*D27+$J$22*D28+$K$22*D29)/SQRT(D27^2+D28^2+D29^2))</f>
        <v/>
      </c>
      <c r="E30" s="20">
        <f>MAX(0,($I$22*E27+$J$22*E28+$K$22*E29)/SQRT(E27^2+E28^2+E29^2))</f>
        <v/>
      </c>
      <c r="F30" s="20">
        <f>MAX(0,($I$22*F27+$J$22*F28+$K$22*F29)/SQRT(F27^2+F28^2+F29^2))</f>
        <v/>
      </c>
      <c r="H30" s="2" t="inlineStr">
        <is>
          <t xml:space="preserve">  (cos inner - cos outer)), weight c^2 (not smoothstep).</t>
        </is>
      </c>
    </row>
    <row r="31">
      <c r="A31" s="4" t="inlineStr">
        <is>
          <t>(N . H)^n (0 when N . L = 0)</t>
        </is>
      </c>
      <c r="B31" s="20">
        <f>IF(B26&gt;0,B30^$J$20,0)</f>
        <v/>
      </c>
      <c r="C31" s="20">
        <f>IF(C26&gt;0,C30^$J$20,0)</f>
        <v/>
      </c>
      <c r="D31" s="20">
        <f>IF(D26&gt;0,D30^$J$20,0)</f>
        <v/>
      </c>
      <c r="E31" s="20">
        <f>IF(E26&gt;0,E30^$J$20,0)</f>
        <v/>
      </c>
      <c r="F31" s="20">
        <f>IF(F26&gt;0,F30^$J$20,0)</f>
        <v/>
      </c>
      <c r="H31" s="2" t="inlineStr">
        <is>
          <t>Roof point: 20 deg off the spot axis at t = 0, outside</t>
        </is>
      </c>
    </row>
    <row r="32">
      <c r="H32" s="2" t="inlineStr">
        <is>
          <t xml:space="preserve">  the 14 deg cone. Column E: the up-facing point on the</t>
        </is>
      </c>
    </row>
    <row r="33">
      <c r="A33" s="10" t="inlineStr">
        <is>
          <t>Per-channel terms (light colour = transmittance for the sun)</t>
        </is>
      </c>
      <c r="H33" s="2" t="inlineStr">
        <is>
          <t xml:space="preserve">  beam axis at roof height.</t>
        </is>
      </c>
    </row>
    <row r="34" ht="30" customHeight="1">
      <c r="A34" s="3" t="inlineStr">
        <is>
          <t>Term (channel)</t>
        </is>
      </c>
      <c r="B34" s="3" t="inlineStr">
        <is>
          <t>Noon</t>
        </is>
      </c>
      <c r="C34" s="3" t="inlineStr">
        <is>
          <t>Sunset</t>
        </is>
      </c>
      <c r="D34" s="3" t="inlineStr">
        <is>
          <t>Night (moon)</t>
        </is>
      </c>
      <c r="E34" s="3" t="inlineStr">
        <is>
          <t>UAV spot (beam axis)</t>
        </is>
      </c>
      <c r="F34" s="3" t="inlineStr">
        <is>
          <t>UAV spot (roof point)</t>
        </is>
      </c>
      <c r="H34" s="2" t="inlineStr">
        <is>
          <t>Sun key direction is quantised to 1 deg in the code.</t>
        </is>
      </c>
    </row>
    <row r="35">
      <c r="A35" s="17" t="inlineStr">
        <is>
          <t>Il = light colour x intensity  R</t>
        </is>
      </c>
      <c r="B35" s="20">
        <f>EXP(-$I$8*(B24-1))*B25</f>
        <v/>
      </c>
      <c r="C35" s="20">
        <f>EXP(-$I$8*(C24-1))*C25</f>
        <v/>
      </c>
      <c r="D35" s="20">
        <f>$I$10*D25</f>
        <v/>
      </c>
      <c r="E35" s="20">
        <f>$I$14*E25</f>
        <v/>
      </c>
      <c r="F35" s="20">
        <f>$I$14*F25</f>
        <v/>
      </c>
    </row>
    <row r="36">
      <c r="A36" s="17" t="inlineStr">
        <is>
          <t>Il = light colour x intensity  G</t>
        </is>
      </c>
      <c r="B36" s="20">
        <f>EXP(-$J$8*(B24-1))*B25</f>
        <v/>
      </c>
      <c r="C36" s="20">
        <f>EXP(-$J$8*(C24-1))*C25</f>
        <v/>
      </c>
      <c r="D36" s="20">
        <f>$J$10*D25</f>
        <v/>
      </c>
      <c r="E36" s="20">
        <f>$J$14*E25</f>
        <v/>
      </c>
      <c r="F36" s="20">
        <f>$J$14*F25</f>
        <v/>
      </c>
    </row>
    <row r="37">
      <c r="A37" s="17" t="inlineStr">
        <is>
          <t>Il = light colour x intensity  B</t>
        </is>
      </c>
      <c r="B37" s="20">
        <f>EXP(-$K$8*(B24-1))*B25</f>
        <v/>
      </c>
      <c r="C37" s="20">
        <f>EXP(-$K$8*(C24-1))*C25</f>
        <v/>
      </c>
      <c r="D37" s="20">
        <f>$K$10*D25</f>
        <v/>
      </c>
      <c r="E37" s="20">
        <f>$K$14*E25</f>
        <v/>
      </c>
      <c r="F37" s="20">
        <f>$K$14*F25</f>
        <v/>
      </c>
    </row>
    <row r="38">
      <c r="A38" s="17" t="inlineStr">
        <is>
          <t>ambient Ia  R</t>
        </is>
      </c>
      <c r="B38" s="20">
        <f>$I$17^(1-B10)*$I$18^B10</f>
        <v/>
      </c>
      <c r="C38" s="20">
        <f>$I$17^(1-C10)*$I$18^C10</f>
        <v/>
      </c>
      <c r="D38" s="20">
        <f>$I$17^(1-D10)*$I$18^D10</f>
        <v/>
      </c>
      <c r="E38" s="20">
        <f>$I$17^(1-E10)*$I$18^E10</f>
        <v/>
      </c>
      <c r="F38" s="20">
        <f>$I$17^(1-F10)*$I$18^F10</f>
        <v/>
      </c>
    </row>
    <row r="39">
      <c r="A39" s="17" t="inlineStr">
        <is>
          <t>ambient Ia  G</t>
        </is>
      </c>
      <c r="B39" s="20">
        <f>$J$17^(1-B10)*$J$18^B10</f>
        <v/>
      </c>
      <c r="C39" s="20">
        <f>$J$17^(1-C10)*$J$18^C10</f>
        <v/>
      </c>
      <c r="D39" s="20">
        <f>$J$17^(1-D10)*$J$18^D10</f>
        <v/>
      </c>
      <c r="E39" s="20">
        <f>$J$17^(1-E10)*$J$18^E10</f>
        <v/>
      </c>
      <c r="F39" s="20">
        <f>$J$17^(1-F10)*$J$18^F10</f>
        <v/>
      </c>
    </row>
    <row r="40">
      <c r="A40" s="17" t="inlineStr">
        <is>
          <t>ambient Ia  B</t>
        </is>
      </c>
      <c r="B40" s="20">
        <f>$K$17^(1-B10)*$K$18^B10</f>
        <v/>
      </c>
      <c r="C40" s="20">
        <f>$K$17^(1-C10)*$K$18^C10</f>
        <v/>
      </c>
      <c r="D40" s="20">
        <f>$K$17^(1-D10)*$K$18^D10</f>
        <v/>
      </c>
      <c r="E40" s="20">
        <f>$K$17^(1-E10)*$K$18^E10</f>
        <v/>
      </c>
      <c r="F40" s="20">
        <f>$K$17^(1-F10)*$K$18^F10</f>
        <v/>
      </c>
    </row>
    <row r="41">
      <c r="A41" s="17" t="inlineStr">
        <is>
          <t>ambient kd Ia  R</t>
        </is>
      </c>
      <c r="B41" s="20">
        <f>$I$19*B38</f>
        <v/>
      </c>
      <c r="C41" s="20">
        <f>$I$19*C38</f>
        <v/>
      </c>
      <c r="D41" s="20">
        <f>$I$19*D38</f>
        <v/>
      </c>
      <c r="E41" s="20">
        <f>$I$19*E38</f>
        <v/>
      </c>
      <c r="F41" s="20">
        <f>$I$19*F38</f>
        <v/>
      </c>
    </row>
    <row r="42">
      <c r="A42" s="17" t="inlineStr">
        <is>
          <t>ambient kd Ia  G</t>
        </is>
      </c>
      <c r="B42" s="20">
        <f>$J$19*B39</f>
        <v/>
      </c>
      <c r="C42" s="20">
        <f>$J$19*C39</f>
        <v/>
      </c>
      <c r="D42" s="20">
        <f>$J$19*D39</f>
        <v/>
      </c>
      <c r="E42" s="20">
        <f>$J$19*E39</f>
        <v/>
      </c>
      <c r="F42" s="20">
        <f>$J$19*F39</f>
        <v/>
      </c>
    </row>
    <row r="43">
      <c r="A43" s="17" t="inlineStr">
        <is>
          <t>ambient kd Ia  B</t>
        </is>
      </c>
      <c r="B43" s="20">
        <f>$K$19*B40</f>
        <v/>
      </c>
      <c r="C43" s="20">
        <f>$K$19*C40</f>
        <v/>
      </c>
      <c r="D43" s="20">
        <f>$K$19*D40</f>
        <v/>
      </c>
      <c r="E43" s="20">
        <f>$K$19*E40</f>
        <v/>
      </c>
      <c r="F43" s="20">
        <f>$K$19*F40</f>
        <v/>
      </c>
    </row>
    <row r="44">
      <c r="A44" s="17" t="inlineStr">
        <is>
          <t>diffuse kd Il (N.L)  R</t>
        </is>
      </c>
      <c r="B44" s="20">
        <f>$I$19*B35*B26</f>
        <v/>
      </c>
      <c r="C44" s="20">
        <f>$I$19*C35*C26</f>
        <v/>
      </c>
      <c r="D44" s="20">
        <f>$I$19*D35*D26</f>
        <v/>
      </c>
      <c r="E44" s="20">
        <f>$I$19*E35*E26</f>
        <v/>
      </c>
      <c r="F44" s="20">
        <f>$I$19*F35*F26</f>
        <v/>
      </c>
    </row>
    <row r="45">
      <c r="A45" s="17" t="inlineStr">
        <is>
          <t>diffuse kd Il (N.L)  G</t>
        </is>
      </c>
      <c r="B45" s="20">
        <f>$J$19*B36*B26</f>
        <v/>
      </c>
      <c r="C45" s="20">
        <f>$J$19*C36*C26</f>
        <v/>
      </c>
      <c r="D45" s="20">
        <f>$J$19*D36*D26</f>
        <v/>
      </c>
      <c r="E45" s="20">
        <f>$J$19*E36*E26</f>
        <v/>
      </c>
      <c r="F45" s="20">
        <f>$J$19*F36*F26</f>
        <v/>
      </c>
    </row>
    <row r="46">
      <c r="A46" s="17" t="inlineStr">
        <is>
          <t>diffuse kd Il (N.L)  B</t>
        </is>
      </c>
      <c r="B46" s="20">
        <f>$K$19*B37*B26</f>
        <v/>
      </c>
      <c r="C46" s="20">
        <f>$K$19*C37*C26</f>
        <v/>
      </c>
      <c r="D46" s="20">
        <f>$K$19*D37*D26</f>
        <v/>
      </c>
      <c r="E46" s="20">
        <f>$K$19*E37*E26</f>
        <v/>
      </c>
      <c r="F46" s="20">
        <f>$K$19*F37*F26</f>
        <v/>
      </c>
    </row>
    <row r="47">
      <c r="A47" s="17" t="inlineStr">
        <is>
          <t>specular ks Il (N.H)^n  R</t>
        </is>
      </c>
      <c r="B47" s="20">
        <f>$I$20*B35*B31</f>
        <v/>
      </c>
      <c r="C47" s="20">
        <f>$I$20*C35*C31</f>
        <v/>
      </c>
      <c r="D47" s="20">
        <f>$I$20*D35*D31</f>
        <v/>
      </c>
      <c r="E47" s="20">
        <f>$I$20*E35*E31</f>
        <v/>
      </c>
      <c r="F47" s="20">
        <f>$I$20*F35*F31</f>
        <v/>
      </c>
    </row>
    <row r="48">
      <c r="A48" s="17" t="inlineStr">
        <is>
          <t>specular ks Il (N.H)^n  G</t>
        </is>
      </c>
      <c r="B48" s="20">
        <f>$I$20*B36*B31</f>
        <v/>
      </c>
      <c r="C48" s="20">
        <f>$I$20*C36*C31</f>
        <v/>
      </c>
      <c r="D48" s="20">
        <f>$I$20*D36*D31</f>
        <v/>
      </c>
      <c r="E48" s="20">
        <f>$I$20*E36*E31</f>
        <v/>
      </c>
      <c r="F48" s="20">
        <f>$I$20*F36*F31</f>
        <v/>
      </c>
    </row>
    <row r="49">
      <c r="A49" s="17" t="inlineStr">
        <is>
          <t>specular ks Il (N.H)^n  B</t>
        </is>
      </c>
      <c r="B49" s="20">
        <f>$I$20*B37*B31</f>
        <v/>
      </c>
      <c r="C49" s="20">
        <f>$I$20*C37*C31</f>
        <v/>
      </c>
      <c r="D49" s="20">
        <f>$I$20*D37*D31</f>
        <v/>
      </c>
      <c r="E49" s="20">
        <f>$I$20*E37*E31</f>
        <v/>
      </c>
      <c r="F49" s="20">
        <f>$I$20*F37*F31</f>
        <v/>
      </c>
    </row>
    <row r="50">
      <c r="A50" s="4" t="inlineStr">
        <is>
          <t>total I  R</t>
        </is>
      </c>
      <c r="B50" s="47">
        <f>B41+B44+B47</f>
        <v/>
      </c>
      <c r="C50" s="47">
        <f>C41+C44+C47</f>
        <v/>
      </c>
      <c r="D50" s="47">
        <f>D41+D44+D47</f>
        <v/>
      </c>
      <c r="E50" s="47">
        <f>E41+E44+E47</f>
        <v/>
      </c>
      <c r="F50" s="47">
        <f>F41+F44+F47</f>
        <v/>
      </c>
    </row>
    <row r="51">
      <c r="A51" s="4" t="inlineStr">
        <is>
          <t>total I  G</t>
        </is>
      </c>
      <c r="B51" s="47">
        <f>B42+B45+B48</f>
        <v/>
      </c>
      <c r="C51" s="47">
        <f>C42+C45+C48</f>
        <v/>
      </c>
      <c r="D51" s="47">
        <f>D42+D45+D48</f>
        <v/>
      </c>
      <c r="E51" s="47">
        <f>E42+E45+E48</f>
        <v/>
      </c>
      <c r="F51" s="47">
        <f>F42+F45+F48</f>
        <v/>
      </c>
    </row>
    <row r="52">
      <c r="A52" s="4" t="inlineStr">
        <is>
          <t>total I  B</t>
        </is>
      </c>
      <c r="B52" s="47">
        <f>B43+B46+B49</f>
        <v/>
      </c>
      <c r="C52" s="47">
        <f>C43+C46+C49</f>
        <v/>
      </c>
      <c r="D52" s="47">
        <f>D43+D46+D49</f>
        <v/>
      </c>
      <c r="E52" s="47">
        <f>E43+E46+E49</f>
        <v/>
      </c>
      <c r="F52" s="47">
        <f>F43+F46+F49</f>
        <v/>
      </c>
    </row>
    <row r="53">
      <c r="A53" s="4" t="inlineStr">
        <is>
          <t>luminance Y of total (Rec. 709)</t>
        </is>
      </c>
      <c r="B53" s="47">
        <f>0.2126*B50+0.7152*B51+0.0722*B52</f>
        <v/>
      </c>
      <c r="C53" s="47">
        <f>0.2126*C50+0.7152*C51+0.0722*C52</f>
        <v/>
      </c>
      <c r="D53" s="47">
        <f>0.2126*D50+0.7152*D51+0.0722*D52</f>
        <v/>
      </c>
      <c r="E53" s="47">
        <f>0.2126*E50+0.7152*E51+0.0722*E52</f>
        <v/>
      </c>
      <c r="F53" s="47">
        <f>0.2126*F50+0.7152*F51+0.0722*F52</f>
        <v/>
      </c>
    </row>
    <row r="54">
      <c r="A54" s="2" t="inlineStr">
        <is>
          <t>Ambient Ia = night^(1-w) day^w (DayCycle mixLog); spot columns: beams on at night only (sun below -2 deg). Linear HDR units (the sun's irradiance is 3.2).</t>
        </is>
      </c>
    </row>
  </sheetData>
  <printOptions gridLines="0"/>
  <pageMargins left="0.4" right="0.4" top="0.4" bottom="0.4" header="0.2" footer="0.2"/>
  <pageSetup orientation="landscape" paperSize="9" scale="78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U3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3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Color_Interp: barycentric weights, Gouraud vs Phong, perspective-correct interpolation, sRGB blending, sky colour over the day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math/ExplorerMath edgeFunction / interpolateAffine / interpolatePerspective / srgbEncode (sections A-D: worked example values); section E: DayCycle solar model + export v6.day_cycle.grid (sky_zenith).</t>
        </is>
      </c>
    </row>
    <row r="5">
      <c r="A5" s="10" t="inlineStr">
        <is>
          <t>A. Screen triangle (worked example) with per-vertex data</t>
        </is>
      </c>
      <c r="K5" s="10" t="inlineStr">
        <is>
          <t>E. Blending two sRGB colours: naive (in sRGB) vs correct (in linear light)</t>
        </is>
      </c>
    </row>
    <row r="6" ht="18" customHeight="1">
      <c r="A6" s="3" t="inlineStr">
        <is>
          <t>vertex</t>
        </is>
      </c>
      <c r="B6" s="3" t="inlineStr">
        <is>
          <t>x (px)</t>
        </is>
      </c>
      <c r="C6" s="3" t="inlineStr">
        <is>
          <t>y (px)</t>
        </is>
      </c>
      <c r="D6" s="3" t="inlineStr">
        <is>
          <t>clip w</t>
        </is>
      </c>
      <c r="E6" s="3" t="inlineStr">
        <is>
          <t>tex u</t>
        </is>
      </c>
      <c r="F6" s="3" t="inlineStr">
        <is>
          <t>N.x</t>
        </is>
      </c>
      <c r="G6" s="3" t="inlineStr">
        <is>
          <t>N.y</t>
        </is>
      </c>
      <c r="H6" s="3" t="inlineStr">
        <is>
          <t>N.z</t>
        </is>
      </c>
      <c r="I6" s="3" t="inlineStr">
        <is>
          <t>I vertex</t>
        </is>
      </c>
      <c r="K6" s="3" t="inlineStr">
        <is>
          <t>colour</t>
        </is>
      </c>
      <c r="L6" s="3" t="inlineStr">
        <is>
          <t>R (0-255)</t>
        </is>
      </c>
      <c r="M6" s="3" t="inlineStr">
        <is>
          <t>G</t>
        </is>
      </c>
      <c r="N6" s="3" t="inlineStr">
        <is>
          <t>B</t>
        </is>
      </c>
      <c r="O6" s="3" t="inlineStr">
        <is>
          <t>R linear</t>
        </is>
      </c>
      <c r="P6" s="3" t="inlineStr">
        <is>
          <t>G linear</t>
        </is>
      </c>
      <c r="Q6" s="3" t="inlineStr">
        <is>
          <t>B linear</t>
        </is>
      </c>
    </row>
    <row r="7">
      <c r="A7" s="40" t="inlineStr">
        <is>
          <t>V0</t>
        </is>
      </c>
      <c r="B7" s="8" t="n">
        <v>100</v>
      </c>
      <c r="C7" s="8" t="n">
        <v>100</v>
      </c>
      <c r="D7" s="16" t="n">
        <v>1</v>
      </c>
      <c r="E7" s="16" t="n">
        <v>0</v>
      </c>
      <c r="F7" s="16" t="n">
        <v>-0.6012</v>
      </c>
      <c r="G7" s="16" t="n">
        <v>-0.4008</v>
      </c>
      <c r="H7" s="16" t="n">
        <v>0.6913</v>
      </c>
      <c r="I7" s="20">
        <f>$B$11*MAX(0,H7)+$C$11*MAX(0,H7)^$D$11</f>
        <v/>
      </c>
      <c r="K7" s="40" t="inlineStr">
        <is>
          <t>A</t>
        </is>
      </c>
      <c r="L7" s="8" t="n">
        <v>255</v>
      </c>
      <c r="M7" s="8" t="n">
        <v>64</v>
      </c>
      <c r="N7" s="8" t="n">
        <v>0</v>
      </c>
      <c r="O7" s="20">
        <f>IF((L7/255)&lt;=0.04045,(L7/255)/12.92,(((L7/255)+0.055)/1.055)^2.4)</f>
        <v/>
      </c>
      <c r="P7" s="20">
        <f>IF((M7/255)&lt;=0.04045,(M7/255)/12.92,(((M7/255)+0.055)/1.055)^2.4)</f>
        <v/>
      </c>
      <c r="Q7" s="20">
        <f>IF((N7/255)&lt;=0.04045,(N7/255)/12.92,(((N7/255)+0.055)/1.055)^2.4)</f>
        <v/>
      </c>
    </row>
    <row r="8">
      <c r="A8" s="40" t="inlineStr">
        <is>
          <t>V1</t>
        </is>
      </c>
      <c r="B8" s="8" t="n">
        <v>400</v>
      </c>
      <c r="C8" s="8" t="n">
        <v>150</v>
      </c>
      <c r="D8" s="16" t="n">
        <v>4</v>
      </c>
      <c r="E8" s="16" t="n">
        <v>1</v>
      </c>
      <c r="F8" s="16" t="n">
        <v>0.6007</v>
      </c>
      <c r="G8" s="16" t="n">
        <v>-0.3004</v>
      </c>
      <c r="H8" s="16" t="n">
        <v>0.7409</v>
      </c>
      <c r="I8" s="20">
        <f>$B$11*MAX(0,H8)+$C$11*MAX(0,H8)^$D$11</f>
        <v/>
      </c>
      <c r="K8" s="40" t="inlineStr">
        <is>
          <t>B</t>
        </is>
      </c>
      <c r="L8" s="8" t="n">
        <v>0</v>
      </c>
      <c r="M8" s="8" t="n">
        <v>128</v>
      </c>
      <c r="N8" s="8" t="n">
        <v>255</v>
      </c>
      <c r="O8" s="20">
        <f>IF((L8/255)&lt;=0.04045,(L8/255)/12.92,(((L8/255)+0.055)/1.055)^2.4)</f>
        <v/>
      </c>
      <c r="P8" s="20">
        <f>IF((M8/255)&lt;=0.04045,(M8/255)/12.92,(((M8/255)+0.055)/1.055)^2.4)</f>
        <v/>
      </c>
      <c r="Q8" s="20">
        <f>IF((N8/255)&lt;=0.04045,(N8/255)/12.92,(((N8/255)+0.055)/1.055)^2.4)</f>
        <v/>
      </c>
    </row>
    <row r="9" ht="18" customHeight="1">
      <c r="A9" s="40" t="inlineStr">
        <is>
          <t>V2</t>
        </is>
      </c>
      <c r="B9" s="8" t="n">
        <v>220</v>
      </c>
      <c r="C9" s="8" t="n">
        <v>380</v>
      </c>
      <c r="D9" s="16" t="n">
        <v>10</v>
      </c>
      <c r="E9" s="16" t="n">
        <v>0.5</v>
      </c>
      <c r="F9" s="16" t="n">
        <v>0</v>
      </c>
      <c r="G9" s="16" t="n">
        <v>0.6</v>
      </c>
      <c r="H9" s="16" t="n">
        <v>0.8</v>
      </c>
      <c r="I9" s="20">
        <f>$B$11*MAX(0,H9)+$C$11*MAX(0,H9)^$D$11</f>
        <v/>
      </c>
      <c r="K9" s="3" t="inlineStr">
        <is>
          <t>t</t>
        </is>
      </c>
      <c r="L9" s="3" t="inlineStr">
        <is>
          <t>naive R</t>
        </is>
      </c>
      <c r="M9" s="3" t="inlineStr">
        <is>
          <t>naive G</t>
        </is>
      </c>
      <c r="N9" s="3" t="inlineStr">
        <is>
          <t>naive B</t>
        </is>
      </c>
      <c r="O9" s="3" t="inlineStr">
        <is>
          <t>linear R</t>
        </is>
      </c>
      <c r="P9" s="3" t="inlineStr">
        <is>
          <t>linear G</t>
        </is>
      </c>
      <c r="Q9" s="3" t="inlineStr">
        <is>
          <t>linear B</t>
        </is>
      </c>
      <c r="R9" s="3" t="inlineStr">
        <is>
          <t>Y naive</t>
        </is>
      </c>
      <c r="S9" s="3" t="inlineStr">
        <is>
          <t>Y linear</t>
        </is>
      </c>
    </row>
    <row r="10">
      <c r="A10" s="4" t="inlineStr">
        <is>
          <t>light</t>
        </is>
      </c>
      <c r="B10" s="48" t="inlineStr">
        <is>
          <t>L = V = (0, 0, 1), H = (0, 0, 1)</t>
        </is>
      </c>
      <c r="K10" s="46" t="n">
        <v>0</v>
      </c>
      <c r="L10" s="21">
        <f>(1-K10)*$L$7+K10*$L$8</f>
        <v/>
      </c>
      <c r="M10" s="21">
        <f>(1-K10)*$M$7+K10*$M$8</f>
        <v/>
      </c>
      <c r="N10" s="21">
        <f>(1-K10)*$N$7+K10*$N$8</f>
        <v/>
      </c>
      <c r="O10" s="21">
        <f>255*IF(((1-K10)*$O$7+K10*$O$8)&lt;=0.0031308,12.92*((1-K10)*$O$7+K10*$O$8),1.055*((1-K10)*$O$7+K10*$O$8)^(1/2.4)-0.055)</f>
        <v/>
      </c>
      <c r="P10" s="21">
        <f>255*IF(((1-K10)*$P$7+K10*$P$8)&lt;=0.0031308,12.92*((1-K10)*$P$7+K10*$P$8),1.055*((1-K10)*$P$7+K10*$P$8)^(1/2.4)-0.055)</f>
        <v/>
      </c>
      <c r="Q10" s="21">
        <f>255*IF(((1-K10)*$Q$7+K10*$Q$8)&lt;=0.0031308,12.92*((1-K10)*$Q$7+K10*$Q$8),1.055*((1-K10)*$Q$7+K10*$Q$8)^(1/2.4)-0.055)</f>
        <v/>
      </c>
      <c r="R10" s="20">
        <f>0.2126*IF(L10/255&lt;=0.04045,L10/255/12.92,((L10/255+0.055)/1.055)^2.4)+0.7152*IF(M10/255&lt;=0.04045,M10/255/12.92,((M10/255+0.055)/1.055)^2.4)+0.0722*IF(N10/255&lt;=0.04045,N10/255/12.92,((N10/255+0.055)/1.055)^2.4)</f>
        <v/>
      </c>
      <c r="S10" s="20">
        <f>0.2126*IF(O10/255&lt;=0.04045,O10/255/12.92,((O10/255+0.055)/1.055)^2.4)+0.7152*IF(P10/255&lt;=0.04045,P10/255/12.92,((P10/255+0.055)/1.055)^2.4)+0.0722*IF(Q10/255&lt;=0.04045,Q10/255/12.92,((Q10/255+0.055)/1.055)^2.4)</f>
        <v/>
      </c>
    </row>
    <row r="11">
      <c r="A11" s="4" t="inlineStr">
        <is>
          <t>kd, ks, n</t>
        </is>
      </c>
      <c r="B11" s="16" t="n">
        <v>0.6</v>
      </c>
      <c r="C11" s="16" t="n">
        <v>0.6</v>
      </c>
      <c r="D11" s="8" t="n">
        <v>40</v>
      </c>
      <c r="K11" s="46" t="n">
        <v>0.25</v>
      </c>
      <c r="L11" s="21">
        <f>(1-K11)*$L$7+K11*$L$8</f>
        <v/>
      </c>
      <c r="M11" s="21">
        <f>(1-K11)*$M$7+K11*$M$8</f>
        <v/>
      </c>
      <c r="N11" s="21">
        <f>(1-K11)*$N$7+K11*$N$8</f>
        <v/>
      </c>
      <c r="O11" s="21">
        <f>255*IF(((1-K11)*$O$7+K11*$O$8)&lt;=0.0031308,12.92*((1-K11)*$O$7+K11*$O$8),1.055*((1-K11)*$O$7+K11*$O$8)^(1/2.4)-0.055)</f>
        <v/>
      </c>
      <c r="P11" s="21">
        <f>255*IF(((1-K11)*$P$7+K11*$P$8)&lt;=0.0031308,12.92*((1-K11)*$P$7+K11*$P$8),1.055*((1-K11)*$P$7+K11*$P$8)^(1/2.4)-0.055)</f>
        <v/>
      </c>
      <c r="Q11" s="21">
        <f>255*IF(((1-K11)*$Q$7+K11*$Q$8)&lt;=0.0031308,12.92*((1-K11)*$Q$7+K11*$Q$8),1.055*((1-K11)*$Q$7+K11*$Q$8)^(1/2.4)-0.055)</f>
        <v/>
      </c>
      <c r="R11" s="20">
        <f>0.2126*IF(L11/255&lt;=0.04045,L11/255/12.92,((L11/255+0.055)/1.055)^2.4)+0.7152*IF(M11/255&lt;=0.04045,M11/255/12.92,((M11/255+0.055)/1.055)^2.4)+0.0722*IF(N11/255&lt;=0.04045,N11/255/12.92,((N11/255+0.055)/1.055)^2.4)</f>
        <v/>
      </c>
      <c r="S11" s="20">
        <f>0.2126*IF(O11/255&lt;=0.04045,O11/255/12.92,((O11/255+0.055)/1.055)^2.4)+0.7152*IF(P11/255&lt;=0.04045,P11/255/12.92,((P11/255+0.055)/1.055)^2.4)+0.0722*IF(Q11/255&lt;=0.04045,Q11/255/12.92,((Q11/255+0.055)/1.055)^2.4)</f>
        <v/>
      </c>
    </row>
    <row r="12">
      <c r="A12" s="4" t="inlineStr">
        <is>
          <t>2 x area (edge fn)</t>
        </is>
      </c>
      <c r="B12" s="7">
        <f>($B$8-$B$7)*($C$9-$C$7)-($C$8-$C$7)*($B$9-$B$7)</f>
        <v/>
      </c>
      <c r="K12" s="46" t="n">
        <v>0.5</v>
      </c>
      <c r="L12" s="21">
        <f>(1-K12)*$L$7+K12*$L$8</f>
        <v/>
      </c>
      <c r="M12" s="21">
        <f>(1-K12)*$M$7+K12*$M$8</f>
        <v/>
      </c>
      <c r="N12" s="21">
        <f>(1-K12)*$N$7+K12*$N$8</f>
        <v/>
      </c>
      <c r="O12" s="21">
        <f>255*IF(((1-K12)*$O$7+K12*$O$8)&lt;=0.0031308,12.92*((1-K12)*$O$7+K12*$O$8),1.055*((1-K12)*$O$7+K12*$O$8)^(1/2.4)-0.055)</f>
        <v/>
      </c>
      <c r="P12" s="21">
        <f>255*IF(((1-K12)*$P$7+K12*$P$8)&lt;=0.0031308,12.92*((1-K12)*$P$7+K12*$P$8),1.055*((1-K12)*$P$7+K12*$P$8)^(1/2.4)-0.055)</f>
        <v/>
      </c>
      <c r="Q12" s="21">
        <f>255*IF(((1-K12)*$Q$7+K12*$Q$8)&lt;=0.0031308,12.92*((1-K12)*$Q$7+K12*$Q$8),1.055*((1-K12)*$Q$7+K12*$Q$8)^(1/2.4)-0.055)</f>
        <v/>
      </c>
      <c r="R12" s="20">
        <f>0.2126*IF(L12/255&lt;=0.04045,L12/255/12.92,((L12/255+0.055)/1.055)^2.4)+0.7152*IF(M12/255&lt;=0.04045,M12/255/12.92,((M12/255+0.055)/1.055)^2.4)+0.0722*IF(N12/255&lt;=0.04045,N12/255/12.92,((N12/255+0.055)/1.055)^2.4)</f>
        <v/>
      </c>
      <c r="S12" s="20">
        <f>0.2126*IF(O12/255&lt;=0.04045,O12/255/12.92,((O12/255+0.055)/1.055)^2.4)+0.7152*IF(P12/255&lt;=0.04045,P12/255/12.92,((P12/255+0.055)/1.055)^2.4)+0.0722*IF(Q12/255&lt;=0.04045,Q12/255/12.92,((Q12/255+0.055)/1.055)^2.4)</f>
        <v/>
      </c>
    </row>
    <row r="13">
      <c r="K13" s="46" t="n">
        <v>0.75</v>
      </c>
      <c r="L13" s="21">
        <f>(1-K13)*$L$7+K13*$L$8</f>
        <v/>
      </c>
      <c r="M13" s="21">
        <f>(1-K13)*$M$7+K13*$M$8</f>
        <v/>
      </c>
      <c r="N13" s="21">
        <f>(1-K13)*$N$7+K13*$N$8</f>
        <v/>
      </c>
      <c r="O13" s="21">
        <f>255*IF(((1-K13)*$O$7+K13*$O$8)&lt;=0.0031308,12.92*((1-K13)*$O$7+K13*$O$8),1.055*((1-K13)*$O$7+K13*$O$8)^(1/2.4)-0.055)</f>
        <v/>
      </c>
      <c r="P13" s="21">
        <f>255*IF(((1-K13)*$P$7+K13*$P$8)&lt;=0.0031308,12.92*((1-K13)*$P$7+K13*$P$8),1.055*((1-K13)*$P$7+K13*$P$8)^(1/2.4)-0.055)</f>
        <v/>
      </c>
      <c r="Q13" s="21">
        <f>255*IF(((1-K13)*$Q$7+K13*$Q$8)&lt;=0.0031308,12.92*((1-K13)*$Q$7+K13*$Q$8),1.055*((1-K13)*$Q$7+K13*$Q$8)^(1/2.4)-0.055)</f>
        <v/>
      </c>
      <c r="R13" s="20">
        <f>0.2126*IF(L13/255&lt;=0.04045,L13/255/12.92,((L13/255+0.055)/1.055)^2.4)+0.7152*IF(M13/255&lt;=0.04045,M13/255/12.92,((M13/255+0.055)/1.055)^2.4)+0.0722*IF(N13/255&lt;=0.04045,N13/255/12.92,((N13/255+0.055)/1.055)^2.4)</f>
        <v/>
      </c>
      <c r="S13" s="20">
        <f>0.2126*IF(O13/255&lt;=0.04045,O13/255/12.92,((O13/255+0.055)/1.055)^2.4)+0.7152*IF(P13/255&lt;=0.04045,P13/255/12.92,((P13/255+0.055)/1.055)^2.4)+0.0722*IF(Q13/255&lt;=0.04045,Q13/255/12.92,((Q13/255+0.055)/1.055)^2.4)</f>
        <v/>
      </c>
    </row>
    <row r="14">
      <c r="A14" s="10" t="inlineStr">
        <is>
          <t>B. Barycentric weights at sample points: w0 = E12(p) / area, w1 = E20(p) / area, w2 = E01(p) / area</t>
        </is>
      </c>
      <c r="K14" s="46" t="n">
        <v>1</v>
      </c>
      <c r="L14" s="21">
        <f>(1-K14)*$L$7+K14*$L$8</f>
        <v/>
      </c>
      <c r="M14" s="21">
        <f>(1-K14)*$M$7+K14*$M$8</f>
        <v/>
      </c>
      <c r="N14" s="21">
        <f>(1-K14)*$N$7+K14*$N$8</f>
        <v/>
      </c>
      <c r="O14" s="21">
        <f>255*IF(((1-K14)*$O$7+K14*$O$8)&lt;=0.0031308,12.92*((1-K14)*$O$7+K14*$O$8),1.055*((1-K14)*$O$7+K14*$O$8)^(1/2.4)-0.055)</f>
        <v/>
      </c>
      <c r="P14" s="21">
        <f>255*IF(((1-K14)*$P$7+K14*$P$8)&lt;=0.0031308,12.92*((1-K14)*$P$7+K14*$P$8),1.055*((1-K14)*$P$7+K14*$P$8)^(1/2.4)-0.055)</f>
        <v/>
      </c>
      <c r="Q14" s="21">
        <f>255*IF(((1-K14)*$Q$7+K14*$Q$8)&lt;=0.0031308,12.92*((1-K14)*$Q$7+K14*$Q$8),1.055*((1-K14)*$Q$7+K14*$Q$8)^(1/2.4)-0.055)</f>
        <v/>
      </c>
      <c r="R14" s="20">
        <f>0.2126*IF(L14/255&lt;=0.04045,L14/255/12.92,((L14/255+0.055)/1.055)^2.4)+0.7152*IF(M14/255&lt;=0.04045,M14/255/12.92,((M14/255+0.055)/1.055)^2.4)+0.0722*IF(N14/255&lt;=0.04045,N14/255/12.92,((N14/255+0.055)/1.055)^2.4)</f>
        <v/>
      </c>
      <c r="S14" s="20">
        <f>0.2126*IF(O14/255&lt;=0.04045,O14/255/12.92,((O14/255+0.055)/1.055)^2.4)+0.7152*IF(P14/255&lt;=0.04045,P14/255/12.92,((P14/255+0.055)/1.055)^2.4)+0.0722*IF(Q14/255&lt;=0.04045,Q14/255/12.92,((Q14/255+0.055)/1.055)^2.4)</f>
        <v/>
      </c>
    </row>
    <row r="15" ht="18" customHeight="1">
      <c r="A15" s="3" t="inlineStr">
        <is>
          <t>sample</t>
        </is>
      </c>
      <c r="B15" s="3" t="inlineStr">
        <is>
          <t>px</t>
        </is>
      </c>
      <c r="C15" s="3" t="inlineStr">
        <is>
          <t>py</t>
        </is>
      </c>
      <c r="D15" s="3" t="inlineStr">
        <is>
          <t>w0</t>
        </is>
      </c>
      <c r="E15" s="3" t="inlineStr">
        <is>
          <t>w1</t>
        </is>
      </c>
      <c r="F15" s="3" t="inlineStr">
        <is>
          <t>w2</t>
        </is>
      </c>
      <c r="G15" s="3" t="inlineStr">
        <is>
          <t>sum</t>
        </is>
      </c>
      <c r="H15" s="3" t="inlineStr">
        <is>
          <t>inside</t>
        </is>
      </c>
      <c r="K15" s="2" t="inlineStr">
        <is>
          <t>sRGB decode: c &lt;= 0.04045 ? c/12.92 : ((c+0.055)/1.055)^2.4; encode = srgbEncode (ExplorerMath).</t>
        </is>
      </c>
    </row>
    <row r="16">
      <c r="A16" s="4" t="inlineStr">
        <is>
          <t>centroid</t>
        </is>
      </c>
      <c r="B16" s="8" t="n">
        <v>240</v>
      </c>
      <c r="C16" s="8" t="n">
        <v>210</v>
      </c>
      <c r="D16" s="20">
        <f>(($B$9-$B$8)*(C16-$C$8)-($C$9-$C$8)*(B16-$B$8))/$B$12</f>
        <v/>
      </c>
      <c r="E16" s="20">
        <f>(($B$7-$B$9)*(C16-$C$9)-($C$7-$C$9)*(B16-$B$9))/$B$12</f>
        <v/>
      </c>
      <c r="F16" s="20">
        <f>(($B$8-$B$7)*(C16-$C$7)-($C$8-$C$7)*(B16-$B$7))/$B$12</f>
        <v/>
      </c>
      <c r="G16" s="20">
        <f>D16+E16+F16</f>
        <v/>
      </c>
      <c r="H16" s="15">
        <f>IF(AND(D16&gt;=0,E16&gt;=0,F16&gt;=0),"yes","no")</f>
        <v/>
      </c>
      <c r="K16" s="2" t="inlineStr">
        <is>
          <t>Y = relative luminance (Rec. 709). The naive mid-point is darker than the light-correct one.</t>
        </is>
      </c>
    </row>
    <row r="17">
      <c r="A17" s="4" t="inlineStr">
        <is>
          <t>near V1</t>
        </is>
      </c>
      <c r="B17" s="8" t="n">
        <v>360</v>
      </c>
      <c r="C17" s="8" t="n">
        <v>160</v>
      </c>
      <c r="D17" s="20">
        <f>(($B$9-$B$8)*(C17-$C$8)-($C$9-$C$8)*(B17-$B$8))/$B$12</f>
        <v/>
      </c>
      <c r="E17" s="20">
        <f>(($B$7-$B$9)*(C17-$C$9)-($C$7-$C$9)*(B17-$B$9))/$B$12</f>
        <v/>
      </c>
      <c r="F17" s="20">
        <f>(($B$8-$B$7)*(C17-$C$7)-($C$8-$C$7)*(B17-$B$7))/$B$12</f>
        <v/>
      </c>
      <c r="G17" s="20">
        <f>D17+E17+F17</f>
        <v/>
      </c>
      <c r="H17" s="15">
        <f>IF(AND(D17&gt;=0,E17&gt;=0,F17&gt;=0),"yes","no")</f>
        <v/>
      </c>
    </row>
    <row r="18">
      <c r="A18" s="4" t="inlineStr">
        <is>
          <t>edge V0-V2 mid</t>
        </is>
      </c>
      <c r="B18" s="8" t="n">
        <v>160</v>
      </c>
      <c r="C18" s="8" t="n">
        <v>240</v>
      </c>
      <c r="D18" s="20">
        <f>(($B$9-$B$8)*(C18-$C$8)-($C$9-$C$8)*(B18-$B$8))/$B$12</f>
        <v/>
      </c>
      <c r="E18" s="20">
        <f>(($B$7-$B$9)*(C18-$C$9)-($C$7-$C$9)*(B18-$B$9))/$B$12</f>
        <v/>
      </c>
      <c r="F18" s="20">
        <f>(($B$8-$B$7)*(C18-$C$7)-($C$8-$C$7)*(B18-$B$7))/$B$12</f>
        <v/>
      </c>
      <c r="G18" s="20">
        <f>D18+E18+F18</f>
        <v/>
      </c>
      <c r="H18" s="15">
        <f>IF(AND(D18&gt;=0,E18&gt;=0,F18&gt;=0),"yes","no")</f>
        <v/>
      </c>
      <c r="K18" s="10" t="inlineStr">
        <is>
          <t>F. Sky zenith colour over the day (solar model formulas; sky colour from the export)</t>
        </is>
      </c>
      <c r="R18" s="10" t="inlineStr">
        <is>
          <t>phi, delta:</t>
        </is>
      </c>
      <c r="S18" s="16" t="n">
        <v>22.8</v>
      </c>
      <c r="T18" s="16" t="n">
        <v>-4.6</v>
      </c>
    </row>
    <row r="19" ht="30" customHeight="1">
      <c r="A19" s="4" t="inlineStr">
        <is>
          <t>centre-left</t>
        </is>
      </c>
      <c r="B19" s="8" t="n">
        <v>200</v>
      </c>
      <c r="C19" s="8" t="n">
        <v>180</v>
      </c>
      <c r="D19" s="20">
        <f>(($B$9-$B$8)*(C19-$C$8)-($C$9-$C$8)*(B19-$B$8))/$B$12</f>
        <v/>
      </c>
      <c r="E19" s="20">
        <f>(($B$7-$B$9)*(C19-$C$9)-($C$7-$C$9)*(B19-$B$9))/$B$12</f>
        <v/>
      </c>
      <c r="F19" s="20">
        <f>(($B$8-$B$7)*(C19-$C$7)-($C$8-$C$7)*(B19-$B$7))/$B$12</f>
        <v/>
      </c>
      <c r="G19" s="20">
        <f>D19+E19+F19</f>
        <v/>
      </c>
      <c r="H19" s="15">
        <f>IF(AND(D19&gt;=0,E19&gt;=0,F19&gt;=0),"yes","no")</f>
        <v/>
      </c>
      <c r="K19" s="3" t="inlineStr">
        <is>
          <t>hour</t>
        </is>
      </c>
      <c r="L19" s="3" t="inlineStr">
        <is>
          <t>e formula (deg)</t>
        </is>
      </c>
      <c r="M19" s="3" t="inlineStr">
        <is>
          <t>e export (deg)</t>
        </is>
      </c>
      <c r="N19" s="3" t="inlineStr">
        <is>
          <t>diff</t>
        </is>
      </c>
      <c r="O19" s="3" t="inlineStr">
        <is>
          <t>daylight w</t>
        </is>
      </c>
      <c r="P19" s="3" t="inlineStr">
        <is>
          <t>phase (no hysteresis)</t>
        </is>
      </c>
      <c r="Q19" s="3" t="inlineStr">
        <is>
          <t>zenith R</t>
        </is>
      </c>
      <c r="R19" s="3" t="inlineStr">
        <is>
          <t>zenith G</t>
        </is>
      </c>
      <c r="S19" s="3" t="inlineStr">
        <is>
          <t>zenith B</t>
        </is>
      </c>
      <c r="T19" s="3" t="inlineStr">
        <is>
          <t>Y zenith</t>
        </is>
      </c>
      <c r="U19" s="3" t="inlineStr">
        <is>
          <t>phase export</t>
        </is>
      </c>
    </row>
    <row r="20">
      <c r="A20" s="4" t="inlineStr">
        <is>
          <t>outside</t>
        </is>
      </c>
      <c r="B20" s="8" t="n">
        <v>420</v>
      </c>
      <c r="C20" s="8" t="n">
        <v>330</v>
      </c>
      <c r="D20" s="20">
        <f>(($B$9-$B$8)*(C20-$C$8)-($C$9-$C$8)*(B20-$B$8))/$B$12</f>
        <v/>
      </c>
      <c r="E20" s="20">
        <f>(($B$7-$B$9)*(C20-$C$9)-($C$7-$C$9)*(B20-$B$9))/$B$12</f>
        <v/>
      </c>
      <c r="F20" s="20">
        <f>(($B$8-$B$7)*(C20-$C$7)-($C$8-$C$7)*(B20-$B$7))/$B$12</f>
        <v/>
      </c>
      <c r="G20" s="20">
        <f>D20+E20+F20</f>
        <v/>
      </c>
      <c r="H20" s="15">
        <f>IF(AND(D20&gt;=0,E20&gt;=0,F20&gt;=0),"yes","no")</f>
        <v/>
      </c>
      <c r="K20" s="46" t="n">
        <v>0</v>
      </c>
      <c r="L20" s="20">
        <f>DEGREES(ASIN(SIN(RADIANS($S$18))*SIN(RADIANS($T$18))+COS(RADIANS($S$18))*COS(RADIANS($T$18))*COS(RADIANS(15*(K20-12)))))</f>
        <v/>
      </c>
      <c r="M20" s="16" t="n">
        <v>-71.8</v>
      </c>
      <c r="N20" s="20">
        <f>L20-M20</f>
        <v/>
      </c>
      <c r="O20" s="20">
        <f>(MIN(MAX((L20-(-8))/((6)-(-8)),0),1)^2*(3-2*MIN(MAX((L20-(-8))/((6)-(-8)),0),1)))</f>
        <v/>
      </c>
      <c r="P20" s="15">
        <f>IF(L20&lt;-6,"NIGHT",IF(L20&gt;4,"DAY",IF(K20&lt;12,"DAWN","DUSK")))</f>
        <v/>
      </c>
      <c r="Q20" s="16" t="n">
        <v>0.03</v>
      </c>
      <c r="R20" s="16" t="n">
        <v>0.04</v>
      </c>
      <c r="S20" s="16" t="n">
        <v>0.075</v>
      </c>
      <c r="T20" s="20">
        <f>0.2126*Q20+0.7152*R20+0.0722*S20</f>
        <v/>
      </c>
      <c r="U20" s="18" t="inlineStr">
        <is>
          <t>NIGHT</t>
        </is>
      </c>
    </row>
    <row r="21">
      <c r="K21" s="46" t="n">
        <v>4</v>
      </c>
      <c r="L21" s="20">
        <f>DEGREES(ASIN(SIN(RADIANS($S$18))*SIN(RADIANS($T$18))+COS(RADIANS($S$18))*COS(RADIANS($T$18))*COS(RADIANS(15*(K21-12)))))</f>
        <v/>
      </c>
      <c r="M21" s="16" t="n">
        <v>-29.3751</v>
      </c>
      <c r="N21" s="20">
        <f>L21-M21</f>
        <v/>
      </c>
      <c r="O21" s="20">
        <f>(MIN(MAX((L21-(-8))/((6)-(-8)),0),1)^2*(3-2*MIN(MAX((L21-(-8))/((6)-(-8)),0),1)))</f>
        <v/>
      </c>
      <c r="P21" s="15">
        <f>IF(L21&lt;-6,"NIGHT",IF(L21&gt;4,"DAY",IF(K21&lt;12,"DAWN","DUSK")))</f>
        <v/>
      </c>
      <c r="Q21" s="16" t="n">
        <v>0.03</v>
      </c>
      <c r="R21" s="16" t="n">
        <v>0.04</v>
      </c>
      <c r="S21" s="16" t="n">
        <v>0.075</v>
      </c>
      <c r="T21" s="20">
        <f>0.2126*Q21+0.7152*R21+0.0722*S21</f>
        <v/>
      </c>
      <c r="U21" s="18" t="inlineStr">
        <is>
          <t>NIGHT</t>
        </is>
      </c>
    </row>
    <row r="22">
      <c r="A22" s="10" t="inlineStr">
        <is>
          <t>C. Gouraud (interpolate vertex I) vs Phong (interpolate N, normalise, then light)</t>
        </is>
      </c>
      <c r="K22" s="46" t="n">
        <v>5.5</v>
      </c>
      <c r="L22" s="20">
        <f>DEGREES(ASIN(SIN(RADIANS($S$18))*SIN(RADIANS($T$18))+COS(RADIANS($S$18))*COS(RADIANS($T$18))*COS(RADIANS(15*(K22-12)))))</f>
        <v/>
      </c>
      <c r="M22" s="16" t="n">
        <v>-8.68594</v>
      </c>
      <c r="N22" s="20">
        <f>L22-M22</f>
        <v/>
      </c>
      <c r="O22" s="20">
        <f>(MIN(MAX((L22-(-8))/((6)-(-8)),0),1)^2*(3-2*MIN(MAX((L22-(-8))/((6)-(-8)),0),1)))</f>
        <v/>
      </c>
      <c r="P22" s="15">
        <f>IF(L22&lt;-6,"NIGHT",IF(L22&gt;4,"DAY",IF(K22&lt;12,"DAWN","DUSK")))</f>
        <v/>
      </c>
      <c r="Q22" s="16" t="n">
        <v>0.03</v>
      </c>
      <c r="R22" s="16" t="n">
        <v>0.04</v>
      </c>
      <c r="S22" s="16" t="n">
        <v>0.075</v>
      </c>
      <c r="T22" s="20">
        <f>0.2126*Q22+0.7152*R22+0.0722*S22</f>
        <v/>
      </c>
      <c r="U22" s="18" t="inlineStr">
        <is>
          <t>NIGHT</t>
        </is>
      </c>
    </row>
    <row r="23" ht="18" customHeight="1">
      <c r="A23" s="3" t="inlineStr">
        <is>
          <t>sample</t>
        </is>
      </c>
      <c r="B23" s="3" t="inlineStr">
        <is>
          <t>I Gouraud</t>
        </is>
      </c>
      <c r="C23" s="3" t="inlineStr">
        <is>
          <t>N.x</t>
        </is>
      </c>
      <c r="D23" s="3" t="inlineStr">
        <is>
          <t>N.y</t>
        </is>
      </c>
      <c r="E23" s="3" t="inlineStr">
        <is>
          <t>N.z</t>
        </is>
      </c>
      <c r="F23" s="3" t="inlineStr">
        <is>
          <t>|N|</t>
        </is>
      </c>
      <c r="G23" s="3" t="inlineStr">
        <is>
          <t>I Phong</t>
        </is>
      </c>
      <c r="H23" s="3" t="inlineStr">
        <is>
          <t>Phong - Gouraud</t>
        </is>
      </c>
      <c r="K23" s="46" t="n">
        <v>6</v>
      </c>
      <c r="L23" s="20">
        <f>DEGREES(ASIN(SIN(RADIANS($S$18))*SIN(RADIANS($T$18))+COS(RADIANS($S$18))*COS(RADIANS($T$18))*COS(RADIANS(15*(K23-12)))))</f>
        <v/>
      </c>
      <c r="M23" s="16" t="n">
        <v>-1.78095</v>
      </c>
      <c r="N23" s="20">
        <f>L23-M23</f>
        <v/>
      </c>
      <c r="O23" s="20">
        <f>(MIN(MAX((L23-(-8))/((6)-(-8)),0),1)^2*(3-2*MIN(MAX((L23-(-8))/((6)-(-8)),0),1)))</f>
        <v/>
      </c>
      <c r="P23" s="15">
        <f>IF(L23&lt;-6,"NIGHT",IF(L23&gt;4,"DAY",IF(K23&lt;12,"DAWN","DUSK")))</f>
        <v/>
      </c>
      <c r="Q23" s="16" t="n">
        <v>0.06171</v>
      </c>
      <c r="R23" s="16" t="n">
        <v>0.07525</v>
      </c>
      <c r="S23" s="16" t="n">
        <v>0.1058</v>
      </c>
      <c r="T23" s="20">
        <f>0.2126*Q23+0.7152*R23+0.0722*S23</f>
        <v/>
      </c>
      <c r="U23" s="18" t="inlineStr">
        <is>
          <t>DAWN</t>
        </is>
      </c>
    </row>
    <row r="24">
      <c r="A24" s="47">
        <f>A16</f>
        <v/>
      </c>
      <c r="B24" s="20">
        <f>D16*$I$7+E16*$I$8+F16*$I$9</f>
        <v/>
      </c>
      <c r="C24" s="20">
        <f>D16*$F$7+E16*$F$8+F16*$F$9</f>
        <v/>
      </c>
      <c r="D24" s="20">
        <f>D16*$G$7+E16*$G$8+F16*$G$9</f>
        <v/>
      </c>
      <c r="E24" s="20">
        <f>D16*$H$7+E16*$H$8+F16*$H$9</f>
        <v/>
      </c>
      <c r="F24" s="20">
        <f>SQRT(C24^2+D24^2+E24^2)</f>
        <v/>
      </c>
      <c r="G24" s="20">
        <f>$B$11*MAX(0,(E24/F24))+$C$11*MAX(0,(E24/F24))^$D$11</f>
        <v/>
      </c>
      <c r="H24" s="20">
        <f>G24-B24</f>
        <v/>
      </c>
      <c r="K24" s="46" t="n">
        <v>6.5</v>
      </c>
      <c r="L24" s="20">
        <f>DEGREES(ASIN(SIN(RADIANS($S$18))*SIN(RADIANS($T$18))+COS(RADIANS($S$18))*COS(RADIANS($T$18))*COS(RADIANS(15*(K24-12)))))</f>
        <v/>
      </c>
      <c r="M24" s="16" t="n">
        <v>5.0981</v>
      </c>
      <c r="N24" s="20">
        <f>L24-M24</f>
        <v/>
      </c>
      <c r="O24" s="20">
        <f>(MIN(MAX((L24-(-8))/((6)-(-8)),0),1)^2*(3-2*MIN(MAX((L24-(-8))/((6)-(-8)),0),1)))</f>
        <v/>
      </c>
      <c r="P24" s="15">
        <f>IF(L24&lt;-6,"NIGHT",IF(L24&gt;4,"DAY",IF(K24&lt;12,"DAWN","DUSK")))</f>
        <v/>
      </c>
      <c r="Q24" s="16" t="n">
        <v>0.1885</v>
      </c>
      <c r="R24" s="16" t="n">
        <v>0.2126</v>
      </c>
      <c r="S24" s="16" t="n">
        <v>0.2329</v>
      </c>
      <c r="T24" s="20">
        <f>0.2126*Q24+0.7152*R24+0.0722*S24</f>
        <v/>
      </c>
      <c r="U24" s="18" t="inlineStr">
        <is>
          <t>DAY</t>
        </is>
      </c>
    </row>
    <row r="25">
      <c r="A25" s="47">
        <f>A17</f>
        <v/>
      </c>
      <c r="B25" s="20">
        <f>D17*$I$7+E17*$I$8+F17*$I$9</f>
        <v/>
      </c>
      <c r="C25" s="20">
        <f>D17*$F$7+E17*$F$8+F17*$F$9</f>
        <v/>
      </c>
      <c r="D25" s="20">
        <f>D17*$G$7+E17*$G$8+F17*$G$9</f>
        <v/>
      </c>
      <c r="E25" s="20">
        <f>D17*$H$7+E17*$H$8+F17*$H$9</f>
        <v/>
      </c>
      <c r="F25" s="20">
        <f>SQRT(C25^2+D25^2+E25^2)</f>
        <v/>
      </c>
      <c r="G25" s="20">
        <f>$B$11*MAX(0,(E25/F25))+$C$11*MAX(0,(E25/F25))^$D$11</f>
        <v/>
      </c>
      <c r="H25" s="20">
        <f>G25-B25</f>
        <v/>
      </c>
      <c r="K25" s="46" t="n">
        <v>7</v>
      </c>
      <c r="L25" s="20">
        <f>DEGREES(ASIN(SIN(RADIANS($S$18))*SIN(RADIANS($T$18))+COS(RADIANS($S$18))*COS(RADIANS($T$18))*COS(RADIANS(15*(K25-12)))))</f>
        <v/>
      </c>
      <c r="M25" s="16" t="n">
        <v>11.9319</v>
      </c>
      <c r="N25" s="20">
        <f>L25-M25</f>
        <v/>
      </c>
      <c r="O25" s="20">
        <f>(MIN(MAX((L25-(-8))/((6)-(-8)),0),1)^2*(3-2*MIN(MAX((L25-(-8))/((6)-(-8)),0),1)))</f>
        <v/>
      </c>
      <c r="P25" s="15">
        <f>IF(L25&lt;-6,"NIGHT",IF(L25&gt;4,"DAY",IF(K25&lt;12,"DAWN","DUSK")))</f>
        <v/>
      </c>
      <c r="Q25" s="16" t="n">
        <v>0.2206</v>
      </c>
      <c r="R25" s="16" t="n">
        <v>0.2653</v>
      </c>
      <c r="S25" s="16" t="n">
        <v>0.3436</v>
      </c>
      <c r="T25" s="20">
        <f>0.2126*Q25+0.7152*R25+0.0722*S25</f>
        <v/>
      </c>
      <c r="U25" s="18" t="inlineStr">
        <is>
          <t>DAY</t>
        </is>
      </c>
    </row>
    <row r="26">
      <c r="A26" s="47">
        <f>A18</f>
        <v/>
      </c>
      <c r="B26" s="20">
        <f>D18*$I$7+E18*$I$8+F18*$I$9</f>
        <v/>
      </c>
      <c r="C26" s="20">
        <f>D18*$F$7+E18*$F$8+F18*$F$9</f>
        <v/>
      </c>
      <c r="D26" s="20">
        <f>D18*$G$7+E18*$G$8+F18*$G$9</f>
        <v/>
      </c>
      <c r="E26" s="20">
        <f>D18*$H$7+E18*$H$8+F18*$H$9</f>
        <v/>
      </c>
      <c r="F26" s="20">
        <f>SQRT(C26^2+D26^2+E26^2)</f>
        <v/>
      </c>
      <c r="G26" s="20">
        <f>$B$11*MAX(0,(E26/F26))+$C$11*MAX(0,(E26/F26))^$D$11</f>
        <v/>
      </c>
      <c r="H26" s="20">
        <f>G26-B26</f>
        <v/>
      </c>
      <c r="K26" s="46" t="n">
        <v>9</v>
      </c>
      <c r="L26" s="20">
        <f>DEGREES(ASIN(SIN(RADIANS($S$18))*SIN(RADIANS($T$18))+COS(RADIANS($S$18))*COS(RADIANS($T$18))*COS(RADIANS(15*(K26-12)))))</f>
        <v/>
      </c>
      <c r="M26" s="16" t="n">
        <v>38.2196</v>
      </c>
      <c r="N26" s="20">
        <f>L26-M26</f>
        <v/>
      </c>
      <c r="O26" s="20">
        <f>(MIN(MAX((L26-(-8))/((6)-(-8)),0),1)^2*(3-2*MIN(MAX((L26-(-8))/((6)-(-8)),0),1)))</f>
        <v/>
      </c>
      <c r="P26" s="15">
        <f>IF(L26&lt;-6,"NIGHT",IF(L26&gt;4,"DAY",IF(K26&lt;12,"DAWN","DUSK")))</f>
        <v/>
      </c>
      <c r="Q26" s="16" t="n">
        <v>0.2852</v>
      </c>
      <c r="R26" s="16" t="n">
        <v>0.4034</v>
      </c>
      <c r="S26" s="16" t="n">
        <v>0.6962</v>
      </c>
      <c r="T26" s="20">
        <f>0.2126*Q26+0.7152*R26+0.0722*S26</f>
        <v/>
      </c>
      <c r="U26" s="18" t="inlineStr">
        <is>
          <t>DAY</t>
        </is>
      </c>
    </row>
    <row r="27">
      <c r="A27" s="47">
        <f>A19</f>
        <v/>
      </c>
      <c r="B27" s="20">
        <f>D19*$I$7+E19*$I$8+F19*$I$9</f>
        <v/>
      </c>
      <c r="C27" s="20">
        <f>D19*$F$7+E19*$F$8+F19*$F$9</f>
        <v/>
      </c>
      <c r="D27" s="20">
        <f>D19*$G$7+E19*$G$8+F19*$G$9</f>
        <v/>
      </c>
      <c r="E27" s="20">
        <f>D19*$H$7+E19*$H$8+F19*$H$9</f>
        <v/>
      </c>
      <c r="F27" s="20">
        <f>SQRT(C27^2+D27^2+E27^2)</f>
        <v/>
      </c>
      <c r="G27" s="20">
        <f>$B$11*MAX(0,(E27/F27))+$C$11*MAX(0,(E27/F27))^$D$11</f>
        <v/>
      </c>
      <c r="H27" s="20">
        <f>G27-B27</f>
        <v/>
      </c>
      <c r="K27" s="46" t="n">
        <v>12</v>
      </c>
      <c r="L27" s="20">
        <f>DEGREES(ASIN(SIN(RADIANS($S$18))*SIN(RADIANS($T$18))+COS(RADIANS($S$18))*COS(RADIANS($T$18))*COS(RADIANS(15*(K27-12)))))</f>
        <v/>
      </c>
      <c r="M27" s="16" t="n">
        <v>62.6</v>
      </c>
      <c r="N27" s="20">
        <f>L27-M27</f>
        <v/>
      </c>
      <c r="O27" s="20">
        <f>(MIN(MAX((L27-(-8))/((6)-(-8)),0),1)^2*(3-2*MIN(MAX((L27-(-8))/((6)-(-8)),0),1)))</f>
        <v/>
      </c>
      <c r="P27" s="15">
        <f>IF(L27&lt;-6,"NIGHT",IF(L27&gt;4,"DAY",IF(K27&lt;12,"DAWN","DUSK")))</f>
        <v/>
      </c>
      <c r="Q27" s="16" t="n">
        <v>0.3089</v>
      </c>
      <c r="R27" s="16" t="n">
        <v>0.4463</v>
      </c>
      <c r="S27" s="16" t="n">
        <v>0.7643</v>
      </c>
      <c r="T27" s="20">
        <f>0.2126*Q27+0.7152*R27+0.0722*S27</f>
        <v/>
      </c>
      <c r="U27" s="18" t="inlineStr">
        <is>
          <t>DAY</t>
        </is>
      </c>
    </row>
    <row r="28">
      <c r="A28" s="2" t="inlineStr">
        <is>
          <t>The highlight sits inside the triangle (interpolated N close to H): Phong finds it, Gouraud misses it.</t>
        </is>
      </c>
      <c r="K28" s="46" t="n">
        <v>15</v>
      </c>
      <c r="L28" s="20">
        <f>DEGREES(ASIN(SIN(RADIANS($S$18))*SIN(RADIANS($T$18))+COS(RADIANS($S$18))*COS(RADIANS($T$18))*COS(RADIANS(15*(K28-12)))))</f>
        <v/>
      </c>
      <c r="M28" s="16" t="n">
        <v>38.2196</v>
      </c>
      <c r="N28" s="20">
        <f>L28-M28</f>
        <v/>
      </c>
      <c r="O28" s="20">
        <f>(MIN(MAX((L28-(-8))/((6)-(-8)),0),1)^2*(3-2*MIN(MAX((L28-(-8))/((6)-(-8)),0),1)))</f>
        <v/>
      </c>
      <c r="P28" s="15">
        <f>IF(L28&lt;-6,"NIGHT",IF(L28&gt;4,"DAY",IF(K28&lt;12,"DAWN","DUSK")))</f>
        <v/>
      </c>
      <c r="Q28" s="16" t="n">
        <v>0.2852</v>
      </c>
      <c r="R28" s="16" t="n">
        <v>0.4034</v>
      </c>
      <c r="S28" s="16" t="n">
        <v>0.6962</v>
      </c>
      <c r="T28" s="20">
        <f>0.2126*Q28+0.7152*R28+0.0722*S28</f>
        <v/>
      </c>
      <c r="U28" s="18" t="inlineStr">
        <is>
          <t>DAY</t>
        </is>
      </c>
    </row>
    <row r="29">
      <c r="K29" s="46" t="n">
        <v>17</v>
      </c>
      <c r="L29" s="20">
        <f>DEGREES(ASIN(SIN(RADIANS($S$18))*SIN(RADIANS($T$18))+COS(RADIANS($S$18))*COS(RADIANS($T$18))*COS(RADIANS(15*(K29-12)))))</f>
        <v/>
      </c>
      <c r="M29" s="16" t="n">
        <v>11.9319</v>
      </c>
      <c r="N29" s="20">
        <f>L29-M29</f>
        <v/>
      </c>
      <c r="O29" s="20">
        <f>(MIN(MAX((L29-(-8))/((6)-(-8)),0),1)^2*(3-2*MIN(MAX((L29-(-8))/((6)-(-8)),0),1)))</f>
        <v/>
      </c>
      <c r="P29" s="15">
        <f>IF(L29&lt;-6,"NIGHT",IF(L29&gt;4,"DAY",IF(K29&lt;12,"DAWN","DUSK")))</f>
        <v/>
      </c>
      <c r="Q29" s="16" t="n">
        <v>0.2206</v>
      </c>
      <c r="R29" s="16" t="n">
        <v>0.2653</v>
      </c>
      <c r="S29" s="16" t="n">
        <v>0.3436</v>
      </c>
      <c r="T29" s="20">
        <f>0.2126*Q29+0.7152*R29+0.0722*S29</f>
        <v/>
      </c>
      <c r="U29" s="18" t="inlineStr">
        <is>
          <t>DAY</t>
        </is>
      </c>
    </row>
    <row r="30">
      <c r="A30" s="10" t="inlineStr">
        <is>
          <t>D. Texture coordinate u: affine vs perspective-correct (clip w per vertex)</t>
        </is>
      </c>
      <c r="K30" s="46" t="n">
        <v>17.5</v>
      </c>
      <c r="L30" s="20">
        <f>DEGREES(ASIN(SIN(RADIANS($S$18))*SIN(RADIANS($T$18))+COS(RADIANS($S$18))*COS(RADIANS($T$18))*COS(RADIANS(15*(K30-12)))))</f>
        <v/>
      </c>
      <c r="M30" s="16" t="n">
        <v>5.0981</v>
      </c>
      <c r="N30" s="20">
        <f>L30-M30</f>
        <v/>
      </c>
      <c r="O30" s="20">
        <f>(MIN(MAX((L30-(-8))/((6)-(-8)),0),1)^2*(3-2*MIN(MAX((L30-(-8))/((6)-(-8)),0),1)))</f>
        <v/>
      </c>
      <c r="P30" s="15">
        <f>IF(L30&lt;-6,"NIGHT",IF(L30&gt;4,"DAY",IF(K30&lt;12,"DAWN","DUSK")))</f>
        <v/>
      </c>
      <c r="Q30" s="16" t="n">
        <v>0.1885</v>
      </c>
      <c r="R30" s="16" t="n">
        <v>0.2126</v>
      </c>
      <c r="S30" s="16" t="n">
        <v>0.2329</v>
      </c>
      <c r="T30" s="20">
        <f>0.2126*Q30+0.7152*R30+0.0722*S30</f>
        <v/>
      </c>
      <c r="U30" s="18" t="inlineStr">
        <is>
          <t>DAY</t>
        </is>
      </c>
    </row>
    <row r="31" ht="18" customHeight="1">
      <c r="A31" s="3" t="inlineStr">
        <is>
          <t>sample</t>
        </is>
      </c>
      <c r="B31" s="3" t="inlineStr">
        <is>
          <t>u affine</t>
        </is>
      </c>
      <c r="C31" s="3" t="inlineStr">
        <is>
          <t>u persp.</t>
        </is>
      </c>
      <c r="D31" s="3" t="inlineStr">
        <is>
          <t>error</t>
        </is>
      </c>
      <c r="K31" s="46" t="n">
        <v>18</v>
      </c>
      <c r="L31" s="20">
        <f>DEGREES(ASIN(SIN(RADIANS($S$18))*SIN(RADIANS($T$18))+COS(RADIANS($S$18))*COS(RADIANS($T$18))*COS(RADIANS(15*(K31-12)))))</f>
        <v/>
      </c>
      <c r="M31" s="16" t="n">
        <v>-1.78095</v>
      </c>
      <c r="N31" s="20">
        <f>L31-M31</f>
        <v/>
      </c>
      <c r="O31" s="20">
        <f>(MIN(MAX((L31-(-8))/((6)-(-8)),0),1)^2*(3-2*MIN(MAX((L31-(-8))/((6)-(-8)),0),1)))</f>
        <v/>
      </c>
      <c r="P31" s="15">
        <f>IF(L31&lt;-6,"NIGHT",IF(L31&gt;4,"DAY",IF(K31&lt;12,"DAWN","DUSK")))</f>
        <v/>
      </c>
      <c r="Q31" s="16" t="n">
        <v>0.06171</v>
      </c>
      <c r="R31" s="16" t="n">
        <v>0.07525</v>
      </c>
      <c r="S31" s="16" t="n">
        <v>0.1058</v>
      </c>
      <c r="T31" s="20">
        <f>0.2126*Q31+0.7152*R31+0.0722*S31</f>
        <v/>
      </c>
      <c r="U31" s="18" t="inlineStr">
        <is>
          <t>DUSK</t>
        </is>
      </c>
    </row>
    <row r="32">
      <c r="A32" s="47">
        <f>A16</f>
        <v/>
      </c>
      <c r="B32" s="20">
        <f>D16*$E$7+E16*$E$8+F16*$E$9</f>
        <v/>
      </c>
      <c r="C32" s="20">
        <f>(D16*$E$7/$D$7+E16*$E$8/$D$8+F16*$E$9/$D$9)/(D16/$D$7+E16/$D$8+F16/$D$9)</f>
        <v/>
      </c>
      <c r="D32" s="20">
        <f>B32-C32</f>
        <v/>
      </c>
      <c r="K32" s="46" t="n">
        <v>18.5</v>
      </c>
      <c r="L32" s="20">
        <f>DEGREES(ASIN(SIN(RADIANS($S$18))*SIN(RADIANS($T$18))+COS(RADIANS($S$18))*COS(RADIANS($T$18))*COS(RADIANS(15*(K32-12)))))</f>
        <v/>
      </c>
      <c r="M32" s="16" t="n">
        <v>-8.68594</v>
      </c>
      <c r="N32" s="20">
        <f>L32-M32</f>
        <v/>
      </c>
      <c r="O32" s="20">
        <f>(MIN(MAX((L32-(-8))/((6)-(-8)),0),1)^2*(3-2*MIN(MAX((L32-(-8))/((6)-(-8)),0),1)))</f>
        <v/>
      </c>
      <c r="P32" s="15">
        <f>IF(L32&lt;-6,"NIGHT",IF(L32&gt;4,"DAY",IF(K32&lt;12,"DAWN","DUSK")))</f>
        <v/>
      </c>
      <c r="Q32" s="16" t="n">
        <v>0.03</v>
      </c>
      <c r="R32" s="16" t="n">
        <v>0.04</v>
      </c>
      <c r="S32" s="16" t="n">
        <v>0.075</v>
      </c>
      <c r="T32" s="20">
        <f>0.2126*Q32+0.7152*R32+0.0722*S32</f>
        <v/>
      </c>
      <c r="U32" s="18" t="inlineStr">
        <is>
          <t>NIGHT</t>
        </is>
      </c>
    </row>
    <row r="33">
      <c r="A33" s="47">
        <f>A17</f>
        <v/>
      </c>
      <c r="B33" s="20">
        <f>D17*$E$7+E17*$E$8+F17*$E$9</f>
        <v/>
      </c>
      <c r="C33" s="20">
        <f>(D17*$E$7/$D$7+E17*$E$8/$D$8+F17*$E$9/$D$9)/(D17/$D$7+E17/$D$8+F17/$D$9)</f>
        <v/>
      </c>
      <c r="D33" s="20">
        <f>B33-C33</f>
        <v/>
      </c>
      <c r="K33" s="46" t="n">
        <v>20</v>
      </c>
      <c r="L33" s="20">
        <f>DEGREES(ASIN(SIN(RADIANS($S$18))*SIN(RADIANS($T$18))+COS(RADIANS($S$18))*COS(RADIANS($T$18))*COS(RADIANS(15*(K33-12)))))</f>
        <v/>
      </c>
      <c r="M33" s="16" t="n">
        <v>-29.3751</v>
      </c>
      <c r="N33" s="20">
        <f>L33-M33</f>
        <v/>
      </c>
      <c r="O33" s="20">
        <f>(MIN(MAX((L33-(-8))/((6)-(-8)),0),1)^2*(3-2*MIN(MAX((L33-(-8))/((6)-(-8)),0),1)))</f>
        <v/>
      </c>
      <c r="P33" s="15">
        <f>IF(L33&lt;-6,"NIGHT",IF(L33&gt;4,"DAY",IF(K33&lt;12,"DAWN","DUSK")))</f>
        <v/>
      </c>
      <c r="Q33" s="16" t="n">
        <v>0.03</v>
      </c>
      <c r="R33" s="16" t="n">
        <v>0.04</v>
      </c>
      <c r="S33" s="16" t="n">
        <v>0.075</v>
      </c>
      <c r="T33" s="20">
        <f>0.2126*Q33+0.7152*R33+0.0722*S33</f>
        <v/>
      </c>
      <c r="U33" s="18" t="inlineStr">
        <is>
          <t>NIGHT</t>
        </is>
      </c>
    </row>
    <row r="34">
      <c r="A34" s="47">
        <f>A18</f>
        <v/>
      </c>
      <c r="B34" s="20">
        <f>D18*$E$7+E18*$E$8+F18*$E$9</f>
        <v/>
      </c>
      <c r="C34" s="20">
        <f>(D18*$E$7/$D$7+E18*$E$8/$D$8+F18*$E$9/$D$9)/(D18/$D$7+E18/$D$8+F18/$D$9)</f>
        <v/>
      </c>
      <c r="D34" s="20">
        <f>B34-C34</f>
        <v/>
      </c>
      <c r="K34" s="46" t="n">
        <v>22</v>
      </c>
      <c r="L34" s="20">
        <f>DEGREES(ASIN(SIN(RADIANS($S$18))*SIN(RADIANS($T$18))+COS(RADIANS($S$18))*COS(RADIANS($T$18))*COS(RADIANS(15*(K34-12)))))</f>
        <v/>
      </c>
      <c r="M34" s="16" t="n">
        <v>-55.7779</v>
      </c>
      <c r="N34" s="20">
        <f>L34-M34</f>
        <v/>
      </c>
      <c r="O34" s="20">
        <f>(MIN(MAX((L34-(-8))/((6)-(-8)),0),1)^2*(3-2*MIN(MAX((L34-(-8))/((6)-(-8)),0),1)))</f>
        <v/>
      </c>
      <c r="P34" s="15">
        <f>IF(L34&lt;-6,"NIGHT",IF(L34&gt;4,"DAY",IF(K34&lt;12,"DAWN","DUSK")))</f>
        <v/>
      </c>
      <c r="Q34" s="16" t="n">
        <v>0.03</v>
      </c>
      <c r="R34" s="16" t="n">
        <v>0.04</v>
      </c>
      <c r="S34" s="16" t="n">
        <v>0.075</v>
      </c>
      <c r="T34" s="20">
        <f>0.2126*Q34+0.7152*R34+0.0722*S34</f>
        <v/>
      </c>
      <c r="U34" s="18" t="inlineStr">
        <is>
          <t>NIGHT</t>
        </is>
      </c>
    </row>
    <row r="35">
      <c r="A35" s="47">
        <f>A19</f>
        <v/>
      </c>
      <c r="B35" s="20">
        <f>D19*$E$7+E19*$E$8+F19*$E$9</f>
        <v/>
      </c>
      <c r="C35" s="20">
        <f>(D19*$E$7/$D$7+E19*$E$8/$D$8+F19*$E$9/$D$9)/(D19/$D$7+E19/$D$8+F19/$D$9)</f>
        <v/>
      </c>
      <c r="D35" s="20">
        <f>B35-C35</f>
        <v/>
      </c>
      <c r="K35" s="2" t="inlineStr">
        <is>
          <t>Day sky: Preetham analytic sky (math/SkyModel), blended with the night preset in log space (mixLog, weight w).</t>
        </is>
      </c>
    </row>
    <row r="36">
      <c r="A36" s="2" t="inlineStr">
        <is>
          <t>Perspective-correct: interpolate u / w and 1 / w linearly in screen space, then divide.</t>
        </is>
      </c>
      <c r="K36" s="2" t="inlineStr">
        <is>
          <t>The export applies 0.25 deg hysteresis to the phase, so DAWN / DUSK can last a little longer.</t>
        </is>
      </c>
    </row>
  </sheetData>
  <printOptions gridLines="0"/>
  <pageMargins left="0.4" right="0.4" top="0.4" bottom="0.4" header="0.2" footer="0.2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3" customWidth="1" min="5" max="5"/>
    <col width="34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Ray_Tracing: intersections, reflection, refraction, recursion (worked example)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Worked textbook example. The code: raytrace/Intersect (sphere / box / heightfield), Optics.h reflectDir, refractDir, fresnelDielectric; RayTracer.h whittedDepth = 5 (';' render modes).</t>
        </is>
      </c>
    </row>
    <row r="5">
      <c r="A5" s="3" t="inlineStr">
        <is>
          <t>1. Ray-sphere</t>
        </is>
      </c>
      <c r="B5" s="3" t="inlineStr">
        <is>
          <t>x</t>
        </is>
      </c>
      <c r="C5" s="3" t="inlineStr">
        <is>
          <t>y</t>
        </is>
      </c>
      <c r="D5" s="3" t="inlineStr">
        <is>
          <t>z</t>
        </is>
      </c>
      <c r="F5" s="3" t="inlineStr">
        <is>
          <t>3. Snell refraction (air -&gt; glass)</t>
        </is>
      </c>
      <c r="G5" s="3" t="inlineStr">
        <is>
          <t>x</t>
        </is>
      </c>
      <c r="H5" s="3" t="inlineStr">
        <is>
          <t>y</t>
        </is>
      </c>
      <c r="I5" s="3" t="inlineStr">
        <is>
          <t>z</t>
        </is>
      </c>
    </row>
    <row r="6">
      <c r="A6" s="4" t="inlineStr">
        <is>
          <t>ray origin o</t>
        </is>
      </c>
      <c r="B6" s="8" t="n">
        <v>0</v>
      </c>
      <c r="C6" s="8" t="n">
        <v>2</v>
      </c>
      <c r="D6" s="8" t="n">
        <v>-10</v>
      </c>
      <c r="F6" s="4" t="inlineStr">
        <is>
          <t>incident d (unnormalised)</t>
        </is>
      </c>
      <c r="G6" s="16" t="n">
        <v>0.5</v>
      </c>
      <c r="H6" s="8" t="n">
        <v>-1</v>
      </c>
      <c r="I6" s="8" t="n">
        <v>0</v>
      </c>
    </row>
    <row r="7">
      <c r="A7" s="4" t="inlineStr">
        <is>
          <t>direction (unnormalised)</t>
        </is>
      </c>
      <c r="B7" s="16" t="n">
        <v>0.1</v>
      </c>
      <c r="C7" s="16" t="n">
        <v>-0.05</v>
      </c>
      <c r="D7" s="8" t="n">
        <v>1</v>
      </c>
      <c r="F7" s="4" t="inlineStr">
        <is>
          <t>d = normalize</t>
        </is>
      </c>
      <c r="G7" s="20">
        <f>$G$6/SQRT($G$6^2+$H$6^2+$I$6^2)</f>
        <v/>
      </c>
      <c r="H7" s="20">
        <f>$H$6/SQRT($G$6^2+$H$6^2+$I$6^2)</f>
        <v/>
      </c>
      <c r="I7" s="20">
        <f>$I$6/SQRT($G$6^2+$H$6^2+$I$6^2)</f>
        <v/>
      </c>
    </row>
    <row r="8">
      <c r="A8" s="4" t="inlineStr">
        <is>
          <t>d = normalize</t>
        </is>
      </c>
      <c r="B8" s="20">
        <f>$B$7/SQRT($B$7^2+$C$7^2+$D$7^2)</f>
        <v/>
      </c>
      <c r="C8" s="20">
        <f>$C$7/SQRT($B$7^2+$C$7^2+$D$7^2)</f>
        <v/>
      </c>
      <c r="D8" s="20">
        <f>$D$7/SQRT($B$7^2+$C$7^2+$D$7^2)</f>
        <v/>
      </c>
      <c r="F8" s="4" t="inlineStr">
        <is>
          <t>normal n (facing against d)</t>
        </is>
      </c>
      <c r="G8" s="8" t="n">
        <v>0</v>
      </c>
      <c r="H8" s="8" t="n">
        <v>1</v>
      </c>
      <c r="I8" s="8" t="n">
        <v>0</v>
      </c>
    </row>
    <row r="9">
      <c r="A9" s="4" t="inlineStr">
        <is>
          <t>sphere centre c</t>
        </is>
      </c>
      <c r="B9" s="8" t="n">
        <v>0</v>
      </c>
      <c r="C9" s="8" t="n">
        <v>1</v>
      </c>
      <c r="D9" s="8" t="n">
        <v>0</v>
      </c>
      <c r="F9" s="4" t="inlineStr">
        <is>
          <t>n1, n2</t>
        </is>
      </c>
      <c r="G9" s="16" t="n">
        <v>1</v>
      </c>
      <c r="H9" s="16" t="n">
        <v>1.5</v>
      </c>
    </row>
    <row r="10">
      <c r="A10" s="4" t="inlineStr">
        <is>
          <t>radius r</t>
        </is>
      </c>
      <c r="B10" s="16" t="n">
        <v>1.5</v>
      </c>
      <c r="F10" s="4" t="inlineStr">
        <is>
          <t>eta = n1 / n2</t>
        </is>
      </c>
      <c r="G10" s="20">
        <f>$G$9/$H$9</f>
        <v/>
      </c>
    </row>
    <row r="11">
      <c r="A11" s="4" t="inlineStr">
        <is>
          <t>oc = o - c</t>
        </is>
      </c>
      <c r="B11" s="20">
        <f>$B$6-$B$9</f>
        <v/>
      </c>
      <c r="C11" s="20">
        <f>$C$6-$C$9</f>
        <v/>
      </c>
      <c r="D11" s="20">
        <f>$D$6-$D$9</f>
        <v/>
      </c>
      <c r="F11" s="4" t="inlineStr">
        <is>
          <t>cos i = -d . n</t>
        </is>
      </c>
      <c r="G11" s="20">
        <f>-($G$7*$G$8+$H$7*$H$8+$I$7*$I$8)</f>
        <v/>
      </c>
    </row>
    <row r="12">
      <c r="A12" s="4" t="inlineStr">
        <is>
          <t>a = d . d</t>
        </is>
      </c>
      <c r="B12" s="20">
        <f>$B$8*$B$8+$C$8*$C$8+$D$8*$D$8</f>
        <v/>
      </c>
      <c r="F12" s="4" t="inlineStr">
        <is>
          <t>k = 1 - eta^2 (1 - cos^2 i)</t>
        </is>
      </c>
      <c r="G12" s="20">
        <f>1-$G$10^2*(1-$G$11^2)</f>
        <v/>
      </c>
    </row>
    <row r="13">
      <c r="A13" s="4" t="inlineStr">
        <is>
          <t>b = 2 d . oc</t>
        </is>
      </c>
      <c r="B13" s="20">
        <f>2*($B$8*$B$11+$C$8*$C$11+$D$8*$D$11)</f>
        <v/>
      </c>
      <c r="F13" s="4" t="inlineStr">
        <is>
          <t>t = eta d + (eta cos i - sqrt k) n</t>
        </is>
      </c>
      <c r="G13" s="20">
        <f>IF($G$12&lt;0,"TIR",$G$10*$G$7+($G$10*$G$11-SQRT($G$12))*$G$8)</f>
        <v/>
      </c>
      <c r="H13" s="20">
        <f>IF($G$12&lt;0,"TIR",$G$10*$H$7+($G$10*$G$11-SQRT($G$12))*$H$8)</f>
        <v/>
      </c>
      <c r="I13" s="20">
        <f>IF($G$12&lt;0,"TIR",$G$10*$I$7+($G$10*$G$11-SQRT($G$12))*$I$8)</f>
        <v/>
      </c>
    </row>
    <row r="14">
      <c r="A14" s="4" t="inlineStr">
        <is>
          <t>c' = oc . oc - r^2</t>
        </is>
      </c>
      <c r="B14" s="20">
        <f>$B$11*$B$11+$C$11*$C$11+$D$11*$D$11-$B$10^2</f>
        <v/>
      </c>
      <c r="F14" s="4" t="inlineStr">
        <is>
          <t>incidence angle (deg)</t>
        </is>
      </c>
      <c r="G14" s="20">
        <f>DEGREES(ACOS($G$11))</f>
        <v/>
      </c>
    </row>
    <row r="15">
      <c r="A15" s="4" t="inlineStr">
        <is>
          <t>discriminant b^2 - 4 a c'</t>
        </is>
      </c>
      <c r="B15" s="20">
        <f>$B$13^2-4*$B$12*$B$14</f>
        <v/>
      </c>
      <c r="F15" s="4" t="inlineStr">
        <is>
          <t>refraction angle (deg)</t>
        </is>
      </c>
      <c r="G15" s="20">
        <f>DEGREES(ASIN($G$10*SIN(RADIANS($G$14))))</f>
        <v/>
      </c>
    </row>
    <row r="16">
      <c r="A16" s="4" t="inlineStr">
        <is>
          <t>t1 = (-b - sqrt(disc)) / 2a (near)</t>
        </is>
      </c>
      <c r="B16" s="20">
        <f>IF($B$15&gt;=0,(-$B$13-SQRT($B$15))/(2*$B$12),"miss")</f>
        <v/>
      </c>
      <c r="F16" s="4" t="inlineStr">
        <is>
          <t>Snell check n1 sin i - n2 sin t</t>
        </is>
      </c>
      <c r="G16" s="20">
        <f>$G$9*SIN(RADIANS($G$14))-$H$9*SIN(RADIANS($G$15))</f>
        <v/>
      </c>
    </row>
    <row r="17">
      <c r="A17" s="4" t="inlineStr">
        <is>
          <t>t2 = (-b + sqrt(disc)) / 2a (far)</t>
        </is>
      </c>
      <c r="B17" s="20">
        <f>IF($B$15&gt;=0,(-$B$13+SQRT($B$15))/(2*$B$12),"miss")</f>
        <v/>
      </c>
      <c r="F17" s="4" t="inlineStr">
        <is>
          <t>Fresnel R (exact, fresnelDielectric)</t>
        </is>
      </c>
      <c r="G17" s="20">
        <f>0.5*((($G$10*$G$11-SQRT($G$12))/($G$10*$G$11+SQRT($G$12)))^2+(($G$11-$G$10*SQRT($G$12))/($G$11+$G$10*SQRT($G$12)))^2)</f>
        <v/>
      </c>
    </row>
    <row r="18">
      <c r="A18" s="4" t="inlineStr">
        <is>
          <t>hit p = o + t1 d</t>
        </is>
      </c>
      <c r="B18" s="20">
        <f>$B$6+$B$16*$B$8</f>
        <v/>
      </c>
      <c r="C18" s="20">
        <f>$C$6+$B$16*$C$8</f>
        <v/>
      </c>
      <c r="D18" s="20">
        <f>$D$6+$B$16*$D$8</f>
        <v/>
      </c>
      <c r="F18" s="4" t="inlineStr">
        <is>
          <t>Schlick R0 = ((n1 - n2) / (n1 + n2))^2</t>
        </is>
      </c>
      <c r="G18" s="20">
        <f>(($G$9-$H$9)/($G$9+$H$9))^2</f>
        <v/>
      </c>
    </row>
    <row r="19">
      <c r="A19" s="4" t="inlineStr">
        <is>
          <t>normal n = (p - c) / r</t>
        </is>
      </c>
      <c r="B19" s="20">
        <f>($B$18-$B$9)/$B$10</f>
        <v/>
      </c>
      <c r="C19" s="20">
        <f>($C$18-$C$9)/$B$10</f>
        <v/>
      </c>
      <c r="D19" s="20">
        <f>($D$18-$D$9)/$B$10</f>
        <v/>
      </c>
    </row>
    <row r="20">
      <c r="A20" s="4" t="inlineStr">
        <is>
          <t>d . n</t>
        </is>
      </c>
      <c r="B20" s="20">
        <f>$B$8*$B$19+$C$8*$C$19+$D$8*$D$19</f>
        <v/>
      </c>
      <c r="F20" s="10" t="inlineStr">
        <is>
          <t>4. Total internal reflection (glass -&gt; air, eta = 1.5)</t>
        </is>
      </c>
    </row>
    <row r="21">
      <c r="A21" s="4" t="inlineStr">
        <is>
          <t>reflection r = d - 2 (d . n) n</t>
        </is>
      </c>
      <c r="B21" s="20">
        <f>$B$8-2*$B$20*$B$19</f>
        <v/>
      </c>
      <c r="C21" s="20">
        <f>$C$8-2*$B$20*$C$19</f>
        <v/>
      </c>
      <c r="D21" s="20">
        <f>$D$8-2*$B$20*$D$19</f>
        <v/>
      </c>
      <c r="F21" s="3" t="inlineStr">
        <is>
          <t>incidence angle (deg)</t>
        </is>
      </c>
      <c r="G21" s="3" t="inlineStr">
        <is>
          <t>k = 1 - eta^2 sin^2 i</t>
        </is>
      </c>
      <c r="H21" s="3" t="inlineStr">
        <is>
          <t>TIR?</t>
        </is>
      </c>
      <c r="I21" s="3" t="inlineStr">
        <is>
          <t>Fresnel R</t>
        </is>
      </c>
    </row>
    <row r="22">
      <c r="A22" s="4" t="inlineStr">
        <is>
          <t>check |r| (= 1)</t>
        </is>
      </c>
      <c r="B22" s="20">
        <f>SQRT($B$21^2+$C$21^2+$D$21^2)</f>
        <v/>
      </c>
      <c r="F22" s="4" t="inlineStr">
        <is>
          <t>critical angle asin(1/1.5)</t>
        </is>
      </c>
      <c r="G22" s="20">
        <f>DEGREES(ASIN($G$9/$H$9))</f>
        <v/>
      </c>
    </row>
    <row r="23">
      <c r="F23" s="8" t="n">
        <v>20</v>
      </c>
      <c r="G23" s="20">
        <f>1-($H$9/$G$9)^2*SIN(RADIANS(F23))^2</f>
        <v/>
      </c>
      <c r="H23" s="15">
        <f>IF(G23&lt;0,"yes","no")</f>
        <v/>
      </c>
      <c r="I23" s="20">
        <f>IF(G23&lt;0,1,0.5*(((($H$9/$G$9)*COS(RADIANS(F23))-SQRT(G23))/(($H$9/$G$9)*COS(RADIANS(F23))+SQRT(G23)))^2+((COS(RADIANS(F23))-($H$9/$G$9)*SQRT(G23))/(COS(RADIANS(F23))+($H$9/$G$9)*SQRT(G23)))^2))</f>
        <v/>
      </c>
    </row>
    <row r="24">
      <c r="A24" s="3" t="inlineStr">
        <is>
          <t>2. Ray-plane (ground y = 0)</t>
        </is>
      </c>
      <c r="B24" s="3" t="inlineStr">
        <is>
          <t>x</t>
        </is>
      </c>
      <c r="C24" s="3" t="inlineStr">
        <is>
          <t>y</t>
        </is>
      </c>
      <c r="D24" s="3" t="inlineStr">
        <is>
          <t>z</t>
        </is>
      </c>
      <c r="F24" s="8" t="n">
        <v>30</v>
      </c>
      <c r="G24" s="20">
        <f>1-($H$9/$G$9)^2*SIN(RADIANS(F24))^2</f>
        <v/>
      </c>
      <c r="H24" s="15">
        <f>IF(G24&lt;0,"yes","no")</f>
        <v/>
      </c>
      <c r="I24" s="20">
        <f>IF(G24&lt;0,1,0.5*(((($H$9/$G$9)*COS(RADIANS(F24))-SQRT(G24))/(($H$9/$G$9)*COS(RADIANS(F24))+SQRT(G24)))^2+((COS(RADIANS(F24))-($H$9/$G$9)*SQRT(G24))/(COS(RADIANS(F24))+($H$9/$G$9)*SQRT(G24)))^2))</f>
        <v/>
      </c>
    </row>
    <row r="25">
      <c r="A25" s="4" t="inlineStr">
        <is>
          <t>ray origin o</t>
        </is>
      </c>
      <c r="B25" s="8" t="n">
        <v>0</v>
      </c>
      <c r="C25" s="8" t="n">
        <v>5</v>
      </c>
      <c r="D25" s="8" t="n">
        <v>0</v>
      </c>
      <c r="F25" s="8" t="n">
        <v>41</v>
      </c>
      <c r="G25" s="20">
        <f>1-($H$9/$G$9)^2*SIN(RADIANS(F25))^2</f>
        <v/>
      </c>
      <c r="H25" s="15">
        <f>IF(G25&lt;0,"yes","no")</f>
        <v/>
      </c>
      <c r="I25" s="20">
        <f>IF(G25&lt;0,1,0.5*(((($H$9/$G$9)*COS(RADIANS(F25))-SQRT(G25))/(($H$9/$G$9)*COS(RADIANS(F25))+SQRT(G25)))^2+((COS(RADIANS(F25))-($H$9/$G$9)*SQRT(G25))/(COS(RADIANS(F25))+($H$9/$G$9)*SQRT(G25)))^2))</f>
        <v/>
      </c>
    </row>
    <row r="26">
      <c r="A26" s="4" t="inlineStr">
        <is>
          <t>direction (unnormalised)</t>
        </is>
      </c>
      <c r="B26" s="8" t="n">
        <v>1</v>
      </c>
      <c r="C26" s="8" t="n">
        <v>-1</v>
      </c>
      <c r="D26" s="16" t="n">
        <v>0.5</v>
      </c>
      <c r="F26" s="8" t="n">
        <v>42</v>
      </c>
      <c r="G26" s="20">
        <f>1-($H$9/$G$9)^2*SIN(RADIANS(F26))^2</f>
        <v/>
      </c>
      <c r="H26" s="15">
        <f>IF(G26&lt;0,"yes","no")</f>
        <v/>
      </c>
      <c r="I26" s="20">
        <f>IF(G26&lt;0,1,0.5*(((($H$9/$G$9)*COS(RADIANS(F26))-SQRT(G26))/(($H$9/$G$9)*COS(RADIANS(F26))+SQRT(G26)))^2+((COS(RADIANS(F26))-($H$9/$G$9)*SQRT(G26))/(COS(RADIANS(F26))+($H$9/$G$9)*SQRT(G26)))^2))</f>
        <v/>
      </c>
    </row>
    <row r="27">
      <c r="A27" s="4" t="inlineStr">
        <is>
          <t>d = normalize</t>
        </is>
      </c>
      <c r="B27" s="20">
        <f>$B$26/SQRT($B$26^2+$C$26^2+$D$26^2)</f>
        <v/>
      </c>
      <c r="C27" s="20">
        <f>$C$26/SQRT($B$26^2+$C$26^2+$D$26^2)</f>
        <v/>
      </c>
      <c r="D27" s="20">
        <f>$D$26/SQRT($B$26^2+$C$26^2+$D$26^2)</f>
        <v/>
      </c>
      <c r="F27" s="8" t="n">
        <v>60</v>
      </c>
      <c r="G27" s="20">
        <f>1-($H$9/$G$9)^2*SIN(RADIANS(F27))^2</f>
        <v/>
      </c>
      <c r="H27" s="15">
        <f>IF(G27&lt;0,"yes","no")</f>
        <v/>
      </c>
      <c r="I27" s="20">
        <f>IF(G27&lt;0,1,0.5*(((($H$9/$G$9)*COS(RADIANS(F27))-SQRT(G27))/(($H$9/$G$9)*COS(RADIANS(F27))+SQRT(G27)))^2+((COS(RADIANS(F27))-($H$9/$G$9)*SQRT(G27))/(COS(RADIANS(F27))+($H$9/$G$9)*SQRT(G27)))^2))</f>
        <v/>
      </c>
    </row>
    <row r="28">
      <c r="A28" s="4" t="inlineStr">
        <is>
          <t>plane normal n</t>
        </is>
      </c>
      <c r="B28" s="8" t="n">
        <v>0</v>
      </c>
      <c r="C28" s="8" t="n">
        <v>1</v>
      </c>
      <c r="D28" s="8" t="n">
        <v>0</v>
      </c>
    </row>
    <row r="29">
      <c r="A29" s="4" t="inlineStr">
        <is>
          <t>point on plane p0</t>
        </is>
      </c>
      <c r="B29" s="8" t="n">
        <v>0</v>
      </c>
      <c r="C29" s="8" t="n">
        <v>0</v>
      </c>
      <c r="D29" s="8" t="n">
        <v>0</v>
      </c>
      <c r="F29" s="10" t="inlineStr">
        <is>
          <t>5. Whitted recursion: weight of bounce k = kr^k</t>
        </is>
      </c>
    </row>
    <row r="30">
      <c r="A30" s="4" t="inlineStr">
        <is>
          <t>n . d</t>
        </is>
      </c>
      <c r="B30" s="20">
        <f>$B$28*$B$27+$C$28*$C$27+$D$28*$D$27</f>
        <v/>
      </c>
      <c r="F30" s="4" t="inlineStr">
        <is>
          <t>reflectance kr, depth limit (whittedDepth)</t>
        </is>
      </c>
      <c r="G30" s="16" t="n">
        <v>0.5</v>
      </c>
      <c r="H30" s="8" t="n">
        <v>5</v>
      </c>
    </row>
    <row r="31">
      <c r="A31" s="4" t="inlineStr">
        <is>
          <t>t = n . (p0 - o) / (n . d)</t>
        </is>
      </c>
      <c r="B31" s="20">
        <f>IF($B$30&lt;&gt;0,($B$28*($B$29-$B$25)+$C$28*($C$29-$C$25)+$D$28*($D$29-$D$25))/$B$30,"parallel")</f>
        <v/>
      </c>
      <c r="F31" s="3" t="inlineStr">
        <is>
          <t>bounce k</t>
        </is>
      </c>
      <c r="G31" s="3" t="inlineStr">
        <is>
          <t>kr^k</t>
        </is>
      </c>
      <c r="H31" s="3" t="inlineStr">
        <is>
          <t>cumulative</t>
        </is>
      </c>
      <c r="I31" s="3" t="inlineStr">
        <is>
          <t>share of the infinite sum</t>
        </is>
      </c>
    </row>
    <row r="32">
      <c r="A32" s="4" t="inlineStr">
        <is>
          <t>hit p = o + t d</t>
        </is>
      </c>
      <c r="B32" s="20">
        <f>$B$25+$B$31*$B$27</f>
        <v/>
      </c>
      <c r="C32" s="20">
        <f>$C$25+$B$31*$C$27</f>
        <v/>
      </c>
      <c r="D32" s="20">
        <f>$D$25+$B$31*$D$27</f>
        <v/>
      </c>
      <c r="F32" s="8" t="n">
        <v>0</v>
      </c>
      <c r="G32" s="20">
        <f>IF(F32&lt;=$H$30,$G$30^F32,0)</f>
        <v/>
      </c>
      <c r="H32" s="20">
        <f>SUM(G32:G32)</f>
        <v/>
      </c>
      <c r="I32" s="20">
        <f>H32*(1-$G$30)</f>
        <v/>
      </c>
    </row>
    <row r="33">
      <c r="A33" s="4" t="inlineStr">
        <is>
          <t>reflection r = d - 2 (d . n) n</t>
        </is>
      </c>
      <c r="B33" s="20">
        <f>$B$27-2*$B$30*$B$28</f>
        <v/>
      </c>
      <c r="C33" s="20">
        <f>$C$27-2*$B$30*$C$28</f>
        <v/>
      </c>
      <c r="D33" s="20">
        <f>$D$27-2*$B$30*$D$28</f>
        <v/>
      </c>
      <c r="F33" s="8" t="n">
        <v>1</v>
      </c>
      <c r="G33" s="20">
        <f>IF(F33&lt;=$H$30,$G$30^F33,0)</f>
        <v/>
      </c>
      <c r="H33" s="20">
        <f>SUM(G32:G33)</f>
        <v/>
      </c>
      <c r="I33" s="20">
        <f>H33*(1-$G$30)</f>
        <v/>
      </c>
    </row>
    <row r="34">
      <c r="F34" s="8" t="n">
        <v>2</v>
      </c>
      <c r="G34" s="20">
        <f>IF(F34&lt;=$H$30,$G$30^F34,0)</f>
        <v/>
      </c>
      <c r="H34" s="20">
        <f>SUM(G32:G34)</f>
        <v/>
      </c>
      <c r="I34" s="20">
        <f>H34*(1-$G$30)</f>
        <v/>
      </c>
    </row>
    <row r="35">
      <c r="F35" s="8" t="n">
        <v>3</v>
      </c>
      <c r="G35" s="20">
        <f>IF(F35&lt;=$H$30,$G$30^F35,0)</f>
        <v/>
      </c>
      <c r="H35" s="20">
        <f>SUM(G32:G35)</f>
        <v/>
      </c>
      <c r="I35" s="20">
        <f>H35*(1-$G$30)</f>
        <v/>
      </c>
    </row>
    <row r="36">
      <c r="F36" s="8" t="n">
        <v>4</v>
      </c>
      <c r="G36" s="20">
        <f>IF(F36&lt;=$H$30,$G$30^F36,0)</f>
        <v/>
      </c>
      <c r="H36" s="20">
        <f>SUM(G32:G36)</f>
        <v/>
      </c>
      <c r="I36" s="20">
        <f>H36*(1-$G$30)</f>
        <v/>
      </c>
    </row>
    <row r="37">
      <c r="F37" s="8" t="n">
        <v>5</v>
      </c>
      <c r="G37" s="20">
        <f>IF(F37&lt;=$H$30,$G$30^F37,0)</f>
        <v/>
      </c>
      <c r="H37" s="20">
        <f>SUM(G32:G37)</f>
        <v/>
      </c>
      <c r="I37" s="20">
        <f>H37*(1-$G$30)</f>
        <v/>
      </c>
    </row>
    <row r="38">
      <c r="F38" s="8" t="n">
        <v>6</v>
      </c>
      <c r="G38" s="20">
        <f>IF(F38&lt;=$H$30,$G$30^F38,0)</f>
        <v/>
      </c>
      <c r="H38" s="20">
        <f>SUM(G32:G38)</f>
        <v/>
      </c>
      <c r="I38" s="20">
        <f>H38*(1-$G$30)</f>
        <v/>
      </c>
    </row>
    <row r="39">
      <c r="F39" s="2" t="inlineStr">
        <is>
          <t>Bounces past the limit (k &gt; 5) contribute 0; the lost share of the infinite sum is kr^6.</t>
        </is>
      </c>
    </row>
  </sheetData>
  <printOptions gridLines="0"/>
  <pageMargins left="0.4" right="0.4" top="0.4" bottom="0.4" header="0.2" footer="0.2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Z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.2" customWidth="1" min="2" max="2"/>
    <col width="7.2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7.2" customWidth="1" min="11" max="11"/>
    <col width="7.2" customWidth="1" min="12" max="12"/>
    <col width="7.2" customWidth="1" min="13" max="13"/>
    <col width="7.2" customWidth="1" min="14" max="14"/>
    <col width="7.2" customWidth="1" min="15" max="15"/>
    <col width="7.2" customWidth="1" min="16" max="16"/>
    <col width="7.2" customWidth="1" min="17" max="17"/>
    <col width="7.2" customWidth="1" min="18" max="18"/>
    <col width="7.2" customWidth="1" min="19" max="19"/>
    <col width="7.2" customWidth="1" min="20" max="20"/>
    <col width="7.2" customWidth="1" min="21" max="21"/>
    <col width="7.2" customWidth="1" min="22" max="22"/>
    <col width="7.2" customWidth="1" min="23" max="23"/>
    <col width="7.2" customWidth="1" min="24" max="24"/>
    <col width="7.2" customWidth="1" min="25" max="25"/>
    <col width="7.2" customWidth="1" min="26" max="26"/>
    <col width="7.2" customWidth="1" min="27" max="27"/>
    <col width="7.2" customWidth="1" min="28" max="28"/>
    <col width="7.2" customWidth="1" min="29" max="29"/>
    <col width="7.2" customWidth="1" min="30" max="30"/>
  </cols>
  <sheetData>
    <row r="1">
      <c r="A1" s="1" t="inlineStr">
        <is>
          <t>Thermal_Kernels: Gaussian and Sobel kernels on a 5x5 thermal patch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math/ExplorerMath.cpp kernel(): Gaussian 5x5 = binomial [1 4 6 4 1] (x) [1 4 6 4 1] / 256 (sigma ~ 1), Sobel Gx / Gy, convolve() (correlation, kernel row 0 = row above, clamp-to-edge), applyGamma v^(1/g).</t>
        </is>
      </c>
    </row>
    <row r="5">
      <c r="B5" s="4" t="inlineStr">
        <is>
          <t>sigma</t>
        </is>
      </c>
      <c r="C5" s="16" t="n">
        <v>1</v>
      </c>
      <c r="E5" s="48" t="inlineStr">
        <is>
          <t>size 5 (offsets -2..2)</t>
        </is>
      </c>
      <c r="J5" s="4" t="inlineStr">
        <is>
          <t>threshold T on |G|</t>
        </is>
      </c>
      <c r="K5" s="11" t="n"/>
      <c r="L5" s="12" t="n"/>
      <c r="M5" s="16" t="n">
        <v>2</v>
      </c>
      <c r="W5" s="10" t="inlineStr">
        <is>
          <t>Gamma: out = v^(1/g)</t>
        </is>
      </c>
    </row>
    <row r="6">
      <c r="W6" s="3" t="inlineStr">
        <is>
          <t>v</t>
        </is>
      </c>
      <c r="X6" s="3" t="inlineStr">
        <is>
          <t>g = 0.5</t>
        </is>
      </c>
      <c r="Y6" s="3" t="inlineStr">
        <is>
          <t>g = 1.0</t>
        </is>
      </c>
      <c r="Z6" s="3" t="inlineStr">
        <is>
          <t>g = 2.2</t>
        </is>
      </c>
    </row>
    <row r="7">
      <c r="B7" s="10" t="inlineStr">
        <is>
          <t>Gaussian exp(-(x^2+y^2)/(2 s^2))</t>
        </is>
      </c>
      <c r="H7" s="10" t="inlineStr">
        <is>
          <t>normalised (sum = 1)</t>
        </is>
      </c>
      <c r="N7" s="10" t="inlineStr">
        <is>
          <t>code: b_y b_x / 256</t>
        </is>
      </c>
      <c r="T7" s="10" t="inlineStr">
        <is>
          <t>binomial</t>
        </is>
      </c>
      <c r="W7" s="4" t="inlineStr">
        <is>
          <t>g:</t>
        </is>
      </c>
      <c r="X7" s="41" t="n">
        <v>0.5</v>
      </c>
      <c r="Y7" s="41" t="n">
        <v>1</v>
      </c>
      <c r="Z7" s="41" t="n">
        <v>2.2</v>
      </c>
    </row>
    <row r="8">
      <c r="B8" s="15">
        <f>EXP(-((-2)^2+(-2)^2)/(2*$C$5^2))</f>
        <v/>
      </c>
      <c r="C8" s="15">
        <f>EXP(-((-1)^2+(-2)^2)/(2*$C$5^2))</f>
        <v/>
      </c>
      <c r="D8" s="15">
        <f>EXP(-((0)^2+(-2)^2)/(2*$C$5^2))</f>
        <v/>
      </c>
      <c r="E8" s="15">
        <f>EXP(-((1)^2+(-2)^2)/(2*$C$5^2))</f>
        <v/>
      </c>
      <c r="F8" s="15">
        <f>EXP(-((2)^2+(-2)^2)/(2*$C$5^2))</f>
        <v/>
      </c>
      <c r="H8" s="15">
        <f>B8/SUM($B$8:$F$12)</f>
        <v/>
      </c>
      <c r="I8" s="15">
        <f>C8/SUM($B$8:$F$12)</f>
        <v/>
      </c>
      <c r="J8" s="15">
        <f>D8/SUM($B$8:$F$12)</f>
        <v/>
      </c>
      <c r="K8" s="15">
        <f>E8/SUM($B$8:$F$12)</f>
        <v/>
      </c>
      <c r="L8" s="15">
        <f>F8/SUM($B$8:$F$12)</f>
        <v/>
      </c>
      <c r="N8" s="15">
        <f>$T$8*$T$8/256</f>
        <v/>
      </c>
      <c r="O8" s="15">
        <f>$T$8*$T$9/256</f>
        <v/>
      </c>
      <c r="P8" s="15">
        <f>$T$8*$T$10/256</f>
        <v/>
      </c>
      <c r="Q8" s="15">
        <f>$T$8*$T$11/256</f>
        <v/>
      </c>
      <c r="R8" s="15">
        <f>$T$8*$T$12/256</f>
        <v/>
      </c>
      <c r="T8" s="8" t="n">
        <v>1</v>
      </c>
      <c r="W8" s="41" t="n">
        <v>0</v>
      </c>
      <c r="X8" s="20">
        <f>W8^(1/$X$7)</f>
        <v/>
      </c>
      <c r="Y8" s="20">
        <f>W8^(1/$Y$7)</f>
        <v/>
      </c>
      <c r="Z8" s="20">
        <f>W8^(1/$Z$7)</f>
        <v/>
      </c>
    </row>
    <row r="9">
      <c r="B9" s="15">
        <f>EXP(-((-2)^2+(-1)^2)/(2*$C$5^2))</f>
        <v/>
      </c>
      <c r="C9" s="15">
        <f>EXP(-((-1)^2+(-1)^2)/(2*$C$5^2))</f>
        <v/>
      </c>
      <c r="D9" s="15">
        <f>EXP(-((0)^2+(-1)^2)/(2*$C$5^2))</f>
        <v/>
      </c>
      <c r="E9" s="15">
        <f>EXP(-((1)^2+(-1)^2)/(2*$C$5^2))</f>
        <v/>
      </c>
      <c r="F9" s="15">
        <f>EXP(-((2)^2+(-1)^2)/(2*$C$5^2))</f>
        <v/>
      </c>
      <c r="H9" s="15">
        <f>B9/SUM($B$8:$F$12)</f>
        <v/>
      </c>
      <c r="I9" s="15">
        <f>C9/SUM($B$8:$F$12)</f>
        <v/>
      </c>
      <c r="J9" s="15">
        <f>D9/SUM($B$8:$F$12)</f>
        <v/>
      </c>
      <c r="K9" s="15">
        <f>E9/SUM($B$8:$F$12)</f>
        <v/>
      </c>
      <c r="L9" s="15">
        <f>F9/SUM($B$8:$F$12)</f>
        <v/>
      </c>
      <c r="N9" s="15">
        <f>$T$9*$T$8/256</f>
        <v/>
      </c>
      <c r="O9" s="15">
        <f>$T$9*$T$9/256</f>
        <v/>
      </c>
      <c r="P9" s="15">
        <f>$T$9*$T$10/256</f>
        <v/>
      </c>
      <c r="Q9" s="15">
        <f>$T$9*$T$11/256</f>
        <v/>
      </c>
      <c r="R9" s="15">
        <f>$T$9*$T$12/256</f>
        <v/>
      </c>
      <c r="T9" s="8" t="n">
        <v>4</v>
      </c>
      <c r="W9" s="41" t="n">
        <v>0.1</v>
      </c>
      <c r="X9" s="20">
        <f>W9^(1/$X$7)</f>
        <v/>
      </c>
      <c r="Y9" s="20">
        <f>W9^(1/$Y$7)</f>
        <v/>
      </c>
      <c r="Z9" s="20">
        <f>W9^(1/$Z$7)</f>
        <v/>
      </c>
    </row>
    <row r="10">
      <c r="B10" s="15">
        <f>EXP(-((-2)^2+(0)^2)/(2*$C$5^2))</f>
        <v/>
      </c>
      <c r="C10" s="15">
        <f>EXP(-((-1)^2+(0)^2)/(2*$C$5^2))</f>
        <v/>
      </c>
      <c r="D10" s="15">
        <f>EXP(-((0)^2+(0)^2)/(2*$C$5^2))</f>
        <v/>
      </c>
      <c r="E10" s="15">
        <f>EXP(-((1)^2+(0)^2)/(2*$C$5^2))</f>
        <v/>
      </c>
      <c r="F10" s="15">
        <f>EXP(-((2)^2+(0)^2)/(2*$C$5^2))</f>
        <v/>
      </c>
      <c r="H10" s="15">
        <f>B10/SUM($B$8:$F$12)</f>
        <v/>
      </c>
      <c r="I10" s="15">
        <f>C10/SUM($B$8:$F$12)</f>
        <v/>
      </c>
      <c r="J10" s="15">
        <f>D10/SUM($B$8:$F$12)</f>
        <v/>
      </c>
      <c r="K10" s="15">
        <f>E10/SUM($B$8:$F$12)</f>
        <v/>
      </c>
      <c r="L10" s="15">
        <f>F10/SUM($B$8:$F$12)</f>
        <v/>
      </c>
      <c r="N10" s="15">
        <f>$T$10*$T$8/256</f>
        <v/>
      </c>
      <c r="O10" s="15">
        <f>$T$10*$T$9/256</f>
        <v/>
      </c>
      <c r="P10" s="15">
        <f>$T$10*$T$10/256</f>
        <v/>
      </c>
      <c r="Q10" s="15">
        <f>$T$10*$T$11/256</f>
        <v/>
      </c>
      <c r="R10" s="15">
        <f>$T$10*$T$12/256</f>
        <v/>
      </c>
      <c r="T10" s="8" t="n">
        <v>6</v>
      </c>
      <c r="W10" s="41" t="n">
        <v>0.2</v>
      </c>
      <c r="X10" s="20">
        <f>W10^(1/$X$7)</f>
        <v/>
      </c>
      <c r="Y10" s="20">
        <f>W10^(1/$Y$7)</f>
        <v/>
      </c>
      <c r="Z10" s="20">
        <f>W10^(1/$Z$7)</f>
        <v/>
      </c>
    </row>
    <row r="11">
      <c r="B11" s="15">
        <f>EXP(-((-2)^2+(1)^2)/(2*$C$5^2))</f>
        <v/>
      </c>
      <c r="C11" s="15">
        <f>EXP(-((-1)^2+(1)^2)/(2*$C$5^2))</f>
        <v/>
      </c>
      <c r="D11" s="15">
        <f>EXP(-((0)^2+(1)^2)/(2*$C$5^2))</f>
        <v/>
      </c>
      <c r="E11" s="15">
        <f>EXP(-((1)^2+(1)^2)/(2*$C$5^2))</f>
        <v/>
      </c>
      <c r="F11" s="15">
        <f>EXP(-((2)^2+(1)^2)/(2*$C$5^2))</f>
        <v/>
      </c>
      <c r="H11" s="15">
        <f>B11/SUM($B$8:$F$12)</f>
        <v/>
      </c>
      <c r="I11" s="15">
        <f>C11/SUM($B$8:$F$12)</f>
        <v/>
      </c>
      <c r="J11" s="15">
        <f>D11/SUM($B$8:$F$12)</f>
        <v/>
      </c>
      <c r="K11" s="15">
        <f>E11/SUM($B$8:$F$12)</f>
        <v/>
      </c>
      <c r="L11" s="15">
        <f>F11/SUM($B$8:$F$12)</f>
        <v/>
      </c>
      <c r="N11" s="15">
        <f>$T$11*$T$8/256</f>
        <v/>
      </c>
      <c r="O11" s="15">
        <f>$T$11*$T$9/256</f>
        <v/>
      </c>
      <c r="P11" s="15">
        <f>$T$11*$T$10/256</f>
        <v/>
      </c>
      <c r="Q11" s="15">
        <f>$T$11*$T$11/256</f>
        <v/>
      </c>
      <c r="R11" s="15">
        <f>$T$11*$T$12/256</f>
        <v/>
      </c>
      <c r="T11" s="8" t="n">
        <v>4</v>
      </c>
      <c r="W11" s="41" t="n">
        <v>0.3</v>
      </c>
      <c r="X11" s="20">
        <f>W11^(1/$X$7)</f>
        <v/>
      </c>
      <c r="Y11" s="20">
        <f>W11^(1/$Y$7)</f>
        <v/>
      </c>
      <c r="Z11" s="20">
        <f>W11^(1/$Z$7)</f>
        <v/>
      </c>
    </row>
    <row r="12">
      <c r="B12" s="15">
        <f>EXP(-((-2)^2+(2)^2)/(2*$C$5^2))</f>
        <v/>
      </c>
      <c r="C12" s="15">
        <f>EXP(-((-1)^2+(2)^2)/(2*$C$5^2))</f>
        <v/>
      </c>
      <c r="D12" s="15">
        <f>EXP(-((0)^2+(2)^2)/(2*$C$5^2))</f>
        <v/>
      </c>
      <c r="E12" s="15">
        <f>EXP(-((1)^2+(2)^2)/(2*$C$5^2))</f>
        <v/>
      </c>
      <c r="F12" s="15">
        <f>EXP(-((2)^2+(2)^2)/(2*$C$5^2))</f>
        <v/>
      </c>
      <c r="H12" s="15">
        <f>B12/SUM($B$8:$F$12)</f>
        <v/>
      </c>
      <c r="I12" s="15">
        <f>C12/SUM($B$8:$F$12)</f>
        <v/>
      </c>
      <c r="J12" s="15">
        <f>D12/SUM($B$8:$F$12)</f>
        <v/>
      </c>
      <c r="K12" s="15">
        <f>E12/SUM($B$8:$F$12)</f>
        <v/>
      </c>
      <c r="L12" s="15">
        <f>F12/SUM($B$8:$F$12)</f>
        <v/>
      </c>
      <c r="N12" s="15">
        <f>$T$12*$T$8/256</f>
        <v/>
      </c>
      <c r="O12" s="15">
        <f>$T$12*$T$9/256</f>
        <v/>
      </c>
      <c r="P12" s="15">
        <f>$T$12*$T$10/256</f>
        <v/>
      </c>
      <c r="Q12" s="15">
        <f>$T$12*$T$11/256</f>
        <v/>
      </c>
      <c r="R12" s="15">
        <f>$T$12*$T$12/256</f>
        <v/>
      </c>
      <c r="T12" s="8" t="n">
        <v>1</v>
      </c>
      <c r="W12" s="41" t="n">
        <v>0.4</v>
      </c>
      <c r="X12" s="20">
        <f>W12^(1/$X$7)</f>
        <v/>
      </c>
      <c r="Y12" s="20">
        <f>W12^(1/$Y$7)</f>
        <v/>
      </c>
      <c r="Z12" s="20">
        <f>W12^(1/$Z$7)</f>
        <v/>
      </c>
    </row>
    <row r="13">
      <c r="B13" s="4" t="inlineStr">
        <is>
          <t>sum</t>
        </is>
      </c>
      <c r="C13" s="20">
        <f>SUM(H8:L12)</f>
        <v/>
      </c>
      <c r="H13" s="4" t="inlineStr">
        <is>
          <t>max |normalised - code|</t>
        </is>
      </c>
      <c r="I13" s="11" t="n"/>
      <c r="J13" s="11" t="n"/>
      <c r="K13" s="12" t="n"/>
      <c r="L13" s="20">
        <f>MAX(ABS(H8-N8),ABS(I8-O8),ABS(J8-P8),ABS(K8-Q8),ABS(L8-R8),ABS(H9-N9),ABS(I9-O9),ABS(J9-P9),ABS(K9-Q9),ABS(L9-R9),ABS(H10-N10),ABS(I10-O10),ABS(J10-P10),ABS(K10-Q10),ABS(L10-R10),ABS(H11-N11),ABS(I11-O11),ABS(J11-P11),ABS(K11-Q11),ABS(L11-R11),ABS(H12-N12),ABS(I12-O12),ABS(J12-P12),ABS(K12-Q12),ABS(L12-R12))</f>
        <v/>
      </c>
      <c r="N13" s="4" t="inlineStr">
        <is>
          <t>sum</t>
        </is>
      </c>
      <c r="O13" s="20">
        <f>SUM(N8:R12)</f>
        <v/>
      </c>
      <c r="W13" s="41" t="n">
        <v>0.5</v>
      </c>
      <c r="X13" s="20">
        <f>W13^(1/$X$7)</f>
        <v/>
      </c>
      <c r="Y13" s="20">
        <f>W13^(1/$Y$7)</f>
        <v/>
      </c>
      <c r="Z13" s="20">
        <f>W13^(1/$Z$7)</f>
        <v/>
      </c>
    </row>
    <row r="14">
      <c r="W14" s="41" t="n">
        <v>0.6</v>
      </c>
      <c r="X14" s="20">
        <f>W14^(1/$X$7)</f>
        <v/>
      </c>
      <c r="Y14" s="20">
        <f>W14^(1/$Y$7)</f>
        <v/>
      </c>
      <c r="Z14" s="20">
        <f>W14^(1/$Z$7)</f>
        <v/>
      </c>
    </row>
    <row r="15">
      <c r="B15" s="10" t="inlineStr">
        <is>
          <t>5x5 thermal patch (worked example, 0..1)</t>
        </is>
      </c>
      <c r="H15" s="10" t="inlineStr">
        <is>
          <t>Sobel Gx</t>
        </is>
      </c>
      <c r="L15" s="10" t="inlineStr">
        <is>
          <t>Sobel Gy</t>
        </is>
      </c>
      <c r="P15" s="10" t="inlineStr">
        <is>
          <t>Gx step: patch x kernel at the centre</t>
        </is>
      </c>
      <c r="U15" s="48" t="inlineStr"/>
      <c r="W15" s="41" t="n">
        <v>0.7</v>
      </c>
      <c r="X15" s="20">
        <f>W15^(1/$X$7)</f>
        <v/>
      </c>
      <c r="Y15" s="20">
        <f>W15^(1/$Y$7)</f>
        <v/>
      </c>
      <c r="Z15" s="20">
        <f>W15^(1/$Z$7)</f>
        <v/>
      </c>
    </row>
    <row r="16">
      <c r="B16" s="49" t="n">
        <v>0.2</v>
      </c>
      <c r="C16" s="49" t="n">
        <v>0.22</v>
      </c>
      <c r="D16" s="49" t="n">
        <v>0.25</v>
      </c>
      <c r="E16" s="49" t="n">
        <v>0.3</v>
      </c>
      <c r="F16" s="49" t="n">
        <v>0.32</v>
      </c>
      <c r="H16" s="9" t="n">
        <v>-1</v>
      </c>
      <c r="I16" s="9" t="n">
        <v>0</v>
      </c>
      <c r="J16" s="9" t="n">
        <v>1</v>
      </c>
      <c r="L16" s="9" t="n">
        <v>-1</v>
      </c>
      <c r="M16" s="9" t="n">
        <v>-2</v>
      </c>
      <c r="N16" s="9" t="n">
        <v>-1</v>
      </c>
      <c r="P16" s="15">
        <f>C17*H16</f>
        <v/>
      </c>
      <c r="Q16" s="15">
        <f>D17*I16</f>
        <v/>
      </c>
      <c r="R16" s="15">
        <f>E17*J16</f>
        <v/>
      </c>
      <c r="W16" s="41" t="n">
        <v>0.8</v>
      </c>
      <c r="X16" s="20">
        <f>W16^(1/$X$7)</f>
        <v/>
      </c>
      <c r="Y16" s="20">
        <f>W16^(1/$Y$7)</f>
        <v/>
      </c>
      <c r="Z16" s="20">
        <f>W16^(1/$Z$7)</f>
        <v/>
      </c>
    </row>
    <row r="17">
      <c r="B17" s="49" t="n">
        <v>0.21</v>
      </c>
      <c r="C17" s="49" t="n">
        <v>0.24</v>
      </c>
      <c r="D17" s="49" t="n">
        <v>0.6</v>
      </c>
      <c r="E17" s="49" t="n">
        <v>0.65</v>
      </c>
      <c r="F17" s="49" t="n">
        <v>0.34</v>
      </c>
      <c r="H17" s="9" t="n">
        <v>-2</v>
      </c>
      <c r="I17" s="9" t="n">
        <v>0</v>
      </c>
      <c r="J17" s="9" t="n">
        <v>2</v>
      </c>
      <c r="L17" s="9" t="n">
        <v>0</v>
      </c>
      <c r="M17" s="9" t="n">
        <v>0</v>
      </c>
      <c r="N17" s="9" t="n">
        <v>0</v>
      </c>
      <c r="P17" s="15">
        <f>C18*H17</f>
        <v/>
      </c>
      <c r="Q17" s="15">
        <f>D18*I17</f>
        <v/>
      </c>
      <c r="R17" s="15">
        <f>E18*J17</f>
        <v/>
      </c>
      <c r="W17" s="41" t="n">
        <v>0.9</v>
      </c>
      <c r="X17" s="20">
        <f>W17^(1/$X$7)</f>
        <v/>
      </c>
      <c r="Y17" s="20">
        <f>W17^(1/$Y$7)</f>
        <v/>
      </c>
      <c r="Z17" s="20">
        <f>W17^(1/$Z$7)</f>
        <v/>
      </c>
    </row>
    <row r="18">
      <c r="B18" s="49" t="n">
        <v>0.22</v>
      </c>
      <c r="C18" s="49" t="n">
        <v>0.3</v>
      </c>
      <c r="D18" s="49" t="n">
        <v>0.85</v>
      </c>
      <c r="E18" s="49" t="n">
        <v>0.9</v>
      </c>
      <c r="F18" s="49" t="n">
        <v>0.4</v>
      </c>
      <c r="H18" s="9" t="n">
        <v>-1</v>
      </c>
      <c r="I18" s="9" t="n">
        <v>0</v>
      </c>
      <c r="J18" s="9" t="n">
        <v>1</v>
      </c>
      <c r="L18" s="9" t="n">
        <v>1</v>
      </c>
      <c r="M18" s="9" t="n">
        <v>2</v>
      </c>
      <c r="N18" s="9" t="n">
        <v>1</v>
      </c>
      <c r="P18" s="15">
        <f>C19*H18</f>
        <v/>
      </c>
      <c r="Q18" s="15">
        <f>D19*I18</f>
        <v/>
      </c>
      <c r="R18" s="15">
        <f>E19*J18</f>
        <v/>
      </c>
      <c r="W18" s="41" t="n">
        <v>1</v>
      </c>
      <c r="X18" s="20">
        <f>W18^(1/$X$7)</f>
        <v/>
      </c>
      <c r="Y18" s="20">
        <f>W18^(1/$Y$7)</f>
        <v/>
      </c>
      <c r="Z18" s="20">
        <f>W18^(1/$Z$7)</f>
        <v/>
      </c>
    </row>
    <row r="19">
      <c r="B19" s="49" t="n">
        <v>0.2</v>
      </c>
      <c r="C19" s="49" t="n">
        <v>0.28</v>
      </c>
      <c r="D19" s="49" t="n">
        <v>0.7</v>
      </c>
      <c r="E19" s="49" t="n">
        <v>0.75</v>
      </c>
      <c r="F19" s="49" t="n">
        <v>0.36</v>
      </c>
      <c r="P19" s="4" t="inlineStr">
        <is>
          <t>sum</t>
        </is>
      </c>
      <c r="Q19" s="20">
        <f>SUM(P16:R18)</f>
        <v/>
      </c>
      <c r="R19" s="48" t="inlineStr">
        <is>
          <t>SUMPRODUCT:</t>
        </is>
      </c>
      <c r="T19" s="20">
        <f>SUMPRODUCT(C17:E19,H16:J18)</f>
        <v/>
      </c>
    </row>
    <row r="20">
      <c r="B20" s="49" t="n">
        <v>0.19</v>
      </c>
      <c r="C20" s="49" t="n">
        <v>0.21</v>
      </c>
      <c r="D20" s="49" t="n">
        <v>0.26</v>
      </c>
      <c r="E20" s="49" t="n">
        <v>0.31</v>
      </c>
      <c r="F20" s="49" t="n">
        <v>0.3</v>
      </c>
      <c r="W20" s="2" t="inlineStr">
        <is>
          <t>g &gt; 1 lifts dark tones (applyGamma).</t>
        </is>
      </c>
    </row>
    <row r="21">
      <c r="B21" s="10" t="inlineStr">
        <is>
          <t>Gaussian 5x5 at the centre = SUMPRODUCT(patch, normalised kernel)</t>
        </is>
      </c>
      <c r="L21" s="20">
        <f>SUMPRODUCT(B16:F20,H8:L12)</f>
        <v/>
      </c>
      <c r="N21" s="10" t="inlineStr">
        <is>
          <t>code kernel:</t>
        </is>
      </c>
      <c r="P21" s="20">
        <f>SUMPRODUCT(B16:F20,N8:R12)</f>
        <v/>
      </c>
      <c r="R21" s="10" t="inlineStr">
        <is>
          <t>centre input:</t>
        </is>
      </c>
      <c r="T21" s="20">
        <f>D18</f>
        <v/>
      </c>
    </row>
    <row r="23">
      <c r="B23" s="10" t="inlineStr">
        <is>
          <t>Gx (3x3 valid output)</t>
        </is>
      </c>
      <c r="F23" s="10" t="inlineStr">
        <is>
          <t>Gy (3x3 valid output)</t>
        </is>
      </c>
      <c r="J23" s="10" t="inlineStr">
        <is>
          <t>|G| = sqrt(Gx^2 + Gy^2)</t>
        </is>
      </c>
      <c r="N23" s="10" t="inlineStr">
        <is>
          <t>edge = |G| &gt;= T</t>
        </is>
      </c>
    </row>
    <row r="24">
      <c r="B24" s="15">
        <f>SUMPRODUCT(B16:D18,H16:J18)</f>
        <v/>
      </c>
      <c r="C24" s="15">
        <f>SUMPRODUCT(C16:E18,H16:J18)</f>
        <v/>
      </c>
      <c r="D24" s="15">
        <f>SUMPRODUCT(D16:F18,H16:J18)</f>
        <v/>
      </c>
      <c r="F24" s="15">
        <f>SUMPRODUCT(B16:D18,L16:N18)</f>
        <v/>
      </c>
      <c r="G24" s="15">
        <f>SUMPRODUCT(C16:E18,L16:N18)</f>
        <v/>
      </c>
      <c r="H24" s="15">
        <f>SUMPRODUCT(D16:F18,L16:N18)</f>
        <v/>
      </c>
      <c r="J24" s="15">
        <f>SQRT(B24^2+F24^2)</f>
        <v/>
      </c>
      <c r="K24" s="15">
        <f>SQRT(C24^2+G24^2)</f>
        <v/>
      </c>
      <c r="L24" s="15">
        <f>SQRT(D24^2+H24^2)</f>
        <v/>
      </c>
      <c r="N24" s="37">
        <f>IF(J24&gt;=$M$5,1,0)</f>
        <v/>
      </c>
      <c r="O24" s="37">
        <f>IF(K24&gt;=$M$5,1,0)</f>
        <v/>
      </c>
      <c r="P24" s="37">
        <f>IF(L24&gt;=$M$5,1,0)</f>
        <v/>
      </c>
    </row>
    <row r="25">
      <c r="B25" s="15">
        <f>SUMPRODUCT(B17:D19,H16:J18)</f>
        <v/>
      </c>
      <c r="C25" s="15">
        <f>SUMPRODUCT(C17:E19,H16:J18)</f>
        <v/>
      </c>
      <c r="D25" s="15">
        <f>SUMPRODUCT(D17:F19,H16:J18)</f>
        <v/>
      </c>
      <c r="F25" s="15">
        <f>SUMPRODUCT(B17:D19,L16:N18)</f>
        <v/>
      </c>
      <c r="G25" s="15">
        <f>SUMPRODUCT(C17:E19,L16:N18)</f>
        <v/>
      </c>
      <c r="H25" s="15">
        <f>SUMPRODUCT(D17:F19,L16:N18)</f>
        <v/>
      </c>
      <c r="J25" s="15">
        <f>SQRT(B25^2+F25^2)</f>
        <v/>
      </c>
      <c r="K25" s="15">
        <f>SQRT(C25^2+G25^2)</f>
        <v/>
      </c>
      <c r="L25" s="15">
        <f>SQRT(D25^2+H25^2)</f>
        <v/>
      </c>
      <c r="N25" s="37">
        <f>IF(J25&gt;=$M$5,1,0)</f>
        <v/>
      </c>
      <c r="O25" s="37">
        <f>IF(K25&gt;=$M$5,1,0)</f>
        <v/>
      </c>
      <c r="P25" s="37">
        <f>IF(L25&gt;=$M$5,1,0)</f>
        <v/>
      </c>
    </row>
    <row r="26">
      <c r="B26" s="15">
        <f>SUMPRODUCT(B18:D20,H16:J18)</f>
        <v/>
      </c>
      <c r="C26" s="15">
        <f>SUMPRODUCT(C18:E20,H16:J18)</f>
        <v/>
      </c>
      <c r="D26" s="15">
        <f>SUMPRODUCT(D18:F20,H16:J18)</f>
        <v/>
      </c>
      <c r="F26" s="15">
        <f>SUMPRODUCT(B18:D20,L16:N18)</f>
        <v/>
      </c>
      <c r="G26" s="15">
        <f>SUMPRODUCT(C18:E20,L16:N18)</f>
        <v/>
      </c>
      <c r="H26" s="15">
        <f>SUMPRODUCT(D18:F20,L16:N18)</f>
        <v/>
      </c>
      <c r="J26" s="15">
        <f>SQRT(B26^2+F26^2)</f>
        <v/>
      </c>
      <c r="K26" s="15">
        <f>SQRT(C26^2+G26^2)</f>
        <v/>
      </c>
      <c r="L26" s="15">
        <f>SQRT(D26^2+H26^2)</f>
        <v/>
      </c>
      <c r="N26" s="37">
        <f>IF(J26&gt;=$M$5,1,0)</f>
        <v/>
      </c>
      <c r="O26" s="37">
        <f>IF(K26&gt;=$M$5,1,0)</f>
        <v/>
      </c>
      <c r="P26" s="37">
        <f>IF(L26&gt;=$M$5,1,0)</f>
        <v/>
      </c>
    </row>
    <row r="27">
      <c r="B27" s="2" t="inlineStr">
        <is>
          <t>Valid region: output (i, j) uses patch rows i..i+2, cols j..j+2 (the code clamps at the border).</t>
        </is>
      </c>
    </row>
    <row r="28">
      <c r="B28" s="2" t="inlineStr">
        <is>
          <t>The Frame Explorer shows Gx, Gy with bias 0.5 (zero = mid-grey); Sobel |G| uses both kernels.</t>
        </is>
      </c>
    </row>
  </sheetData>
  <mergeCells count="2">
    <mergeCell ref="J5:L5"/>
    <mergeCell ref="H13:K13"/>
  </mergeCells>
  <printOptions gridLines="0"/>
  <pageMargins left="0.4" right="0.4" top="0.4" bottom="0.4" header="0.2" footer="0.2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U4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Tracking: Kalman predict / gate / update, two-view triangulation, time on target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vision/MultiTracker.cpp predict, mahalanobis2, kalmanUpdate, triangulate; ai/Squad.cpp roundFlightTime, planStrike. Worked example values in yellow; q, gate, flight model from --export-docs.</t>
        </is>
      </c>
    </row>
    <row r="5">
      <c r="A5" s="10" t="inlineStr">
        <is>
          <t>A. Predict: x' = F x, P' = F P F^T + Q (white-noise acceleration q)</t>
        </is>
      </c>
    </row>
    <row r="6">
      <c r="A6" s="4" t="inlineStr">
        <is>
          <t>dt (s)</t>
        </is>
      </c>
      <c r="B6" s="46" t="n">
        <v>0.1</v>
      </c>
      <c r="C6" s="4" t="inlineStr">
        <is>
          <t>q (m/s2)</t>
        </is>
      </c>
      <c r="D6" s="46" t="n">
        <v>1.5</v>
      </c>
      <c r="E6" s="4" t="inlineStr">
        <is>
          <t>gate</t>
        </is>
      </c>
      <c r="F6" s="46" t="n">
        <v>9.210000000000001</v>
      </c>
      <c r="G6" s="4" t="inlineStr">
        <is>
          <t>meas. sigma (m)</t>
        </is>
      </c>
      <c r="H6" s="12" t="n"/>
      <c r="I6" s="46" t="n">
        <v>0.5</v>
      </c>
    </row>
    <row r="8">
      <c r="A8" s="4" t="inlineStr">
        <is>
          <t>x = (x, z, vx, vz)</t>
        </is>
      </c>
      <c r="C8" s="10" t="inlineStr">
        <is>
          <t>F</t>
        </is>
      </c>
      <c r="H8" s="10" t="inlineStr">
        <is>
          <t>P (before)</t>
        </is>
      </c>
      <c r="M8" s="10" t="inlineStr">
        <is>
          <t>Q</t>
        </is>
      </c>
      <c r="R8" s="10" t="inlineStr">
        <is>
          <t>F P</t>
        </is>
      </c>
    </row>
    <row r="9">
      <c r="A9" s="46" t="n">
        <v>2</v>
      </c>
      <c r="C9" s="37" t="n">
        <v>1</v>
      </c>
      <c r="D9" s="37" t="n">
        <v>0</v>
      </c>
      <c r="E9" s="15">
        <f>$B$6</f>
        <v/>
      </c>
      <c r="F9" s="37" t="n">
        <v>0</v>
      </c>
      <c r="H9" s="38" t="n">
        <v>0.3</v>
      </c>
      <c r="I9" s="9" t="n">
        <v>0</v>
      </c>
      <c r="J9" s="38" t="n">
        <v>0.1</v>
      </c>
      <c r="K9" s="9" t="n">
        <v>0</v>
      </c>
      <c r="M9" s="15">
        <f>$D$6^2*$B$6^4/4</f>
        <v/>
      </c>
      <c r="N9" s="37" t="n">
        <v>0</v>
      </c>
      <c r="O9" s="15">
        <f>$D$6^2*$B$6^3/2</f>
        <v/>
      </c>
      <c r="P9" s="37" t="n">
        <v>0</v>
      </c>
      <c r="R9" s="15">
        <f>C9*H9+D9*H10+E9*H11+F9*H12</f>
        <v/>
      </c>
      <c r="S9" s="15">
        <f>C9*I9+D9*I10+E9*I11+F9*I12</f>
        <v/>
      </c>
      <c r="T9" s="15">
        <f>C9*J9+D9*J10+E9*J11+F9*J12</f>
        <v/>
      </c>
      <c r="U9" s="15">
        <f>C9*K9+D9*K10+E9*K11+F9*K12</f>
        <v/>
      </c>
    </row>
    <row r="10">
      <c r="A10" s="46" t="n">
        <v>5</v>
      </c>
      <c r="C10" s="37" t="n">
        <v>0</v>
      </c>
      <c r="D10" s="37" t="n">
        <v>1</v>
      </c>
      <c r="E10" s="37" t="n">
        <v>0</v>
      </c>
      <c r="F10" s="15">
        <f>$B$6</f>
        <v/>
      </c>
      <c r="H10" s="9" t="n">
        <v>0</v>
      </c>
      <c r="I10" s="38" t="n">
        <v>0.3</v>
      </c>
      <c r="J10" s="9" t="n">
        <v>0</v>
      </c>
      <c r="K10" s="38" t="n">
        <v>0.1</v>
      </c>
      <c r="M10" s="37" t="n">
        <v>0</v>
      </c>
      <c r="N10" s="15">
        <f>$D$6^2*$B$6^4/4</f>
        <v/>
      </c>
      <c r="O10" s="37" t="n">
        <v>0</v>
      </c>
      <c r="P10" s="15">
        <f>$D$6^2*$B$6^3/2</f>
        <v/>
      </c>
      <c r="R10" s="15">
        <f>C10*H9+D10*H10+E10*H11+F10*H12</f>
        <v/>
      </c>
      <c r="S10" s="15">
        <f>C10*I9+D10*I10+E10*I11+F10*I12</f>
        <v/>
      </c>
      <c r="T10" s="15">
        <f>C10*J9+D10*J10+E10*J11+F10*J12</f>
        <v/>
      </c>
      <c r="U10" s="15">
        <f>C10*K9+D10*K10+E10*K11+F10*K12</f>
        <v/>
      </c>
    </row>
    <row r="11">
      <c r="A11" s="46" t="n">
        <v>1.2</v>
      </c>
      <c r="C11" s="37" t="n">
        <v>0</v>
      </c>
      <c r="D11" s="37" t="n">
        <v>0</v>
      </c>
      <c r="E11" s="37" t="n">
        <v>1</v>
      </c>
      <c r="F11" s="37" t="n">
        <v>0</v>
      </c>
      <c r="H11" s="38" t="n">
        <v>0.1</v>
      </c>
      <c r="I11" s="9" t="n">
        <v>0</v>
      </c>
      <c r="J11" s="38" t="n">
        <v>0.5</v>
      </c>
      <c r="K11" s="9" t="n">
        <v>0</v>
      </c>
      <c r="M11" s="15">
        <f>$D$6^2*$B$6^3/2</f>
        <v/>
      </c>
      <c r="N11" s="37" t="n">
        <v>0</v>
      </c>
      <c r="O11" s="15">
        <f>$D$6^2*$B$6^2</f>
        <v/>
      </c>
      <c r="P11" s="37" t="n">
        <v>0</v>
      </c>
      <c r="R11" s="15">
        <f>C11*H9+D11*H10+E11*H11+F11*H12</f>
        <v/>
      </c>
      <c r="S11" s="15">
        <f>C11*I9+D11*I10+E11*I11+F11*I12</f>
        <v/>
      </c>
      <c r="T11" s="15">
        <f>C11*J9+D11*J10+E11*J11+F11*J12</f>
        <v/>
      </c>
      <c r="U11" s="15">
        <f>C11*K9+D11*K10+E11*K11+F11*K12</f>
        <v/>
      </c>
    </row>
    <row r="12">
      <c r="A12" s="46" t="n">
        <v>-0.4</v>
      </c>
      <c r="C12" s="37" t="n">
        <v>0</v>
      </c>
      <c r="D12" s="37" t="n">
        <v>0</v>
      </c>
      <c r="E12" s="37" t="n">
        <v>0</v>
      </c>
      <c r="F12" s="37" t="n">
        <v>1</v>
      </c>
      <c r="H12" s="9" t="n">
        <v>0</v>
      </c>
      <c r="I12" s="38" t="n">
        <v>0.1</v>
      </c>
      <c r="J12" s="9" t="n">
        <v>0</v>
      </c>
      <c r="K12" s="38" t="n">
        <v>0.5</v>
      </c>
      <c r="M12" s="37" t="n">
        <v>0</v>
      </c>
      <c r="N12" s="15">
        <f>$D$6^2*$B$6^3/2</f>
        <v/>
      </c>
      <c r="O12" s="37" t="n">
        <v>0</v>
      </c>
      <c r="P12" s="15">
        <f>$D$6^2*$B$6^2</f>
        <v/>
      </c>
      <c r="R12" s="15">
        <f>C12*H9+D12*H10+E12*H11+F12*H12</f>
        <v/>
      </c>
      <c r="S12" s="15">
        <f>C12*I9+D12*I10+E12*I11+F12*I12</f>
        <v/>
      </c>
      <c r="T12" s="15">
        <f>C12*J9+D12*J10+E12*J11+F12*J12</f>
        <v/>
      </c>
      <c r="U12" s="15">
        <f>C12*K9+D12*K10+E12*K11+F12*K12</f>
        <v/>
      </c>
    </row>
    <row r="14">
      <c r="A14" s="10" t="inlineStr">
        <is>
          <t>x' = F x</t>
        </is>
      </c>
      <c r="C14" s="10" t="inlineStr">
        <is>
          <t>P' = F P F^T + Q</t>
        </is>
      </c>
    </row>
    <row r="15">
      <c r="A15" s="15">
        <f>C9*$A$9+D9*$A$10+E9*$A$11+F9*$A$12</f>
        <v/>
      </c>
      <c r="C15" s="15">
        <f>R9*C9+S9*D9+T9*E9+U9*F9+M9</f>
        <v/>
      </c>
      <c r="D15" s="15">
        <f>R9*C10+S9*D10+T9*E10+U9*F10+N9</f>
        <v/>
      </c>
      <c r="E15" s="15">
        <f>R9*C11+S9*D11+T9*E11+U9*F11+O9</f>
        <v/>
      </c>
      <c r="F15" s="15">
        <f>R9*C12+S9*D12+T9*E12+U9*F12+P9</f>
        <v/>
      </c>
    </row>
    <row r="16">
      <c r="A16" s="15">
        <f>C10*$A$9+D10*$A$10+E10*$A$11+F10*$A$12</f>
        <v/>
      </c>
      <c r="C16" s="15">
        <f>R10*C9+S10*D9+T10*E9+U10*F9+M10</f>
        <v/>
      </c>
      <c r="D16" s="15">
        <f>R10*C10+S10*D10+T10*E10+U10*F10+N10</f>
        <v/>
      </c>
      <c r="E16" s="15">
        <f>R10*C11+S10*D11+T10*E11+U10*F11+O10</f>
        <v/>
      </c>
      <c r="F16" s="15">
        <f>R10*C12+S10*D12+T10*E12+U10*F12+P10</f>
        <v/>
      </c>
    </row>
    <row r="17">
      <c r="A17" s="15">
        <f>C11*$A$9+D11*$A$10+E11*$A$11+F11*$A$12</f>
        <v/>
      </c>
      <c r="C17" s="15">
        <f>R11*C9+S11*D9+T11*E9+U11*F9+M11</f>
        <v/>
      </c>
      <c r="D17" s="15">
        <f>R11*C10+S11*D10+T11*E10+U11*F10+N11</f>
        <v/>
      </c>
      <c r="E17" s="15">
        <f>R11*C11+S11*D11+T11*E11+U11*F11+O11</f>
        <v/>
      </c>
      <c r="F17" s="15">
        <f>R11*C12+S11*D12+T11*E12+U11*F12+P11</f>
        <v/>
      </c>
    </row>
    <row r="18">
      <c r="A18" s="15">
        <f>C12*$A$9+D12*$A$10+E12*$A$11+F12*$A$12</f>
        <v/>
      </c>
      <c r="C18" s="15">
        <f>R12*C9+S12*D9+T12*E9+U12*F9+M12</f>
        <v/>
      </c>
      <c r="D18" s="15">
        <f>R12*C10+S12*D10+T12*E10+U12*F10+N12</f>
        <v/>
      </c>
      <c r="E18" s="15">
        <f>R12*C11+S12*D11+T12*E11+U12*F11+O12</f>
        <v/>
      </c>
      <c r="F18" s="15">
        <f>R12*C12+S12*D12+T12*E12+U12*F12+P12</f>
        <v/>
      </c>
    </row>
    <row r="20">
      <c r="A20" s="10" t="inlineStr">
        <is>
          <t>B. Gate and update with a measurement m (ground point)</t>
        </is>
      </c>
      <c r="M20" s="10" t="inlineStr">
        <is>
          <t>D. Time on target (roundFlightTime, planStrike)</t>
        </is>
      </c>
    </row>
    <row r="21">
      <c r="A21" s="4" t="inlineStr">
        <is>
          <t>m = (x, z)</t>
        </is>
      </c>
      <c r="B21" s="46" t="n">
        <v>2.5</v>
      </c>
      <c r="C21" s="46" t="n">
        <v>4.6</v>
      </c>
      <c r="M21" s="3" t="inlineStr">
        <is>
          <t>v0</t>
        </is>
      </c>
      <c r="N21" s="3" t="inlineStr">
        <is>
          <t>accel</t>
        </is>
      </c>
      <c r="O21" s="3" t="inlineStr">
        <is>
          <t>ramp (s)</t>
        </is>
      </c>
      <c r="P21" s="3" t="inlineStr">
        <is>
          <t>cruise</t>
        </is>
      </c>
      <c r="Q21" s="3" t="inlineStr">
        <is>
          <t>fuse (m)</t>
        </is>
      </c>
    </row>
    <row r="22">
      <c r="A22" s="4" t="inlineStr">
        <is>
          <t>innovation nu</t>
        </is>
      </c>
      <c r="B22" s="20">
        <f>B21-A15</f>
        <v/>
      </c>
      <c r="C22" s="20">
        <f>C21-A16</f>
        <v/>
      </c>
      <c r="M22" s="46" t="n">
        <v>8</v>
      </c>
      <c r="N22" s="46" t="n">
        <v>130</v>
      </c>
      <c r="O22" s="46" t="n">
        <v>0.4</v>
      </c>
      <c r="P22" s="46" t="n">
        <v>60</v>
      </c>
      <c r="Q22" s="46" t="n">
        <v>0.5</v>
      </c>
    </row>
    <row r="23" ht="18" customHeight="1">
      <c r="A23" s="10" t="inlineStr">
        <is>
          <t>S = H P' H^T + sigma^2 I</t>
        </is>
      </c>
      <c r="D23" s="10" t="inlineStr">
        <is>
          <t>S^-1</t>
        </is>
      </c>
      <c r="G23" s="10" t="inlineStr">
        <is>
          <t>K = P' H^T S^-1 (4x2)</t>
        </is>
      </c>
      <c r="J23" s="10" t="inlineStr">
        <is>
          <t>x_new = x' + K nu</t>
        </is>
      </c>
      <c r="M23" s="3" t="inlineStr">
        <is>
          <t>UAV</t>
        </is>
      </c>
      <c r="N23" s="3" t="inlineStr">
        <is>
          <t>distance</t>
        </is>
      </c>
      <c r="O23" s="3" t="inlineStr">
        <is>
          <t>d - fuse</t>
        </is>
      </c>
      <c r="P23" s="3" t="inlineStr">
        <is>
          <t>ramp dist</t>
        </is>
      </c>
      <c r="Q23" s="3" t="inlineStr">
        <is>
          <t>T (s)</t>
        </is>
      </c>
      <c r="R23" s="3" t="inlineStr">
        <is>
          <t>launch +s</t>
        </is>
      </c>
    </row>
    <row r="24">
      <c r="A24" s="15">
        <f>C15+$I$6^2</f>
        <v/>
      </c>
      <c r="B24" s="15">
        <f>D15</f>
        <v/>
      </c>
      <c r="D24" s="15">
        <f>B25/(A24*B25-B24*A25)</f>
        <v/>
      </c>
      <c r="E24" s="15">
        <f>-B24/(A24*B25-B24*A25)</f>
        <v/>
      </c>
      <c r="G24" s="15">
        <f>C15*D24+D15*D25</f>
        <v/>
      </c>
      <c r="H24" s="15">
        <f>C15*E24+D15*E25</f>
        <v/>
      </c>
      <c r="J24" s="15">
        <f>A15+G24*B22+H24*C22</f>
        <v/>
      </c>
      <c r="M24" s="7" t="n">
        <v>1</v>
      </c>
      <c r="N24" s="41" t="n">
        <v>18</v>
      </c>
      <c r="O24" s="20">
        <f>MAX(0,N24-$Q$22)</f>
        <v/>
      </c>
      <c r="P24" s="20">
        <f>0.5*($M$22+$P$22)*$O$22</f>
        <v/>
      </c>
      <c r="Q24" s="20">
        <f>IF(O24&lt;=P24,(-$M$22+SQRT($M$22^2+2*$N$22*O24))/$N$22,$O$22+(O24-P24)/$P$22)</f>
        <v/>
      </c>
      <c r="R24" s="20">
        <f>MAX(Q24,Q25)-Q24</f>
        <v/>
      </c>
    </row>
    <row r="25">
      <c r="A25" s="15">
        <f>C16</f>
        <v/>
      </c>
      <c r="B25" s="15">
        <f>D16+$I$6^2</f>
        <v/>
      </c>
      <c r="D25" s="15">
        <f>-A25/(A24*B25-B24*A25)</f>
        <v/>
      </c>
      <c r="E25" s="15">
        <f>A24/(A24*B25-B24*A25)</f>
        <v/>
      </c>
      <c r="G25" s="15">
        <f>C16*D24+D16*D25</f>
        <v/>
      </c>
      <c r="H25" s="15">
        <f>C16*E24+D16*E25</f>
        <v/>
      </c>
      <c r="J25" s="15">
        <f>A16+G25*B22+H25*C22</f>
        <v/>
      </c>
      <c r="M25" s="7" t="n">
        <v>2</v>
      </c>
      <c r="N25" s="41" t="n">
        <v>9</v>
      </c>
      <c r="O25" s="20">
        <f>MAX(0,N25-$Q$22)</f>
        <v/>
      </c>
      <c r="P25" s="20">
        <f>0.5*($M$22+$P$22)*$O$22</f>
        <v/>
      </c>
      <c r="Q25" s="20">
        <f>IF(O25&lt;=P25,(-$M$22+SQRT($M$22^2+2*$N$22*O25))/$N$22,$O$22+(O25-P25)/$P$22)</f>
        <v/>
      </c>
      <c r="R25" s="20">
        <f>MAX(Q24,Q25)-Q25</f>
        <v/>
      </c>
    </row>
    <row r="26">
      <c r="G26" s="15">
        <f>C17*D24+D17*D25</f>
        <v/>
      </c>
      <c r="H26" s="15">
        <f>C17*E24+D17*E25</f>
        <v/>
      </c>
      <c r="J26" s="15">
        <f>A17+G26*B22+H26*C22</f>
        <v/>
      </c>
      <c r="M26" s="2" t="inlineStr">
        <is>
          <t>both rounds arrive together: launch delay = T_far - T_k</t>
        </is>
      </c>
    </row>
    <row r="27">
      <c r="A27" s="4" t="inlineStr">
        <is>
          <t>d^2 = nu^T S^-1 nu</t>
        </is>
      </c>
      <c r="C27" s="20">
        <f>B22*(D24*B22+E24*C22)+C22*(D25*B22+E25*C22)</f>
        <v/>
      </c>
      <c r="D27" s="15">
        <f>IF(C27&lt;$F$6,"inside gate","rejected")</f>
        <v/>
      </c>
      <c r="G27" s="15">
        <f>C18*D24+D18*D25</f>
        <v/>
      </c>
      <c r="H27" s="15">
        <f>C18*E24+D18*E25</f>
        <v/>
      </c>
      <c r="J27" s="15">
        <f>A18+G27*B22+H27*C22</f>
        <v/>
      </c>
    </row>
    <row r="30">
      <c r="A30" s="10" t="inlineStr">
        <is>
          <t>C. Two-view triangulation: minimise |o1 + s d1 - (o2 + t d2)|</t>
        </is>
      </c>
    </row>
    <row r="31" ht="18" customHeight="1">
      <c r="A31" s="3" t="inlineStr"/>
      <c r="B31" s="3" t="inlineStr">
        <is>
          <t>x</t>
        </is>
      </c>
      <c r="C31" s="3" t="inlineStr">
        <is>
          <t>y</t>
        </is>
      </c>
      <c r="D31" s="3" t="inlineStr">
        <is>
          <t>z</t>
        </is>
      </c>
    </row>
    <row r="32">
      <c r="A32" s="4" t="inlineStr">
        <is>
          <t>o1 (UAV 1)</t>
        </is>
      </c>
      <c r="B32" s="46" t="n">
        <v>-6</v>
      </c>
      <c r="C32" s="46" t="n">
        <v>8</v>
      </c>
      <c r="D32" s="46" t="n">
        <v>0</v>
      </c>
    </row>
    <row r="33">
      <c r="A33" s="4" t="inlineStr">
        <is>
          <t>d1</t>
        </is>
      </c>
      <c r="B33" s="46" t="n">
        <v>0.55</v>
      </c>
      <c r="C33" s="46" t="n">
        <v>-0.7</v>
      </c>
      <c r="D33" s="46" t="n">
        <v>0.15</v>
      </c>
    </row>
    <row r="34">
      <c r="A34" s="4" t="inlineStr">
        <is>
          <t>o2 (UAV 2)</t>
        </is>
      </c>
      <c r="B34" s="46" t="n">
        <v>7</v>
      </c>
      <c r="C34" s="46" t="n">
        <v>9</v>
      </c>
      <c r="D34" s="46" t="n">
        <v>5</v>
      </c>
    </row>
    <row r="35">
      <c r="A35" s="4" t="inlineStr">
        <is>
          <t>d2</t>
        </is>
      </c>
      <c r="B35" s="46" t="n">
        <v>-0.5</v>
      </c>
      <c r="C35" s="46" t="n">
        <v>-0.65</v>
      </c>
      <c r="D35" s="46" t="n">
        <v>-0.32</v>
      </c>
    </row>
    <row r="36">
      <c r="A36" s="4" t="inlineStr">
        <is>
          <t>a = d1.d1</t>
        </is>
      </c>
      <c r="B36" s="20">
        <f>($B$33*$B$33+$C$33*$C$33+$D$33*$D$33)</f>
        <v/>
      </c>
      <c r="C36" s="4" t="inlineStr">
        <is>
          <t>b = d1.d2</t>
        </is>
      </c>
      <c r="D36" s="20">
        <f>($B$33*$B$35+$C$33*$C$35+$D$33*$D$35)</f>
        <v/>
      </c>
      <c r="E36" s="4" t="inlineStr">
        <is>
          <t>c = d2.d2</t>
        </is>
      </c>
      <c r="F36" s="20">
        <f>($B$35*$B$35+$C$35*$C$35+$D$35*$D$35)</f>
        <v/>
      </c>
      <c r="G36" s="4" t="inlineStr">
        <is>
          <t>d = d1.w</t>
        </is>
      </c>
      <c r="H36" s="20">
        <f>($B$33*($B$32-$B$34)+$C$33*($C$32-$C$34)+$D$33*($D$32-$D$34))</f>
        <v/>
      </c>
      <c r="I36" s="4" t="inlineStr">
        <is>
          <t>e = d2.w</t>
        </is>
      </c>
      <c r="J36" s="20">
        <f>($B$35*($B$32-$B$34)+$C$35*($C$32-$C$34)+$D$35*($D$32-$D$34))</f>
        <v/>
      </c>
    </row>
    <row r="37">
      <c r="A37" s="4" t="inlineStr">
        <is>
          <t>s</t>
        </is>
      </c>
      <c r="B37" s="20">
        <f>($D$36*$J$36-$F$36*$H$36)/($B$36*$F$36-$D$36^2)</f>
        <v/>
      </c>
      <c r="C37" s="4" t="inlineStr">
        <is>
          <t>t</t>
        </is>
      </c>
      <c r="D37" s="20">
        <f>($B$36*$J$36-$D$36*$H$36)/($B$36*$F$36-$D$36^2)</f>
        <v/>
      </c>
    </row>
    <row r="38" ht="18" customHeight="1">
      <c r="A38" s="3" t="inlineStr"/>
      <c r="B38" s="3" t="inlineStr">
        <is>
          <t>x</t>
        </is>
      </c>
      <c r="C38" s="3" t="inlineStr">
        <is>
          <t>y</t>
        </is>
      </c>
      <c r="D38" s="3" t="inlineStr">
        <is>
          <t>z</t>
        </is>
      </c>
    </row>
    <row r="39">
      <c r="A39" s="4" t="inlineStr">
        <is>
          <t>p1 = o1 + s d1</t>
        </is>
      </c>
      <c r="B39" s="20">
        <f>$B$32+$B$37*$B$33</f>
        <v/>
      </c>
      <c r="C39" s="20">
        <f>$C$32+$B$37*$C$33</f>
        <v/>
      </c>
      <c r="D39" s="20">
        <f>$D$32+$B$37*$D$33</f>
        <v/>
      </c>
    </row>
    <row r="40">
      <c r="A40" s="4" t="inlineStr">
        <is>
          <t>p2 = o2 + t d2</t>
        </is>
      </c>
      <c r="B40" s="20">
        <f>$B$34+$D$37*$B$35</f>
        <v/>
      </c>
      <c r="C40" s="20">
        <f>$C$34+$D$37*$C$35</f>
        <v/>
      </c>
      <c r="D40" s="20">
        <f>$D$34+$D$37*$D$35</f>
        <v/>
      </c>
    </row>
    <row r="41">
      <c r="A41" s="4" t="inlineStr">
        <is>
          <t>midpoint</t>
        </is>
      </c>
      <c r="B41" s="20">
        <f>(B39+B40)/2</f>
        <v/>
      </c>
      <c r="C41" s="20">
        <f>(C39+C40)/2</f>
        <v/>
      </c>
      <c r="D41" s="20">
        <f>(D39+D40)/2</f>
        <v/>
      </c>
    </row>
    <row r="42">
      <c r="A42" s="4" t="inlineStr">
        <is>
          <t>residual |p1-p2|</t>
        </is>
      </c>
      <c r="B42" s="20">
        <f>SQRT((B39-B40)^2+(C39-C40)^2+(D39-D40)^2)</f>
        <v/>
      </c>
    </row>
  </sheetData>
  <mergeCells count="1">
    <mergeCell ref="G6:H6"/>
  </mergeCells>
  <printOptions gridLines="0"/>
  <pageMargins left="0.4" right="0.4" top="0.4" bottom="0.4" header="0.2" footer="0.2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Line_Follower: IR sensor array, PD steering, differential drive (one tick)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ai/HideController.cpp followLine (kSensorForward, kSensorSpacing, kLineHalfWidth, kKp, kKd, kMaxSpeed); objects/Rover.h kRoverTrackWidth. Line offset, previous error and dt are worked-example inputs.</t>
        </is>
      </c>
    </row>
    <row r="5" ht="28" customHeight="1">
      <c r="B5" s="3" t="inlineStr">
        <is>
          <t>spacing (m)</t>
        </is>
      </c>
      <c r="C5" s="3" t="inlineStr">
        <is>
          <t>half width</t>
        </is>
      </c>
      <c r="D5" s="3" t="inlineStr">
        <is>
          <t>err scale</t>
        </is>
      </c>
      <c r="E5" s="3" t="inlineStr">
        <is>
          <t>Kp</t>
        </is>
      </c>
      <c r="F5" s="3" t="inlineStr">
        <is>
          <t>Kd</t>
        </is>
      </c>
      <c r="G5" s="3" t="inlineStr">
        <is>
          <t>v max</t>
        </is>
      </c>
      <c r="H5" s="3" t="inlineStr">
        <is>
          <t>slow-down</t>
        </is>
      </c>
      <c r="I5" s="3" t="inlineStr">
        <is>
          <t>omega max</t>
        </is>
      </c>
      <c r="J5" s="3" t="inlineStr">
        <is>
          <t>track w</t>
        </is>
      </c>
      <c r="K5" s="3" t="inlineStr">
        <is>
          <t>line offset</t>
        </is>
      </c>
      <c r="L5" s="3" t="inlineStr">
        <is>
          <t>prev e</t>
        </is>
      </c>
      <c r="M5" s="3" t="inlineStr">
        <is>
          <t>dt (s)</t>
        </is>
      </c>
    </row>
    <row r="6">
      <c r="A6" s="4" t="inlineStr">
        <is>
          <t>inputs</t>
        </is>
      </c>
      <c r="B6" s="42" t="n">
        <v>0.06</v>
      </c>
      <c r="C6" s="42" t="n">
        <v>0.05</v>
      </c>
      <c r="D6" s="42" t="n">
        <v>0.12</v>
      </c>
      <c r="E6" s="42" t="n">
        <v>3.2</v>
      </c>
      <c r="F6" s="42" t="n">
        <v>0.25</v>
      </c>
      <c r="G6" s="42" t="n">
        <v>0.75</v>
      </c>
      <c r="H6" s="42" t="n">
        <v>0.6</v>
      </c>
      <c r="I6" s="42" t="n">
        <v>2.5</v>
      </c>
      <c r="J6" s="42" t="n">
        <v>0.5</v>
      </c>
      <c r="K6" s="42" t="n">
        <v>0.07000000000000001</v>
      </c>
      <c r="L6" s="42" t="n">
        <v>0.45</v>
      </c>
      <c r="M6" s="42" t="n">
        <v>0.01666666666666667</v>
      </c>
    </row>
    <row r="8">
      <c r="A8" s="10" t="inlineStr">
        <is>
          <t>A. Sensors: lateral offset x_i = -2 spacing + i spacing (left &gt; 0); on the line if |x_i - line| &lt; half width</t>
        </is>
      </c>
    </row>
    <row r="9" ht="18" customHeight="1">
      <c r="A9" s="3" t="inlineStr">
        <is>
          <t>sensor i</t>
        </is>
      </c>
      <c r="B9" s="3" t="inlineStr">
        <is>
          <t>x_i (m)</t>
        </is>
      </c>
      <c r="C9" s="3" t="inlineStr">
        <is>
          <t>|x_i - line|</t>
        </is>
      </c>
      <c r="D9" s="3" t="inlineStr">
        <is>
          <t>on line</t>
        </is>
      </c>
    </row>
    <row r="10">
      <c r="A10" s="7" t="n">
        <v>0</v>
      </c>
      <c r="B10" s="20">
        <f>-2*$B$6+A10*$B$6</f>
        <v/>
      </c>
      <c r="C10" s="20">
        <f>ABS(B10-$K$6)</f>
        <v/>
      </c>
      <c r="D10" s="7">
        <f>IF(C10&lt;$C$6,1,0)</f>
        <v/>
      </c>
    </row>
    <row r="11">
      <c r="A11" s="7" t="n">
        <v>1</v>
      </c>
      <c r="B11" s="20">
        <f>-2*$B$6+A11*$B$6</f>
        <v/>
      </c>
      <c r="C11" s="20">
        <f>ABS(B11-$K$6)</f>
        <v/>
      </c>
      <c r="D11" s="7">
        <f>IF(C11&lt;$C$6,1,0)</f>
        <v/>
      </c>
    </row>
    <row r="12">
      <c r="A12" s="7" t="n">
        <v>2</v>
      </c>
      <c r="B12" s="20">
        <f>-2*$B$6+A12*$B$6</f>
        <v/>
      </c>
      <c r="C12" s="20">
        <f>ABS(B12-$K$6)</f>
        <v/>
      </c>
      <c r="D12" s="7">
        <f>IF(C12&lt;$C$6,1,0)</f>
        <v/>
      </c>
    </row>
    <row r="13">
      <c r="A13" s="7" t="n">
        <v>3</v>
      </c>
      <c r="B13" s="20">
        <f>-2*$B$6+A13*$B$6</f>
        <v/>
      </c>
      <c r="C13" s="20">
        <f>ABS(B13-$K$6)</f>
        <v/>
      </c>
      <c r="D13" s="7">
        <f>IF(C13&lt;$C$6,1,0)</f>
        <v/>
      </c>
    </row>
    <row r="14">
      <c r="A14" s="7" t="n">
        <v>4</v>
      </c>
      <c r="B14" s="20">
        <f>-2*$B$6+A14*$B$6</f>
        <v/>
      </c>
      <c r="C14" s="20">
        <f>ABS(B14-$K$6)</f>
        <v/>
      </c>
      <c r="D14" s="7">
        <f>IF(C14&lt;$C$6,1,0)</f>
        <v/>
      </c>
    </row>
    <row r="16">
      <c r="A16" s="10" t="inlineStr">
        <is>
          <t>B. PD steering and wheel speeds</t>
        </is>
      </c>
    </row>
    <row r="17">
      <c r="A17" s="4" t="inlineStr">
        <is>
          <t>active sensors</t>
        </is>
      </c>
      <c r="B17" s="20">
        <f>SUM(D10:D14)</f>
        <v/>
      </c>
    </row>
    <row r="18">
      <c r="A18" s="4" t="inlineStr">
        <is>
          <t>error e</t>
        </is>
      </c>
      <c r="B18" s="20">
        <f>IF(B17&gt;0,SUMPRODUCT(B10:B14,D10:D14)/B17/$D$6,1)</f>
        <v/>
      </c>
    </row>
    <row r="19">
      <c r="A19" s="4" t="inlineStr">
        <is>
          <t>de/dt</t>
        </is>
      </c>
      <c r="B19" s="20">
        <f>(B18-$L$6)/$M$6</f>
        <v/>
      </c>
    </row>
    <row r="20">
      <c r="A20" s="4" t="inlineStr">
        <is>
          <t>omega (rad/s)</t>
        </is>
      </c>
      <c r="B20" s="20">
        <f>MAX(-$I$6,MIN($I$6,$E$6*B18+$F$6*B19))</f>
        <v/>
      </c>
    </row>
    <row r="21">
      <c r="A21" s="4" t="inlineStr">
        <is>
          <t>speed v (m/s)</t>
        </is>
      </c>
      <c r="B21" s="20">
        <f>$G$6*(1-$H$6*ABS(B18))</f>
        <v/>
      </c>
    </row>
    <row r="22">
      <c r="A22" s="4" t="inlineStr">
        <is>
          <t>left wheel</t>
        </is>
      </c>
      <c r="B22" s="20">
        <f>B21-B20*$J$6/2</f>
        <v/>
      </c>
    </row>
    <row r="23">
      <c r="A23" s="4" t="inlineStr">
        <is>
          <t>right wheel</t>
        </is>
      </c>
      <c r="B23" s="20">
        <f>B21+B20*$J$6/2</f>
        <v/>
      </c>
    </row>
    <row r="24">
      <c r="A24" s="4" t="inlineStr">
        <is>
          <t>turn</t>
        </is>
      </c>
      <c r="B24" s="15">
        <f>IF(B20&gt;0,"left",IF(B20&lt;0,"right","straight"))</f>
        <v/>
      </c>
    </row>
    <row r="26">
      <c r="A26" s="2" t="inlineStr">
        <is>
          <t>Rate limits (kWheelAccel) and the line-lost search are not modelled here; see followLine.</t>
        </is>
      </c>
    </row>
  </sheetData>
  <printOptions gridLines="0"/>
  <pageMargins left="0.4" right="0.4" top="0.4" bottom="0.4" header="0.2" footer="0.2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0"/>
  </sheetPr>
  <dimension ref="A1:S5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Explosion: colour from temperature, particle motion, debris bounce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rendering/Effects.cpp bb(T), fire / spark colour; scene/Combat.cpp updateParticles (spark integrator); scene/Scene.cpp updateDebris (restitution). Yellow = constants copied from the code.</t>
        </is>
      </c>
    </row>
    <row r="5">
      <c r="A5" s="10" t="inlineStr">
        <is>
          <t>inputs</t>
        </is>
      </c>
    </row>
    <row r="6" ht="28" customHeight="1">
      <c r="B6" s="3" t="inlineStr">
        <is>
          <t>bb R exp</t>
        </is>
      </c>
      <c r="C6" s="3" t="inlineStr">
        <is>
          <t>bb G exp</t>
        </is>
      </c>
      <c r="D6" s="3" t="inlineStr">
        <is>
          <t>bb B gain</t>
        </is>
      </c>
      <c r="E6" s="3" t="inlineStr">
        <is>
          <t>bb B exp</t>
        </is>
      </c>
      <c r="F6" s="3" t="inlineStr">
        <is>
          <t>fire life exp</t>
        </is>
      </c>
      <c r="G6" s="3" t="inlineStr">
        <is>
          <t>emit a</t>
        </is>
      </c>
      <c r="H6" s="3" t="inlineStr">
        <is>
          <t>emit b</t>
        </is>
      </c>
      <c r="I6" s="3" t="inlineStr">
        <is>
          <t>spark cool</t>
        </is>
      </c>
    </row>
    <row r="7">
      <c r="B7" s="46" t="n">
        <v>0.45</v>
      </c>
      <c r="C7" s="46" t="n">
        <v>1.9</v>
      </c>
      <c r="D7" s="46" t="n">
        <v>0.85</v>
      </c>
      <c r="E7" s="46" t="n">
        <v>4.5</v>
      </c>
      <c r="F7" s="46" t="n">
        <v>0.6</v>
      </c>
      <c r="G7" s="46" t="n">
        <v>0.5</v>
      </c>
      <c r="H7" s="46" t="n">
        <v>5</v>
      </c>
      <c r="I7" s="46" t="n">
        <v>0.9</v>
      </c>
    </row>
    <row r="9">
      <c r="A9" s="10" t="inlineStr">
        <is>
          <t>A. Blackbody ramp bb(T) = (T^a, T^b, k T^c) and fire emission bb(T)(a' + b' T^2)</t>
        </is>
      </c>
      <c r="J9" s="10" t="inlineStr">
        <is>
          <t>B. A flame core and a spark over their lives (t = age / life)</t>
        </is>
      </c>
    </row>
    <row r="10" ht="18" customHeight="1">
      <c r="A10" s="3" t="inlineStr">
        <is>
          <t>T</t>
        </is>
      </c>
      <c r="B10" s="3" t="inlineStr">
        <is>
          <t>R</t>
        </is>
      </c>
      <c r="C10" s="3" t="inlineStr">
        <is>
          <t>G</t>
        </is>
      </c>
      <c r="D10" s="3" t="inlineStr">
        <is>
          <t>B</t>
        </is>
      </c>
      <c r="E10" s="3" t="inlineStr">
        <is>
          <t>a'+b'T^2</t>
        </is>
      </c>
      <c r="F10" s="3" t="inlineStr">
        <is>
          <t>R emit</t>
        </is>
      </c>
      <c r="G10" s="3" t="inlineStr">
        <is>
          <t>G emit</t>
        </is>
      </c>
      <c r="H10" s="3" t="inlineStr">
        <is>
          <t>B emit</t>
        </is>
      </c>
      <c r="J10" s="3" t="inlineStr">
        <is>
          <t>t</t>
        </is>
      </c>
      <c r="K10" s="3" t="inlineStr">
        <is>
          <t>fire T</t>
        </is>
      </c>
      <c r="L10" s="3" t="inlineStr">
        <is>
          <t>R</t>
        </is>
      </c>
      <c r="M10" s="3" t="inlineStr">
        <is>
          <t>G</t>
        </is>
      </c>
      <c r="N10" s="3" t="inlineStr">
        <is>
          <t>B</t>
        </is>
      </c>
      <c r="O10" s="3" t="inlineStr">
        <is>
          <t>spark Tn</t>
        </is>
      </c>
      <c r="P10" s="3" t="inlineStr">
        <is>
          <t>bb arg</t>
        </is>
      </c>
      <c r="Q10" s="3" t="inlineStr">
        <is>
          <t>R</t>
        </is>
      </c>
      <c r="R10" s="3" t="inlineStr">
        <is>
          <t>G</t>
        </is>
      </c>
      <c r="S10" s="3" t="inlineStr">
        <is>
          <t>B</t>
        </is>
      </c>
    </row>
    <row r="11">
      <c r="A11" s="41" t="n">
        <v>0</v>
      </c>
      <c r="B11" s="20">
        <f>A11^$B$7</f>
        <v/>
      </c>
      <c r="C11" s="20">
        <f>A11^$C$7</f>
        <v/>
      </c>
      <c r="D11" s="20">
        <f>$D$7*A11^$E$7</f>
        <v/>
      </c>
      <c r="E11" s="20">
        <f>$G$7+$H$7*A11^2</f>
        <v/>
      </c>
      <c r="F11" s="20">
        <f>B11*E11</f>
        <v/>
      </c>
      <c r="G11" s="20">
        <f>C11*E11</f>
        <v/>
      </c>
      <c r="H11" s="20">
        <f>D11*E11</f>
        <v/>
      </c>
      <c r="J11" s="41" t="n">
        <v>0</v>
      </c>
      <c r="K11" s="20">
        <f>(1-J11)^$F$7</f>
        <v/>
      </c>
      <c r="L11" s="20">
        <f>K11^$B$7</f>
        <v/>
      </c>
      <c r="M11" s="20">
        <f>K11^$C$7</f>
        <v/>
      </c>
      <c r="N11" s="20">
        <f>$D$7*K11^$E$7</f>
        <v/>
      </c>
      <c r="O11" s="20">
        <f>MAX(0,MIN(1,1-J11*$I$7))</f>
        <v/>
      </c>
      <c r="P11" s="20">
        <f>0.1+0.9*O11</f>
        <v/>
      </c>
      <c r="Q11" s="20">
        <f>P11^$B$7</f>
        <v/>
      </c>
      <c r="R11" s="20">
        <f>P11^$C$7</f>
        <v/>
      </c>
      <c r="S11" s="20">
        <f>$D$7*P11^$E$7</f>
        <v/>
      </c>
    </row>
    <row r="12">
      <c r="A12" s="41" t="n">
        <v>0.1</v>
      </c>
      <c r="B12" s="20">
        <f>A12^$B$7</f>
        <v/>
      </c>
      <c r="C12" s="20">
        <f>A12^$C$7</f>
        <v/>
      </c>
      <c r="D12" s="20">
        <f>$D$7*A12^$E$7</f>
        <v/>
      </c>
      <c r="E12" s="20">
        <f>$G$7+$H$7*A12^2</f>
        <v/>
      </c>
      <c r="F12" s="20">
        <f>B12*E12</f>
        <v/>
      </c>
      <c r="G12" s="20">
        <f>C12*E12</f>
        <v/>
      </c>
      <c r="H12" s="20">
        <f>D12*E12</f>
        <v/>
      </c>
      <c r="J12" s="41" t="n">
        <v>0.1</v>
      </c>
      <c r="K12" s="20">
        <f>(1-J12)^$F$7</f>
        <v/>
      </c>
      <c r="L12" s="20">
        <f>K12^$B$7</f>
        <v/>
      </c>
      <c r="M12" s="20">
        <f>K12^$C$7</f>
        <v/>
      </c>
      <c r="N12" s="20">
        <f>$D$7*K12^$E$7</f>
        <v/>
      </c>
      <c r="O12" s="20">
        <f>MAX(0,MIN(1,1-J12*$I$7))</f>
        <v/>
      </c>
      <c r="P12" s="20">
        <f>0.1+0.9*O12</f>
        <v/>
      </c>
      <c r="Q12" s="20">
        <f>P12^$B$7</f>
        <v/>
      </c>
      <c r="R12" s="20">
        <f>P12^$C$7</f>
        <v/>
      </c>
      <c r="S12" s="20">
        <f>$D$7*P12^$E$7</f>
        <v/>
      </c>
    </row>
    <row r="13">
      <c r="A13" s="41" t="n">
        <v>0.2</v>
      </c>
      <c r="B13" s="20">
        <f>A13^$B$7</f>
        <v/>
      </c>
      <c r="C13" s="20">
        <f>A13^$C$7</f>
        <v/>
      </c>
      <c r="D13" s="20">
        <f>$D$7*A13^$E$7</f>
        <v/>
      </c>
      <c r="E13" s="20">
        <f>$G$7+$H$7*A13^2</f>
        <v/>
      </c>
      <c r="F13" s="20">
        <f>B13*E13</f>
        <v/>
      </c>
      <c r="G13" s="20">
        <f>C13*E13</f>
        <v/>
      </c>
      <c r="H13" s="20">
        <f>D13*E13</f>
        <v/>
      </c>
      <c r="J13" s="41" t="n">
        <v>0.2</v>
      </c>
      <c r="K13" s="20">
        <f>(1-J13)^$F$7</f>
        <v/>
      </c>
      <c r="L13" s="20">
        <f>K13^$B$7</f>
        <v/>
      </c>
      <c r="M13" s="20">
        <f>K13^$C$7</f>
        <v/>
      </c>
      <c r="N13" s="20">
        <f>$D$7*K13^$E$7</f>
        <v/>
      </c>
      <c r="O13" s="20">
        <f>MAX(0,MIN(1,1-J13*$I$7))</f>
        <v/>
      </c>
      <c r="P13" s="20">
        <f>0.1+0.9*O13</f>
        <v/>
      </c>
      <c r="Q13" s="20">
        <f>P13^$B$7</f>
        <v/>
      </c>
      <c r="R13" s="20">
        <f>P13^$C$7</f>
        <v/>
      </c>
      <c r="S13" s="20">
        <f>$D$7*P13^$E$7</f>
        <v/>
      </c>
    </row>
    <row r="14">
      <c r="A14" s="41" t="n">
        <v>0.3</v>
      </c>
      <c r="B14" s="20">
        <f>A14^$B$7</f>
        <v/>
      </c>
      <c r="C14" s="20">
        <f>A14^$C$7</f>
        <v/>
      </c>
      <c r="D14" s="20">
        <f>$D$7*A14^$E$7</f>
        <v/>
      </c>
      <c r="E14" s="20">
        <f>$G$7+$H$7*A14^2</f>
        <v/>
      </c>
      <c r="F14" s="20">
        <f>B14*E14</f>
        <v/>
      </c>
      <c r="G14" s="20">
        <f>C14*E14</f>
        <v/>
      </c>
      <c r="H14" s="20">
        <f>D14*E14</f>
        <v/>
      </c>
      <c r="J14" s="41" t="n">
        <v>0.3</v>
      </c>
      <c r="K14" s="20">
        <f>(1-J14)^$F$7</f>
        <v/>
      </c>
      <c r="L14" s="20">
        <f>K14^$B$7</f>
        <v/>
      </c>
      <c r="M14" s="20">
        <f>K14^$C$7</f>
        <v/>
      </c>
      <c r="N14" s="20">
        <f>$D$7*K14^$E$7</f>
        <v/>
      </c>
      <c r="O14" s="20">
        <f>MAX(0,MIN(1,1-J14*$I$7))</f>
        <v/>
      </c>
      <c r="P14" s="20">
        <f>0.1+0.9*O14</f>
        <v/>
      </c>
      <c r="Q14" s="20">
        <f>P14^$B$7</f>
        <v/>
      </c>
      <c r="R14" s="20">
        <f>P14^$C$7</f>
        <v/>
      </c>
      <c r="S14" s="20">
        <f>$D$7*P14^$E$7</f>
        <v/>
      </c>
    </row>
    <row r="15">
      <c r="A15" s="41" t="n">
        <v>0.4</v>
      </c>
      <c r="B15" s="20">
        <f>A15^$B$7</f>
        <v/>
      </c>
      <c r="C15" s="20">
        <f>A15^$C$7</f>
        <v/>
      </c>
      <c r="D15" s="20">
        <f>$D$7*A15^$E$7</f>
        <v/>
      </c>
      <c r="E15" s="20">
        <f>$G$7+$H$7*A15^2</f>
        <v/>
      </c>
      <c r="F15" s="20">
        <f>B15*E15</f>
        <v/>
      </c>
      <c r="G15" s="20">
        <f>C15*E15</f>
        <v/>
      </c>
      <c r="H15" s="20">
        <f>D15*E15</f>
        <v/>
      </c>
      <c r="J15" s="41" t="n">
        <v>0.4</v>
      </c>
      <c r="K15" s="20">
        <f>(1-J15)^$F$7</f>
        <v/>
      </c>
      <c r="L15" s="20">
        <f>K15^$B$7</f>
        <v/>
      </c>
      <c r="M15" s="20">
        <f>K15^$C$7</f>
        <v/>
      </c>
      <c r="N15" s="20">
        <f>$D$7*K15^$E$7</f>
        <v/>
      </c>
      <c r="O15" s="20">
        <f>MAX(0,MIN(1,1-J15*$I$7))</f>
        <v/>
      </c>
      <c r="P15" s="20">
        <f>0.1+0.9*O15</f>
        <v/>
      </c>
      <c r="Q15" s="20">
        <f>P15^$B$7</f>
        <v/>
      </c>
      <c r="R15" s="20">
        <f>P15^$C$7</f>
        <v/>
      </c>
      <c r="S15" s="20">
        <f>$D$7*P15^$E$7</f>
        <v/>
      </c>
    </row>
    <row r="16">
      <c r="A16" s="41" t="n">
        <v>0.5</v>
      </c>
      <c r="B16" s="20">
        <f>A16^$B$7</f>
        <v/>
      </c>
      <c r="C16" s="20">
        <f>A16^$C$7</f>
        <v/>
      </c>
      <c r="D16" s="20">
        <f>$D$7*A16^$E$7</f>
        <v/>
      </c>
      <c r="E16" s="20">
        <f>$G$7+$H$7*A16^2</f>
        <v/>
      </c>
      <c r="F16" s="20">
        <f>B16*E16</f>
        <v/>
      </c>
      <c r="G16" s="20">
        <f>C16*E16</f>
        <v/>
      </c>
      <c r="H16" s="20">
        <f>D16*E16</f>
        <v/>
      </c>
      <c r="J16" s="41" t="n">
        <v>0.5</v>
      </c>
      <c r="K16" s="20">
        <f>(1-J16)^$F$7</f>
        <v/>
      </c>
      <c r="L16" s="20">
        <f>K16^$B$7</f>
        <v/>
      </c>
      <c r="M16" s="20">
        <f>K16^$C$7</f>
        <v/>
      </c>
      <c r="N16" s="20">
        <f>$D$7*K16^$E$7</f>
        <v/>
      </c>
      <c r="O16" s="20">
        <f>MAX(0,MIN(1,1-J16*$I$7))</f>
        <v/>
      </c>
      <c r="P16" s="20">
        <f>0.1+0.9*O16</f>
        <v/>
      </c>
      <c r="Q16" s="20">
        <f>P16^$B$7</f>
        <v/>
      </c>
      <c r="R16" s="20">
        <f>P16^$C$7</f>
        <v/>
      </c>
      <c r="S16" s="20">
        <f>$D$7*P16^$E$7</f>
        <v/>
      </c>
    </row>
    <row r="17">
      <c r="A17" s="41" t="n">
        <v>0.6</v>
      </c>
      <c r="B17" s="20">
        <f>A17^$B$7</f>
        <v/>
      </c>
      <c r="C17" s="20">
        <f>A17^$C$7</f>
        <v/>
      </c>
      <c r="D17" s="20">
        <f>$D$7*A17^$E$7</f>
        <v/>
      </c>
      <c r="E17" s="20">
        <f>$G$7+$H$7*A17^2</f>
        <v/>
      </c>
      <c r="F17" s="20">
        <f>B17*E17</f>
        <v/>
      </c>
      <c r="G17" s="20">
        <f>C17*E17</f>
        <v/>
      </c>
      <c r="H17" s="20">
        <f>D17*E17</f>
        <v/>
      </c>
      <c r="J17" s="41" t="n">
        <v>0.6</v>
      </c>
      <c r="K17" s="20">
        <f>(1-J17)^$F$7</f>
        <v/>
      </c>
      <c r="L17" s="20">
        <f>K17^$B$7</f>
        <v/>
      </c>
      <c r="M17" s="20">
        <f>K17^$C$7</f>
        <v/>
      </c>
      <c r="N17" s="20">
        <f>$D$7*K17^$E$7</f>
        <v/>
      </c>
      <c r="O17" s="20">
        <f>MAX(0,MIN(1,1-J17*$I$7))</f>
        <v/>
      </c>
      <c r="P17" s="20">
        <f>0.1+0.9*O17</f>
        <v/>
      </c>
      <c r="Q17" s="20">
        <f>P17^$B$7</f>
        <v/>
      </c>
      <c r="R17" s="20">
        <f>P17^$C$7</f>
        <v/>
      </c>
      <c r="S17" s="20">
        <f>$D$7*P17^$E$7</f>
        <v/>
      </c>
    </row>
    <row r="18">
      <c r="A18" s="41" t="n">
        <v>0.7</v>
      </c>
      <c r="B18" s="20">
        <f>A18^$B$7</f>
        <v/>
      </c>
      <c r="C18" s="20">
        <f>A18^$C$7</f>
        <v/>
      </c>
      <c r="D18" s="20">
        <f>$D$7*A18^$E$7</f>
        <v/>
      </c>
      <c r="E18" s="20">
        <f>$G$7+$H$7*A18^2</f>
        <v/>
      </c>
      <c r="F18" s="20">
        <f>B18*E18</f>
        <v/>
      </c>
      <c r="G18" s="20">
        <f>C18*E18</f>
        <v/>
      </c>
      <c r="H18" s="20">
        <f>D18*E18</f>
        <v/>
      </c>
      <c r="J18" s="41" t="n">
        <v>0.7</v>
      </c>
      <c r="K18" s="20">
        <f>(1-J18)^$F$7</f>
        <v/>
      </c>
      <c r="L18" s="20">
        <f>K18^$B$7</f>
        <v/>
      </c>
      <c r="M18" s="20">
        <f>K18^$C$7</f>
        <v/>
      </c>
      <c r="N18" s="20">
        <f>$D$7*K18^$E$7</f>
        <v/>
      </c>
      <c r="O18" s="20">
        <f>MAX(0,MIN(1,1-J18*$I$7))</f>
        <v/>
      </c>
      <c r="P18" s="20">
        <f>0.1+0.9*O18</f>
        <v/>
      </c>
      <c r="Q18" s="20">
        <f>P18^$B$7</f>
        <v/>
      </c>
      <c r="R18" s="20">
        <f>P18^$C$7</f>
        <v/>
      </c>
      <c r="S18" s="20">
        <f>$D$7*P18^$E$7</f>
        <v/>
      </c>
    </row>
    <row r="19">
      <c r="A19" s="41" t="n">
        <v>0.8</v>
      </c>
      <c r="B19" s="20">
        <f>A19^$B$7</f>
        <v/>
      </c>
      <c r="C19" s="20">
        <f>A19^$C$7</f>
        <v/>
      </c>
      <c r="D19" s="20">
        <f>$D$7*A19^$E$7</f>
        <v/>
      </c>
      <c r="E19" s="20">
        <f>$G$7+$H$7*A19^2</f>
        <v/>
      </c>
      <c r="F19" s="20">
        <f>B19*E19</f>
        <v/>
      </c>
      <c r="G19" s="20">
        <f>C19*E19</f>
        <v/>
      </c>
      <c r="H19" s="20">
        <f>D19*E19</f>
        <v/>
      </c>
      <c r="J19" s="41" t="n">
        <v>0.8</v>
      </c>
      <c r="K19" s="20">
        <f>(1-J19)^$F$7</f>
        <v/>
      </c>
      <c r="L19" s="20">
        <f>K19^$B$7</f>
        <v/>
      </c>
      <c r="M19" s="20">
        <f>K19^$C$7</f>
        <v/>
      </c>
      <c r="N19" s="20">
        <f>$D$7*K19^$E$7</f>
        <v/>
      </c>
      <c r="O19" s="20">
        <f>MAX(0,MIN(1,1-J19*$I$7))</f>
        <v/>
      </c>
      <c r="P19" s="20">
        <f>0.1+0.9*O19</f>
        <v/>
      </c>
      <c r="Q19" s="20">
        <f>P19^$B$7</f>
        <v/>
      </c>
      <c r="R19" s="20">
        <f>P19^$C$7</f>
        <v/>
      </c>
      <c r="S19" s="20">
        <f>$D$7*P19^$E$7</f>
        <v/>
      </c>
    </row>
    <row r="20">
      <c r="A20" s="41" t="n">
        <v>0.9</v>
      </c>
      <c r="B20" s="20">
        <f>A20^$B$7</f>
        <v/>
      </c>
      <c r="C20" s="20">
        <f>A20^$C$7</f>
        <v/>
      </c>
      <c r="D20" s="20">
        <f>$D$7*A20^$E$7</f>
        <v/>
      </c>
      <c r="E20" s="20">
        <f>$G$7+$H$7*A20^2</f>
        <v/>
      </c>
      <c r="F20" s="20">
        <f>B20*E20</f>
        <v/>
      </c>
      <c r="G20" s="20">
        <f>C20*E20</f>
        <v/>
      </c>
      <c r="H20" s="20">
        <f>D20*E20</f>
        <v/>
      </c>
      <c r="J20" s="41" t="n">
        <v>0.9</v>
      </c>
      <c r="K20" s="20">
        <f>(1-J20)^$F$7</f>
        <v/>
      </c>
      <c r="L20" s="20">
        <f>K20^$B$7</f>
        <v/>
      </c>
      <c r="M20" s="20">
        <f>K20^$C$7</f>
        <v/>
      </c>
      <c r="N20" s="20">
        <f>$D$7*K20^$E$7</f>
        <v/>
      </c>
      <c r="O20" s="20">
        <f>MAX(0,MIN(1,1-J20*$I$7))</f>
        <v/>
      </c>
      <c r="P20" s="20">
        <f>0.1+0.9*O20</f>
        <v/>
      </c>
      <c r="Q20" s="20">
        <f>P20^$B$7</f>
        <v/>
      </c>
      <c r="R20" s="20">
        <f>P20^$C$7</f>
        <v/>
      </c>
      <c r="S20" s="20">
        <f>$D$7*P20^$E$7</f>
        <v/>
      </c>
    </row>
    <row r="21">
      <c r="A21" s="41" t="n">
        <v>1</v>
      </c>
      <c r="B21" s="20">
        <f>A21^$B$7</f>
        <v/>
      </c>
      <c r="C21" s="20">
        <f>A21^$C$7</f>
        <v/>
      </c>
      <c r="D21" s="20">
        <f>$D$7*A21^$E$7</f>
        <v/>
      </c>
      <c r="E21" s="20">
        <f>$G$7+$H$7*A21^2</f>
        <v/>
      </c>
      <c r="F21" s="20">
        <f>B21*E21</f>
        <v/>
      </c>
      <c r="G21" s="20">
        <f>C21*E21</f>
        <v/>
      </c>
      <c r="H21" s="20">
        <f>D21*E21</f>
        <v/>
      </c>
      <c r="J21" s="41" t="n">
        <v>1</v>
      </c>
      <c r="K21" s="20">
        <f>(1-J21)^$F$7</f>
        <v/>
      </c>
      <c r="L21" s="20">
        <f>K21^$B$7</f>
        <v/>
      </c>
      <c r="M21" s="20">
        <f>K21^$C$7</f>
        <v/>
      </c>
      <c r="N21" s="20">
        <f>$D$7*K21^$E$7</f>
        <v/>
      </c>
      <c r="O21" s="20">
        <f>MAX(0,MIN(1,1-J21*$I$7))</f>
        <v/>
      </c>
      <c r="P21" s="20">
        <f>0.1+0.9*O21</f>
        <v/>
      </c>
      <c r="Q21" s="20">
        <f>P21^$B$7</f>
        <v/>
      </c>
      <c r="R21" s="20">
        <f>P21^$C$7</f>
        <v/>
      </c>
      <c r="S21" s="20">
        <f>$D$7*P21^$E$7</f>
        <v/>
      </c>
    </row>
    <row r="24">
      <c r="A24" s="10" t="inlineStr">
        <is>
          <t>C. One spark, step by step: v_y -= g dt; v *= exp(-k dt); p += v dt; below ground: v_y = -e v_y, v_x *= f</t>
        </is>
      </c>
      <c r="J24" s="10" t="inlineStr">
        <is>
          <t>D. Debris bounces (restitution e, no drag): apex = v^2 / 2g, flight = 2v / g</t>
        </is>
      </c>
    </row>
    <row r="25">
      <c r="B25" s="3" t="inlineStr">
        <is>
          <t>g</t>
        </is>
      </c>
      <c r="C25" s="3" t="inlineStr">
        <is>
          <t>drag k</t>
        </is>
      </c>
      <c r="D25" s="3" t="inlineStr">
        <is>
          <t>bounce e</t>
        </is>
      </c>
      <c r="E25" s="3" t="inlineStr">
        <is>
          <t>keep f</t>
        </is>
      </c>
      <c r="F25" s="3" t="inlineStr">
        <is>
          <t>dt (s)</t>
        </is>
      </c>
      <c r="G25" s="3" t="inlineStr">
        <is>
          <t>v_x0</t>
        </is>
      </c>
      <c r="H25" s="3" t="inlineStr">
        <is>
          <t>v_y0</t>
        </is>
      </c>
      <c r="I25" s="3" t="inlineStr">
        <is>
          <t>y0</t>
        </is>
      </c>
      <c r="J25" s="3" t="inlineStr">
        <is>
          <t>e</t>
        </is>
      </c>
      <c r="K25" s="3" t="inlineStr">
        <is>
          <t>v0 (m/s)</t>
        </is>
      </c>
      <c r="L25" s="3" t="inlineStr">
        <is>
          <t>rest below</t>
        </is>
      </c>
      <c r="M25" s="3" t="inlineStr">
        <is>
          <t>g</t>
        </is>
      </c>
    </row>
    <row r="26">
      <c r="A26" s="4" t="inlineStr">
        <is>
          <t>inputs</t>
        </is>
      </c>
      <c r="B26" s="46" t="n">
        <v>9.81</v>
      </c>
      <c r="C26" s="46" t="n">
        <v>0.4</v>
      </c>
      <c r="D26" s="46" t="n">
        <v>0.25</v>
      </c>
      <c r="E26" s="46" t="n">
        <v>0.6</v>
      </c>
      <c r="F26" s="46" t="n">
        <v>0.05</v>
      </c>
      <c r="G26" s="46" t="n">
        <v>11</v>
      </c>
      <c r="H26" s="46" t="n">
        <v>6</v>
      </c>
      <c r="I26" s="46" t="n">
        <v>1</v>
      </c>
      <c r="J26" s="46" t="n">
        <v>0.3</v>
      </c>
      <c r="K26" s="46" t="n">
        <v>5</v>
      </c>
      <c r="L26" s="46" t="n">
        <v>0.25</v>
      </c>
      <c r="M26" s="46" t="n">
        <v>9.81</v>
      </c>
    </row>
    <row r="27" ht="18" customHeight="1">
      <c r="A27" s="3" t="inlineStr">
        <is>
          <t>step</t>
        </is>
      </c>
      <c r="B27" s="3" t="inlineStr">
        <is>
          <t>t (s)</t>
        </is>
      </c>
      <c r="C27" s="3" t="inlineStr">
        <is>
          <t>x</t>
        </is>
      </c>
      <c r="D27" s="3" t="inlineStr">
        <is>
          <t>y</t>
        </is>
      </c>
      <c r="E27" s="3" t="inlineStr">
        <is>
          <t>v_x</t>
        </is>
      </c>
      <c r="F27" s="3" t="inlineStr">
        <is>
          <t>v_y</t>
        </is>
      </c>
      <c r="J27" s="3" t="inlineStr">
        <is>
          <t>bounce n</t>
        </is>
      </c>
      <c r="K27" s="3" t="inlineStr">
        <is>
          <t>v_n (m/s)</t>
        </is>
      </c>
      <c r="L27" s="3" t="inlineStr">
        <is>
          <t>apex (m)</t>
        </is>
      </c>
      <c r="M27" s="3" t="inlineStr">
        <is>
          <t>flight (s)</t>
        </is>
      </c>
      <c r="N27" s="3" t="inlineStr">
        <is>
          <t>moving?</t>
        </is>
      </c>
    </row>
    <row r="28">
      <c r="A28" s="7" t="n">
        <v>0</v>
      </c>
      <c r="B28" s="20" t="n">
        <v>0</v>
      </c>
      <c r="C28" s="20" t="n">
        <v>0</v>
      </c>
      <c r="D28" s="20">
        <f>$I$26</f>
        <v/>
      </c>
      <c r="E28" s="20">
        <f>$G$26</f>
        <v/>
      </c>
      <c r="F28" s="20">
        <f>$H$26</f>
        <v/>
      </c>
      <c r="J28" s="7" t="n">
        <v>0</v>
      </c>
      <c r="K28" s="20">
        <f>$K$26*$J$26^J28</f>
        <v/>
      </c>
      <c r="L28" s="20">
        <f>K28^2/(2*$M$26)</f>
        <v/>
      </c>
      <c r="M28" s="20">
        <f>2*K28/$M$26</f>
        <v/>
      </c>
      <c r="N28" s="15">
        <f>IF(K28&gt;=$L$26,"yes","rest")</f>
        <v/>
      </c>
    </row>
    <row r="29">
      <c r="A29" s="7" t="n">
        <v>1</v>
      </c>
      <c r="B29" s="20">
        <f>B28+$F$26</f>
        <v/>
      </c>
      <c r="C29" s="20">
        <f>C28+E28*EXP(-$C$26*$F$26)*$F$26</f>
        <v/>
      </c>
      <c r="D29" s="20">
        <f>MAX(0.02,(D28+(F28-$B$26*$F$26)*EXP(-$C$26*$F$26)*$F$26))</f>
        <v/>
      </c>
      <c r="E29" s="20">
        <f>IF((D28+(F28-$B$26*$F$26)*EXP(-$C$26*$F$26)*$F$26)&lt;0.02,E28*EXP(-$C$26*$F$26)*$E$26,E28*EXP(-$C$26*$F$26))</f>
        <v/>
      </c>
      <c r="F29" s="20">
        <f>IF((D28+(F28-$B$26*$F$26)*EXP(-$C$26*$F$26)*$F$26)&lt;0.02,-(F28-$B$26*$F$26)*EXP(-$C$26*$F$26)*$D$26,(F28-$B$26*$F$26)*EXP(-$C$26*$F$26))</f>
        <v/>
      </c>
      <c r="J29" s="7" t="n">
        <v>1</v>
      </c>
      <c r="K29" s="20">
        <f>$K$26*$J$26^J29</f>
        <v/>
      </c>
      <c r="L29" s="20">
        <f>K29^2/(2*$M$26)</f>
        <v/>
      </c>
      <c r="M29" s="20">
        <f>2*K29/$M$26</f>
        <v/>
      </c>
      <c r="N29" s="15">
        <f>IF(K29&gt;=$L$26,"yes","rest")</f>
        <v/>
      </c>
    </row>
    <row r="30">
      <c r="A30" s="7" t="n">
        <v>2</v>
      </c>
      <c r="B30" s="20">
        <f>B29+$F$26</f>
        <v/>
      </c>
      <c r="C30" s="20">
        <f>C29+E29*EXP(-$C$26*$F$26)*$F$26</f>
        <v/>
      </c>
      <c r="D30" s="20">
        <f>MAX(0.02,(D29+(F29-$B$26*$F$26)*EXP(-$C$26*$F$26)*$F$26))</f>
        <v/>
      </c>
      <c r="E30" s="20">
        <f>IF((D29+(F29-$B$26*$F$26)*EXP(-$C$26*$F$26)*$F$26)&lt;0.02,E29*EXP(-$C$26*$F$26)*$E$26,E29*EXP(-$C$26*$F$26))</f>
        <v/>
      </c>
      <c r="F30" s="20">
        <f>IF((D29+(F29-$B$26*$F$26)*EXP(-$C$26*$F$26)*$F$26)&lt;0.02,-(F29-$B$26*$F$26)*EXP(-$C$26*$F$26)*$D$26,(F29-$B$26*$F$26)*EXP(-$C$26*$F$26))</f>
        <v/>
      </c>
      <c r="J30" s="7" t="n">
        <v>2</v>
      </c>
      <c r="K30" s="20">
        <f>$K$26*$J$26^J30</f>
        <v/>
      </c>
      <c r="L30" s="20">
        <f>K30^2/(2*$M$26)</f>
        <v/>
      </c>
      <c r="M30" s="20">
        <f>2*K30/$M$26</f>
        <v/>
      </c>
      <c r="N30" s="15">
        <f>IF(K30&gt;=$L$26,"yes","rest")</f>
        <v/>
      </c>
    </row>
    <row r="31">
      <c r="A31" s="7" t="n">
        <v>3</v>
      </c>
      <c r="B31" s="20">
        <f>B30+$F$26</f>
        <v/>
      </c>
      <c r="C31" s="20">
        <f>C30+E30*EXP(-$C$26*$F$26)*$F$26</f>
        <v/>
      </c>
      <c r="D31" s="20">
        <f>MAX(0.02,(D30+(F30-$B$26*$F$26)*EXP(-$C$26*$F$26)*$F$26))</f>
        <v/>
      </c>
      <c r="E31" s="20">
        <f>IF((D30+(F30-$B$26*$F$26)*EXP(-$C$26*$F$26)*$F$26)&lt;0.02,E30*EXP(-$C$26*$F$26)*$E$26,E30*EXP(-$C$26*$F$26))</f>
        <v/>
      </c>
      <c r="F31" s="20">
        <f>IF((D30+(F30-$B$26*$F$26)*EXP(-$C$26*$F$26)*$F$26)&lt;0.02,-(F30-$B$26*$F$26)*EXP(-$C$26*$F$26)*$D$26,(F30-$B$26*$F$26)*EXP(-$C$26*$F$26))</f>
        <v/>
      </c>
      <c r="J31" s="7" t="n">
        <v>3</v>
      </c>
      <c r="K31" s="20">
        <f>$K$26*$J$26^J31</f>
        <v/>
      </c>
      <c r="L31" s="20">
        <f>K31^2/(2*$M$26)</f>
        <v/>
      </c>
      <c r="M31" s="20">
        <f>2*K31/$M$26</f>
        <v/>
      </c>
      <c r="N31" s="15">
        <f>IF(K31&gt;=$L$26,"yes","rest")</f>
        <v/>
      </c>
    </row>
    <row r="32">
      <c r="A32" s="7" t="n">
        <v>4</v>
      </c>
      <c r="B32" s="20">
        <f>B31+$F$26</f>
        <v/>
      </c>
      <c r="C32" s="20">
        <f>C31+E31*EXP(-$C$26*$F$26)*$F$26</f>
        <v/>
      </c>
      <c r="D32" s="20">
        <f>MAX(0.02,(D31+(F31-$B$26*$F$26)*EXP(-$C$26*$F$26)*$F$26))</f>
        <v/>
      </c>
      <c r="E32" s="20">
        <f>IF((D31+(F31-$B$26*$F$26)*EXP(-$C$26*$F$26)*$F$26)&lt;0.02,E31*EXP(-$C$26*$F$26)*$E$26,E31*EXP(-$C$26*$F$26))</f>
        <v/>
      </c>
      <c r="F32" s="20">
        <f>IF((D31+(F31-$B$26*$F$26)*EXP(-$C$26*$F$26)*$F$26)&lt;0.02,-(F31-$B$26*$F$26)*EXP(-$C$26*$F$26)*$D$26,(F31-$B$26*$F$26)*EXP(-$C$26*$F$26))</f>
        <v/>
      </c>
      <c r="J32" s="7" t="n">
        <v>4</v>
      </c>
      <c r="K32" s="20">
        <f>$K$26*$J$26^J32</f>
        <v/>
      </c>
      <c r="L32" s="20">
        <f>K32^2/(2*$M$26)</f>
        <v/>
      </c>
      <c r="M32" s="20">
        <f>2*K32/$M$26</f>
        <v/>
      </c>
      <c r="N32" s="15">
        <f>IF(K32&gt;=$L$26,"yes","rest")</f>
        <v/>
      </c>
    </row>
    <row r="33">
      <c r="A33" s="7" t="n">
        <v>5</v>
      </c>
      <c r="B33" s="20">
        <f>B32+$F$26</f>
        <v/>
      </c>
      <c r="C33" s="20">
        <f>C32+E32*EXP(-$C$26*$F$26)*$F$26</f>
        <v/>
      </c>
      <c r="D33" s="20">
        <f>MAX(0.02,(D32+(F32-$B$26*$F$26)*EXP(-$C$26*$F$26)*$F$26))</f>
        <v/>
      </c>
      <c r="E33" s="20">
        <f>IF((D32+(F32-$B$26*$F$26)*EXP(-$C$26*$F$26)*$F$26)&lt;0.02,E32*EXP(-$C$26*$F$26)*$E$26,E32*EXP(-$C$26*$F$26))</f>
        <v/>
      </c>
      <c r="F33" s="20">
        <f>IF((D32+(F32-$B$26*$F$26)*EXP(-$C$26*$F$26)*$F$26)&lt;0.02,-(F32-$B$26*$F$26)*EXP(-$C$26*$F$26)*$D$26,(F32-$B$26*$F$26)*EXP(-$C$26*$F$26))</f>
        <v/>
      </c>
      <c r="J33" s="7" t="n">
        <v>5</v>
      </c>
      <c r="K33" s="20">
        <f>$K$26*$J$26^J33</f>
        <v/>
      </c>
      <c r="L33" s="20">
        <f>K33^2/(2*$M$26)</f>
        <v/>
      </c>
      <c r="M33" s="20">
        <f>2*K33/$M$26</f>
        <v/>
      </c>
      <c r="N33" s="15">
        <f>IF(K33&gt;=$L$26,"yes","rest")</f>
        <v/>
      </c>
    </row>
    <row r="34">
      <c r="A34" s="7" t="n">
        <v>6</v>
      </c>
      <c r="B34" s="20">
        <f>B33+$F$26</f>
        <v/>
      </c>
      <c r="C34" s="20">
        <f>C33+E33*EXP(-$C$26*$F$26)*$F$26</f>
        <v/>
      </c>
      <c r="D34" s="20">
        <f>MAX(0.02,(D33+(F33-$B$26*$F$26)*EXP(-$C$26*$F$26)*$F$26))</f>
        <v/>
      </c>
      <c r="E34" s="20">
        <f>IF((D33+(F33-$B$26*$F$26)*EXP(-$C$26*$F$26)*$F$26)&lt;0.02,E33*EXP(-$C$26*$F$26)*$E$26,E33*EXP(-$C$26*$F$26))</f>
        <v/>
      </c>
      <c r="F34" s="20">
        <f>IF((D33+(F33-$B$26*$F$26)*EXP(-$C$26*$F$26)*$F$26)&lt;0.02,-(F33-$B$26*$F$26)*EXP(-$C$26*$F$26)*$D$26,(F33-$B$26*$F$26)*EXP(-$C$26*$F$26))</f>
        <v/>
      </c>
    </row>
    <row r="35">
      <c r="A35" s="7" t="n">
        <v>7</v>
      </c>
      <c r="B35" s="20">
        <f>B34+$F$26</f>
        <v/>
      </c>
      <c r="C35" s="20">
        <f>C34+E34*EXP(-$C$26*$F$26)*$F$26</f>
        <v/>
      </c>
      <c r="D35" s="20">
        <f>MAX(0.02,(D34+(F34-$B$26*$F$26)*EXP(-$C$26*$F$26)*$F$26))</f>
        <v/>
      </c>
      <c r="E35" s="20">
        <f>IF((D34+(F34-$B$26*$F$26)*EXP(-$C$26*$F$26)*$F$26)&lt;0.02,E34*EXP(-$C$26*$F$26)*$E$26,E34*EXP(-$C$26*$F$26))</f>
        <v/>
      </c>
      <c r="F35" s="20">
        <f>IF((D34+(F34-$B$26*$F$26)*EXP(-$C$26*$F$26)*$F$26)&lt;0.02,-(F34-$B$26*$F$26)*EXP(-$C$26*$F$26)*$D$26,(F34-$B$26*$F$26)*EXP(-$C$26*$F$26))</f>
        <v/>
      </c>
      <c r="J35" s="4" t="inlineStr">
        <is>
          <t>total time</t>
        </is>
      </c>
      <c r="M35" s="20">
        <f>SUMIF(N28:N33,"yes",M28:M33)</f>
        <v/>
      </c>
    </row>
    <row r="36">
      <c r="A36" s="7" t="n">
        <v>8</v>
      </c>
      <c r="B36" s="20">
        <f>B35+$F$26</f>
        <v/>
      </c>
      <c r="C36" s="20">
        <f>C35+E35*EXP(-$C$26*$F$26)*$F$26</f>
        <v/>
      </c>
      <c r="D36" s="20">
        <f>MAX(0.02,(D35+(F35-$B$26*$F$26)*EXP(-$C$26*$F$26)*$F$26))</f>
        <v/>
      </c>
      <c r="E36" s="20">
        <f>IF((D35+(F35-$B$26*$F$26)*EXP(-$C$26*$F$26)*$F$26)&lt;0.02,E35*EXP(-$C$26*$F$26)*$E$26,E35*EXP(-$C$26*$F$26))</f>
        <v/>
      </c>
      <c r="F36" s="20">
        <f>IF((D35+(F35-$B$26*$F$26)*EXP(-$C$26*$F$26)*$F$26)&lt;0.02,-(F35-$B$26*$F$26)*EXP(-$C$26*$F$26)*$D$26,(F35-$B$26*$F$26)*EXP(-$C$26*$F$26))</f>
        <v/>
      </c>
    </row>
    <row r="37">
      <c r="A37" s="7" t="n">
        <v>9</v>
      </c>
      <c r="B37" s="20">
        <f>B36+$F$26</f>
        <v/>
      </c>
      <c r="C37" s="20">
        <f>C36+E36*EXP(-$C$26*$F$26)*$F$26</f>
        <v/>
      </c>
      <c r="D37" s="20">
        <f>MAX(0.02,(D36+(F36-$B$26*$F$26)*EXP(-$C$26*$F$26)*$F$26))</f>
        <v/>
      </c>
      <c r="E37" s="20">
        <f>IF((D36+(F36-$B$26*$F$26)*EXP(-$C$26*$F$26)*$F$26)&lt;0.02,E36*EXP(-$C$26*$F$26)*$E$26,E36*EXP(-$C$26*$F$26))</f>
        <v/>
      </c>
      <c r="F37" s="20">
        <f>IF((D36+(F36-$B$26*$F$26)*EXP(-$C$26*$F$26)*$F$26)&lt;0.02,-(F36-$B$26*$F$26)*EXP(-$C$26*$F$26)*$D$26,(F36-$B$26*$F$26)*EXP(-$C$26*$F$26))</f>
        <v/>
      </c>
    </row>
    <row r="38">
      <c r="A38" s="7" t="n">
        <v>10</v>
      </c>
      <c r="B38" s="20">
        <f>B37+$F$26</f>
        <v/>
      </c>
      <c r="C38" s="20">
        <f>C37+E37*EXP(-$C$26*$F$26)*$F$26</f>
        <v/>
      </c>
      <c r="D38" s="20">
        <f>MAX(0.02,(D37+(F37-$B$26*$F$26)*EXP(-$C$26*$F$26)*$F$26))</f>
        <v/>
      </c>
      <c r="E38" s="20">
        <f>IF((D37+(F37-$B$26*$F$26)*EXP(-$C$26*$F$26)*$F$26)&lt;0.02,E37*EXP(-$C$26*$F$26)*$E$26,E37*EXP(-$C$26*$F$26))</f>
        <v/>
      </c>
      <c r="F38" s="20">
        <f>IF((D37+(F37-$B$26*$F$26)*EXP(-$C$26*$F$26)*$F$26)&lt;0.02,-(F37-$B$26*$F$26)*EXP(-$C$26*$F$26)*$D$26,(F37-$B$26*$F$26)*EXP(-$C$26*$F$26))</f>
        <v/>
      </c>
    </row>
    <row r="39">
      <c r="A39" s="7" t="n">
        <v>11</v>
      </c>
      <c r="B39" s="20">
        <f>B38+$F$26</f>
        <v/>
      </c>
      <c r="C39" s="20">
        <f>C38+E38*EXP(-$C$26*$F$26)*$F$26</f>
        <v/>
      </c>
      <c r="D39" s="20">
        <f>MAX(0.02,(D38+(F38-$B$26*$F$26)*EXP(-$C$26*$F$26)*$F$26))</f>
        <v/>
      </c>
      <c r="E39" s="20">
        <f>IF((D38+(F38-$B$26*$F$26)*EXP(-$C$26*$F$26)*$F$26)&lt;0.02,E38*EXP(-$C$26*$F$26)*$E$26,E38*EXP(-$C$26*$F$26))</f>
        <v/>
      </c>
      <c r="F39" s="20">
        <f>IF((D38+(F38-$B$26*$F$26)*EXP(-$C$26*$F$26)*$F$26)&lt;0.02,-(F38-$B$26*$F$26)*EXP(-$C$26*$F$26)*$D$26,(F38-$B$26*$F$26)*EXP(-$C$26*$F$26))</f>
        <v/>
      </c>
    </row>
    <row r="40">
      <c r="A40" s="7" t="n">
        <v>12</v>
      </c>
      <c r="B40" s="20">
        <f>B39+$F$26</f>
        <v/>
      </c>
      <c r="C40" s="20">
        <f>C39+E39*EXP(-$C$26*$F$26)*$F$26</f>
        <v/>
      </c>
      <c r="D40" s="20">
        <f>MAX(0.02,(D39+(F39-$B$26*$F$26)*EXP(-$C$26*$F$26)*$F$26))</f>
        <v/>
      </c>
      <c r="E40" s="20">
        <f>IF((D39+(F39-$B$26*$F$26)*EXP(-$C$26*$F$26)*$F$26)&lt;0.02,E39*EXP(-$C$26*$F$26)*$E$26,E39*EXP(-$C$26*$F$26))</f>
        <v/>
      </c>
      <c r="F40" s="20">
        <f>IF((D39+(F39-$B$26*$F$26)*EXP(-$C$26*$F$26)*$F$26)&lt;0.02,-(F39-$B$26*$F$26)*EXP(-$C$26*$F$26)*$D$26,(F39-$B$26*$F$26)*EXP(-$C$26*$F$26))</f>
        <v/>
      </c>
    </row>
    <row r="41">
      <c r="A41" s="7" t="n">
        <v>13</v>
      </c>
      <c r="B41" s="20">
        <f>B40+$F$26</f>
        <v/>
      </c>
      <c r="C41" s="20">
        <f>C40+E40*EXP(-$C$26*$F$26)*$F$26</f>
        <v/>
      </c>
      <c r="D41" s="20">
        <f>MAX(0.02,(D40+(F40-$B$26*$F$26)*EXP(-$C$26*$F$26)*$F$26))</f>
        <v/>
      </c>
      <c r="E41" s="20">
        <f>IF((D40+(F40-$B$26*$F$26)*EXP(-$C$26*$F$26)*$F$26)&lt;0.02,E40*EXP(-$C$26*$F$26)*$E$26,E40*EXP(-$C$26*$F$26))</f>
        <v/>
      </c>
      <c r="F41" s="20">
        <f>IF((D40+(F40-$B$26*$F$26)*EXP(-$C$26*$F$26)*$F$26)&lt;0.02,-(F40-$B$26*$F$26)*EXP(-$C$26*$F$26)*$D$26,(F40-$B$26*$F$26)*EXP(-$C$26*$F$26))</f>
        <v/>
      </c>
    </row>
    <row r="42">
      <c r="A42" s="7" t="n">
        <v>14</v>
      </c>
      <c r="B42" s="20">
        <f>B41+$F$26</f>
        <v/>
      </c>
      <c r="C42" s="20">
        <f>C41+E41*EXP(-$C$26*$F$26)*$F$26</f>
        <v/>
      </c>
      <c r="D42" s="20">
        <f>MAX(0.02,(D41+(F41-$B$26*$F$26)*EXP(-$C$26*$F$26)*$F$26))</f>
        <v/>
      </c>
      <c r="E42" s="20">
        <f>IF((D41+(F41-$B$26*$F$26)*EXP(-$C$26*$F$26)*$F$26)&lt;0.02,E41*EXP(-$C$26*$F$26)*$E$26,E41*EXP(-$C$26*$F$26))</f>
        <v/>
      </c>
      <c r="F42" s="20">
        <f>IF((D41+(F41-$B$26*$F$26)*EXP(-$C$26*$F$26)*$F$26)&lt;0.02,-(F41-$B$26*$F$26)*EXP(-$C$26*$F$26)*$D$26,(F41-$B$26*$F$26)*EXP(-$C$26*$F$26))</f>
        <v/>
      </c>
    </row>
    <row r="43">
      <c r="A43" s="7" t="n">
        <v>15</v>
      </c>
      <c r="B43" s="20">
        <f>B42+$F$26</f>
        <v/>
      </c>
      <c r="C43" s="20">
        <f>C42+E42*EXP(-$C$26*$F$26)*$F$26</f>
        <v/>
      </c>
      <c r="D43" s="20">
        <f>MAX(0.02,(D42+(F42-$B$26*$F$26)*EXP(-$C$26*$F$26)*$F$26))</f>
        <v/>
      </c>
      <c r="E43" s="20">
        <f>IF((D42+(F42-$B$26*$F$26)*EXP(-$C$26*$F$26)*$F$26)&lt;0.02,E42*EXP(-$C$26*$F$26)*$E$26,E42*EXP(-$C$26*$F$26))</f>
        <v/>
      </c>
      <c r="F43" s="20">
        <f>IF((D42+(F42-$B$26*$F$26)*EXP(-$C$26*$F$26)*$F$26)&lt;0.02,-(F42-$B$26*$F$26)*EXP(-$C$26*$F$26)*$D$26,(F42-$B$26*$F$26)*EXP(-$C$26*$F$26))</f>
        <v/>
      </c>
    </row>
    <row r="44">
      <c r="A44" s="7" t="n">
        <v>16</v>
      </c>
      <c r="B44" s="20">
        <f>B43+$F$26</f>
        <v/>
      </c>
      <c r="C44" s="20">
        <f>C43+E43*EXP(-$C$26*$F$26)*$F$26</f>
        <v/>
      </c>
      <c r="D44" s="20">
        <f>MAX(0.02,(D43+(F43-$B$26*$F$26)*EXP(-$C$26*$F$26)*$F$26))</f>
        <v/>
      </c>
      <c r="E44" s="20">
        <f>IF((D43+(F43-$B$26*$F$26)*EXP(-$C$26*$F$26)*$F$26)&lt;0.02,E43*EXP(-$C$26*$F$26)*$E$26,E43*EXP(-$C$26*$F$26))</f>
        <v/>
      </c>
      <c r="F44" s="20">
        <f>IF((D43+(F43-$B$26*$F$26)*EXP(-$C$26*$F$26)*$F$26)&lt;0.02,-(F43-$B$26*$F$26)*EXP(-$C$26*$F$26)*$D$26,(F43-$B$26*$F$26)*EXP(-$C$26*$F$26))</f>
        <v/>
      </c>
    </row>
    <row r="45">
      <c r="A45" s="7" t="n">
        <v>17</v>
      </c>
      <c r="B45" s="20">
        <f>B44+$F$26</f>
        <v/>
      </c>
      <c r="C45" s="20">
        <f>C44+E44*EXP(-$C$26*$F$26)*$F$26</f>
        <v/>
      </c>
      <c r="D45" s="20">
        <f>MAX(0.02,(D44+(F44-$B$26*$F$26)*EXP(-$C$26*$F$26)*$F$26))</f>
        <v/>
      </c>
      <c r="E45" s="20">
        <f>IF((D44+(F44-$B$26*$F$26)*EXP(-$C$26*$F$26)*$F$26)&lt;0.02,E44*EXP(-$C$26*$F$26)*$E$26,E44*EXP(-$C$26*$F$26))</f>
        <v/>
      </c>
      <c r="F45" s="20">
        <f>IF((D44+(F44-$B$26*$F$26)*EXP(-$C$26*$F$26)*$F$26)&lt;0.02,-(F44-$B$26*$F$26)*EXP(-$C$26*$F$26)*$D$26,(F44-$B$26*$F$26)*EXP(-$C$26*$F$26))</f>
        <v/>
      </c>
    </row>
    <row r="46">
      <c r="A46" s="7" t="n">
        <v>18</v>
      </c>
      <c r="B46" s="20">
        <f>B45+$F$26</f>
        <v/>
      </c>
      <c r="C46" s="20">
        <f>C45+E45*EXP(-$C$26*$F$26)*$F$26</f>
        <v/>
      </c>
      <c r="D46" s="20">
        <f>MAX(0.02,(D45+(F45-$B$26*$F$26)*EXP(-$C$26*$F$26)*$F$26))</f>
        <v/>
      </c>
      <c r="E46" s="20">
        <f>IF((D45+(F45-$B$26*$F$26)*EXP(-$C$26*$F$26)*$F$26)&lt;0.02,E45*EXP(-$C$26*$F$26)*$E$26,E45*EXP(-$C$26*$F$26))</f>
        <v/>
      </c>
      <c r="F46" s="20">
        <f>IF((D45+(F45-$B$26*$F$26)*EXP(-$C$26*$F$26)*$F$26)&lt;0.02,-(F45-$B$26*$F$26)*EXP(-$C$26*$F$26)*$D$26,(F45-$B$26*$F$26)*EXP(-$C$26*$F$26))</f>
        <v/>
      </c>
    </row>
    <row r="47">
      <c r="A47" s="7" t="n">
        <v>19</v>
      </c>
      <c r="B47" s="20">
        <f>B46+$F$26</f>
        <v/>
      </c>
      <c r="C47" s="20">
        <f>C46+E46*EXP(-$C$26*$F$26)*$F$26</f>
        <v/>
      </c>
      <c r="D47" s="20">
        <f>MAX(0.02,(D46+(F46-$B$26*$F$26)*EXP(-$C$26*$F$26)*$F$26))</f>
        <v/>
      </c>
      <c r="E47" s="20">
        <f>IF((D46+(F46-$B$26*$F$26)*EXP(-$C$26*$F$26)*$F$26)&lt;0.02,E46*EXP(-$C$26*$F$26)*$E$26,E46*EXP(-$C$26*$F$26))</f>
        <v/>
      </c>
      <c r="F47" s="20">
        <f>IF((D46+(F46-$B$26*$F$26)*EXP(-$C$26*$F$26)*$F$26)&lt;0.02,-(F46-$B$26*$F$26)*EXP(-$C$26*$F$26)*$D$26,(F46-$B$26*$F$26)*EXP(-$C$26*$F$26))</f>
        <v/>
      </c>
    </row>
    <row r="48">
      <c r="A48" s="7" t="n">
        <v>20</v>
      </c>
      <c r="B48" s="20">
        <f>B47+$F$26</f>
        <v/>
      </c>
      <c r="C48" s="20">
        <f>C47+E47*EXP(-$C$26*$F$26)*$F$26</f>
        <v/>
      </c>
      <c r="D48" s="20">
        <f>MAX(0.02,(D47+(F47-$B$26*$F$26)*EXP(-$C$26*$F$26)*$F$26))</f>
        <v/>
      </c>
      <c r="E48" s="20">
        <f>IF((D47+(F47-$B$26*$F$26)*EXP(-$C$26*$F$26)*$F$26)&lt;0.02,E47*EXP(-$C$26*$F$26)*$E$26,E47*EXP(-$C$26*$F$26))</f>
        <v/>
      </c>
      <c r="F48" s="20">
        <f>IF((D47+(F47-$B$26*$F$26)*EXP(-$C$26*$F$26)*$F$26)&lt;0.02,-(F47-$B$26*$F$26)*EXP(-$C$26*$F$26)*$D$26,(F47-$B$26*$F$26)*EXP(-$C$26*$F$26))</f>
        <v/>
      </c>
    </row>
    <row r="49">
      <c r="A49" s="7" t="n">
        <v>21</v>
      </c>
      <c r="B49" s="20">
        <f>B48+$F$26</f>
        <v/>
      </c>
      <c r="C49" s="20">
        <f>C48+E48*EXP(-$C$26*$F$26)*$F$26</f>
        <v/>
      </c>
      <c r="D49" s="20">
        <f>MAX(0.02,(D48+(F48-$B$26*$F$26)*EXP(-$C$26*$F$26)*$F$26))</f>
        <v/>
      </c>
      <c r="E49" s="20">
        <f>IF((D48+(F48-$B$26*$F$26)*EXP(-$C$26*$F$26)*$F$26)&lt;0.02,E48*EXP(-$C$26*$F$26)*$E$26,E48*EXP(-$C$26*$F$26))</f>
        <v/>
      </c>
      <c r="F49" s="20">
        <f>IF((D48+(F48-$B$26*$F$26)*EXP(-$C$26*$F$26)*$F$26)&lt;0.02,-(F48-$B$26*$F$26)*EXP(-$C$26*$F$26)*$D$26,(F48-$B$26*$F$26)*EXP(-$C$26*$F$26))</f>
        <v/>
      </c>
    </row>
    <row r="50">
      <c r="A50" s="7" t="n">
        <v>22</v>
      </c>
      <c r="B50" s="20">
        <f>B49+$F$26</f>
        <v/>
      </c>
      <c r="C50" s="20">
        <f>C49+E49*EXP(-$C$26*$F$26)*$F$26</f>
        <v/>
      </c>
      <c r="D50" s="20">
        <f>MAX(0.02,(D49+(F49-$B$26*$F$26)*EXP(-$C$26*$F$26)*$F$26))</f>
        <v/>
      </c>
      <c r="E50" s="20">
        <f>IF((D49+(F49-$B$26*$F$26)*EXP(-$C$26*$F$26)*$F$26)&lt;0.02,E49*EXP(-$C$26*$F$26)*$E$26,E49*EXP(-$C$26*$F$26))</f>
        <v/>
      </c>
      <c r="F50" s="20">
        <f>IF((D49+(F49-$B$26*$F$26)*EXP(-$C$26*$F$26)*$F$26)&lt;0.02,-(F49-$B$26*$F$26)*EXP(-$C$26*$F$26)*$D$26,(F49-$B$26*$F$26)*EXP(-$C$26*$F$26))</f>
        <v/>
      </c>
    </row>
    <row r="51">
      <c r="A51" s="7" t="n">
        <v>23</v>
      </c>
      <c r="B51" s="20">
        <f>B50+$F$26</f>
        <v/>
      </c>
      <c r="C51" s="20">
        <f>C50+E50*EXP(-$C$26*$F$26)*$F$26</f>
        <v/>
      </c>
      <c r="D51" s="20">
        <f>MAX(0.02,(D50+(F50-$B$26*$F$26)*EXP(-$C$26*$F$26)*$F$26))</f>
        <v/>
      </c>
      <c r="E51" s="20">
        <f>IF((D50+(F50-$B$26*$F$26)*EXP(-$C$26*$F$26)*$F$26)&lt;0.02,E50*EXP(-$C$26*$F$26)*$E$26,E50*EXP(-$C$26*$F$26))</f>
        <v/>
      </c>
      <c r="F51" s="20">
        <f>IF((D50+(F50-$B$26*$F$26)*EXP(-$C$26*$F$26)*$F$26)&lt;0.02,-(F50-$B$26*$F$26)*EXP(-$C$26*$F$26)*$D$26,(F50-$B$26*$F$26)*EXP(-$C$26*$F$26))</f>
        <v/>
      </c>
    </row>
    <row r="52">
      <c r="A52" s="7" t="n">
        <v>24</v>
      </c>
      <c r="B52" s="20">
        <f>B51+$F$26</f>
        <v/>
      </c>
      <c r="C52" s="20">
        <f>C51+E51*EXP(-$C$26*$F$26)*$F$26</f>
        <v/>
      </c>
      <c r="D52" s="20">
        <f>MAX(0.02,(D51+(F51-$B$26*$F$26)*EXP(-$C$26*$F$26)*$F$26))</f>
        <v/>
      </c>
      <c r="E52" s="20">
        <f>IF((D51+(F51-$B$26*$F$26)*EXP(-$C$26*$F$26)*$F$26)&lt;0.02,E51*EXP(-$C$26*$F$26)*$E$26,E51*EXP(-$C$26*$F$26))</f>
        <v/>
      </c>
      <c r="F52" s="20">
        <f>IF((D51+(F51-$B$26*$F$26)*EXP(-$C$26*$F$26)*$F$26)&lt;0.02,-(F51-$B$26*$F$26)*EXP(-$C$26*$F$26)*$D$26,(F51-$B$26*$F$26)*EXP(-$C$26*$F$26))</f>
        <v/>
      </c>
    </row>
    <row r="53">
      <c r="A53" s="7" t="n">
        <v>25</v>
      </c>
      <c r="B53" s="20">
        <f>B52+$F$26</f>
        <v/>
      </c>
      <c r="C53" s="20">
        <f>C52+E52*EXP(-$C$26*$F$26)*$F$26</f>
        <v/>
      </c>
      <c r="D53" s="20">
        <f>MAX(0.02,(D52+(F52-$B$26*$F$26)*EXP(-$C$26*$F$26)*$F$26))</f>
        <v/>
      </c>
      <c r="E53" s="20">
        <f>IF((D52+(F52-$B$26*$F$26)*EXP(-$C$26*$F$26)*$F$26)&lt;0.02,E52*EXP(-$C$26*$F$26)*$E$26,E52*EXP(-$C$26*$F$26))</f>
        <v/>
      </c>
      <c r="F53" s="20">
        <f>IF((D52+(F52-$B$26*$F$26)*EXP(-$C$26*$F$26)*$F$26)&lt;0.02,-(F52-$B$26*$F$26)*EXP(-$C$26*$F$26)*$D$26,(F52-$B$26*$F$26)*EXP(-$C$26*$F$26))</f>
        <v/>
      </c>
    </row>
    <row r="54">
      <c r="A54" s="7" t="n">
        <v>26</v>
      </c>
      <c r="B54" s="20">
        <f>B53+$F$26</f>
        <v/>
      </c>
      <c r="C54" s="20">
        <f>C53+E53*EXP(-$C$26*$F$26)*$F$26</f>
        <v/>
      </c>
      <c r="D54" s="20">
        <f>MAX(0.02,(D53+(F53-$B$26*$F$26)*EXP(-$C$26*$F$26)*$F$26))</f>
        <v/>
      </c>
      <c r="E54" s="20">
        <f>IF((D53+(F53-$B$26*$F$26)*EXP(-$C$26*$F$26)*$F$26)&lt;0.02,E53*EXP(-$C$26*$F$26)*$E$26,E53*EXP(-$C$26*$F$26))</f>
        <v/>
      </c>
      <c r="F54" s="20">
        <f>IF((D53+(F53-$B$26*$F$26)*EXP(-$C$26*$F$26)*$F$26)&lt;0.02,-(F53-$B$26*$F$26)*EXP(-$C$26*$F$26)*$D$26,(F53-$B$26*$F$26)*EXP(-$C$26*$F$26))</f>
        <v/>
      </c>
    </row>
    <row r="55">
      <c r="A55" s="7" t="n">
        <v>27</v>
      </c>
      <c r="B55" s="20">
        <f>B54+$F$26</f>
        <v/>
      </c>
      <c r="C55" s="20">
        <f>C54+E54*EXP(-$C$26*$F$26)*$F$26</f>
        <v/>
      </c>
      <c r="D55" s="20">
        <f>MAX(0.02,(D54+(F54-$B$26*$F$26)*EXP(-$C$26*$F$26)*$F$26))</f>
        <v/>
      </c>
      <c r="E55" s="20">
        <f>IF((D54+(F54-$B$26*$F$26)*EXP(-$C$26*$F$26)*$F$26)&lt;0.02,E54*EXP(-$C$26*$F$26)*$E$26,E54*EXP(-$C$26*$F$26))</f>
        <v/>
      </c>
      <c r="F55" s="20">
        <f>IF((D54+(F54-$B$26*$F$26)*EXP(-$C$26*$F$26)*$F$26)&lt;0.02,-(F54-$B$26*$F$26)*EXP(-$C$26*$F$26)*$D$26,(F54-$B$26*$F$26)*EXP(-$C$26*$F$26))</f>
        <v/>
      </c>
    </row>
    <row r="56">
      <c r="A56" s="7" t="n">
        <v>28</v>
      </c>
      <c r="B56" s="20">
        <f>B55+$F$26</f>
        <v/>
      </c>
      <c r="C56" s="20">
        <f>C55+E55*EXP(-$C$26*$F$26)*$F$26</f>
        <v/>
      </c>
      <c r="D56" s="20">
        <f>MAX(0.02,(D55+(F55-$B$26*$F$26)*EXP(-$C$26*$F$26)*$F$26))</f>
        <v/>
      </c>
      <c r="E56" s="20">
        <f>IF((D55+(F55-$B$26*$F$26)*EXP(-$C$26*$F$26)*$F$26)&lt;0.02,E55*EXP(-$C$26*$F$26)*$E$26,E55*EXP(-$C$26*$F$26))</f>
        <v/>
      </c>
      <c r="F56" s="20">
        <f>IF((D55+(F55-$B$26*$F$26)*EXP(-$C$26*$F$26)*$F$26)&lt;0.02,-(F55-$B$26*$F$26)*EXP(-$C$26*$F$26)*$D$26,(F55-$B$26*$F$26)*EXP(-$C$26*$F$26))</f>
        <v/>
      </c>
    </row>
  </sheetData>
  <printOptions gridLines="0"/>
  <pageMargins left="0.4" right="0.4" top="0.4" bottom="0.4" header="0.2" footer="0.2"/>
  <pageSetup orientation="landscape" paperSize="9" scale="80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Z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5.6" customWidth="1" min="3" max="3"/>
    <col width="5.6" customWidth="1" min="4" max="4"/>
    <col width="5.6" customWidth="1" min="5" max="5"/>
    <col width="5.6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width="5.6" customWidth="1" min="17" max="17"/>
    <col width="5.6" customWidth="1" min="18" max="18"/>
    <col width="5.6" customWidth="1" min="19" max="19"/>
    <col width="5.6" customWidth="1" min="20" max="20"/>
    <col width="5.6" customWidth="1" min="21" max="21"/>
    <col width="5.6" customWidth="1" min="22" max="22"/>
    <col width="5.6" customWidth="1" min="23" max="23"/>
    <col width="5.6" customWidth="1" min="24" max="24"/>
    <col width="5.6" customWidth="1" min="25" max="25"/>
    <col width="5.6" customWidth="1" min="26" max="26"/>
  </cols>
  <sheetData>
    <row r="1">
      <c r="A1" s="1" t="inlineStr">
        <is>
          <t>Duty_Cycle: 24-hour roster of the 8 on-duty soldiers (2 shifts, not 6-hour shifts)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scene/Garrison.h kDayShiftStart 6.4, kDayShiftEnd 17.6, dayShift(); Garrison.cpp makePrograms() and shiftDelay = 1 + 2.5 rank s; rosters from ts --export-docs v6.garrison.soldiers.</t>
        </is>
      </c>
    </row>
    <row r="5">
      <c r="B5" s="4" t="inlineStr">
        <is>
          <t>day start (h)</t>
        </is>
      </c>
      <c r="C5" s="12" t="n"/>
      <c r="D5" s="46" t="n">
        <v>6.4</v>
      </c>
      <c r="F5" s="4" t="inlineStr">
        <is>
          <t>day end (h)</t>
        </is>
      </c>
      <c r="G5" s="12" t="n"/>
      <c r="H5" s="46" t="n">
        <v>17.6</v>
      </c>
      <c r="J5" s="4" t="inlineStr">
        <is>
          <t>day shift</t>
        </is>
      </c>
      <c r="K5" s="12" t="n"/>
      <c r="L5" s="15">
        <f>TEXT($D$5/24,"hh:mm")&amp;"-"&amp;TEXT($H$5/24,"hh:mm")</f>
        <v/>
      </c>
      <c r="M5" s="11" t="n"/>
      <c r="N5" s="12" t="n"/>
      <c r="O5" s="4" t="inlineStr">
        <is>
          <t>hours</t>
        </is>
      </c>
      <c r="P5" s="12" t="n"/>
      <c r="Q5" s="50">
        <f>$H$5-$D$5</f>
        <v/>
      </c>
      <c r="S5" s="4" t="inlineStr">
        <is>
          <t>night hours</t>
        </is>
      </c>
      <c r="T5" s="12" t="n"/>
      <c r="U5" s="50">
        <f>24-($H$5-$D$5)</f>
        <v/>
      </c>
      <c r="W5" s="4" t="inlineStr">
        <is>
          <t>DayBreak, Dusk</t>
        </is>
      </c>
      <c r="X5" s="12" t="n"/>
      <c r="Y5" s="46" t="n">
        <v>6.45</v>
      </c>
      <c r="Z5" s="46" t="n">
        <v>17.6</v>
      </c>
    </row>
    <row r="7">
      <c r="A7" s="3" t="inlineStr">
        <is>
          <t>#</t>
        </is>
      </c>
      <c r="B7" s="3" t="inlineStr">
        <is>
          <t>role</t>
        </is>
      </c>
      <c r="C7" s="3" t="inlineStr">
        <is>
          <t>day roster (export)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2" t="n"/>
      <c r="O7" s="3" t="inlineStr">
        <is>
          <t>night roster (export)</t>
        </is>
      </c>
      <c r="P7" s="11" t="n"/>
      <c r="Q7" s="11" t="n"/>
      <c r="R7" s="11" t="n"/>
      <c r="S7" s="11" t="n"/>
      <c r="T7" s="11" t="n"/>
      <c r="U7" s="11" t="n"/>
      <c r="V7" s="11" t="n"/>
      <c r="W7" s="11" t="n"/>
      <c r="X7" s="12" t="n"/>
      <c r="Y7" s="3" t="inlineStr">
        <is>
          <t>day</t>
        </is>
      </c>
      <c r="Z7" s="3" t="inlineStr">
        <is>
          <t>night</t>
        </is>
      </c>
    </row>
    <row r="8">
      <c r="A8" s="37" t="n">
        <v>1</v>
      </c>
      <c r="B8" s="5" t="inlineStr">
        <is>
          <t>SENTRY</t>
        </is>
      </c>
      <c r="C8" s="51" t="inlineStr">
        <is>
          <t>guard: inner gate and gate road (INNER GATE -&gt; GATE ROAD)</t>
        </is>
      </c>
      <c r="D8" s="52" t="n"/>
      <c r="E8" s="52" t="n"/>
      <c r="F8" s="52" t="n"/>
      <c r="G8" s="52" t="n"/>
      <c r="H8" s="52" t="n"/>
      <c r="I8" s="52" t="n"/>
      <c r="J8" s="52" t="n"/>
      <c r="K8" s="52" t="n"/>
      <c r="L8" s="52" t="n"/>
      <c r="M8" s="52" t="n"/>
      <c r="N8" s="53" t="n"/>
      <c r="O8" s="51" t="inlineStr">
        <is>
          <t>guard: inner gate (INNER GATE)</t>
        </is>
      </c>
      <c r="P8" s="52" t="n"/>
      <c r="Q8" s="52" t="n"/>
      <c r="R8" s="52" t="n"/>
      <c r="S8" s="52" t="n"/>
      <c r="T8" s="52" t="n"/>
      <c r="U8" s="52" t="n"/>
      <c r="V8" s="52" t="n"/>
      <c r="W8" s="52" t="n"/>
      <c r="X8" s="53" t="n"/>
      <c r="Y8" s="15">
        <f>IF(LEFT(C8,FIND(":",C8)-1)="off duty","off",LEFT(C8,FIND(":",C8)-1))</f>
        <v/>
      </c>
      <c r="Z8" s="15">
        <f>IF(LEFT(O8,FIND(":",O8)-1)="off duty","off",LEFT(O8,FIND(":",O8)-1))</f>
        <v/>
      </c>
    </row>
    <row r="9">
      <c r="A9" s="37" t="n">
        <v>2</v>
      </c>
      <c r="B9" s="5" t="inlineStr">
        <is>
          <t>WATCH</t>
        </is>
      </c>
      <c r="C9" s="51" t="inlineStr">
        <is>
          <t>guard: watchtower and east wood look-out (WATCHTOWER -&gt; EAST WOOD)</t>
        </is>
      </c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3" t="n"/>
      <c r="O9" s="51" t="inlineStr">
        <is>
          <t>guard: sandbag guard post (SANDBAG POST)</t>
        </is>
      </c>
      <c r="P9" s="52" t="n"/>
      <c r="Q9" s="52" t="n"/>
      <c r="R9" s="52" t="n"/>
      <c r="S9" s="52" t="n"/>
      <c r="T9" s="52" t="n"/>
      <c r="U9" s="52" t="n"/>
      <c r="V9" s="52" t="n"/>
      <c r="W9" s="52" t="n"/>
      <c r="X9" s="53" t="n"/>
      <c r="Y9" s="15">
        <f>IF(LEFT(C9,FIND(":",C9)-1)="off duty","off",LEFT(C9,FIND(":",C9)-1))</f>
        <v/>
      </c>
      <c r="Z9" s="15">
        <f>IF(LEFT(O9,FIND(":",O9)-1)="off duty","off",LEFT(O9,FIND(":",O9)-1))</f>
        <v/>
      </c>
    </row>
    <row r="10">
      <c r="A10" s="37" t="n">
        <v>3</v>
      </c>
      <c r="B10" s="5" t="inlineStr">
        <is>
          <t>GUNNER</t>
        </is>
      </c>
      <c r="C10" s="51" t="inlineStr">
        <is>
          <t>walk: patrol loop on the east apron</t>
        </is>
      </c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3" t="n"/>
      <c r="O10" s="51" t="inlineStr">
        <is>
          <t>guard: machine-gun nest (MG NEST)</t>
        </is>
      </c>
      <c r="P10" s="52" t="n"/>
      <c r="Q10" s="52" t="n"/>
      <c r="R10" s="52" t="n"/>
      <c r="S10" s="52" t="n"/>
      <c r="T10" s="52" t="n"/>
      <c r="U10" s="52" t="n"/>
      <c r="V10" s="52" t="n"/>
      <c r="W10" s="52" t="n"/>
      <c r="X10" s="53" t="n"/>
      <c r="Y10" s="15">
        <f>IF(LEFT(C10,FIND(":",C10)-1)="off duty","off",LEFT(C10,FIND(":",C10)-1))</f>
        <v/>
      </c>
      <c r="Z10" s="15">
        <f>IF(LEFT(O10,FIND(":",O10)-1)="off duty","off",LEFT(O10,FIND(":",O10)-1))</f>
        <v/>
      </c>
    </row>
    <row r="11">
      <c r="A11" s="37" t="n">
        <v>4</v>
      </c>
      <c r="B11" s="5" t="inlineStr">
        <is>
          <t>MECHANIC</t>
        </is>
      </c>
      <c r="C11" s="51" t="inlineStr">
        <is>
          <t>work: wrench at the parked tank and the helicopter (MBT-2 ENGINE DECK -&gt; HELICOPTER)</t>
        </is>
      </c>
      <c r="D11" s="52" t="n"/>
      <c r="E11" s="52" t="n"/>
      <c r="F11" s="52" t="n"/>
      <c r="G11" s="52" t="n"/>
      <c r="H11" s="52" t="n"/>
      <c r="I11" s="52" t="n"/>
      <c r="J11" s="52" t="n"/>
      <c r="K11" s="52" t="n"/>
      <c r="L11" s="52" t="n"/>
      <c r="M11" s="52" t="n"/>
      <c r="N11" s="53" t="n"/>
      <c r="O11" s="51" t="inlineStr">
        <is>
          <t>off duty: bunk room (south bunk) (BUNK ROOM)</t>
        </is>
      </c>
      <c r="P11" s="52" t="n"/>
      <c r="Q11" s="52" t="n"/>
      <c r="R11" s="52" t="n"/>
      <c r="S11" s="52" t="n"/>
      <c r="T11" s="52" t="n"/>
      <c r="U11" s="52" t="n"/>
      <c r="V11" s="52" t="n"/>
      <c r="W11" s="52" t="n"/>
      <c r="X11" s="53" t="n"/>
      <c r="Y11" s="15">
        <f>IF(LEFT(C11,FIND(":",C11)-1)="off duty","off",LEFT(C11,FIND(":",C11)-1))</f>
        <v/>
      </c>
      <c r="Z11" s="15">
        <f>IF(LEFT(O11,FIND(":",O11)-1)="off duty","off",LEFT(O11,FIND(":",O11)-1))</f>
        <v/>
      </c>
    </row>
    <row r="12">
      <c r="A12" s="37" t="n">
        <v>5</v>
      </c>
      <c r="B12" s="5" t="inlineStr">
        <is>
          <t>LOGISTICS</t>
        </is>
      </c>
      <c r="C12" s="51" t="inlineStr">
        <is>
          <t>work: carry crates from the depot to the ammunition bunker (FUEL DEPOT -&gt; AMMO BUNKER)</t>
        </is>
      </c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3" t="n"/>
      <c r="O12" s="51" t="inlineStr">
        <is>
          <t>off duty: bunk room (mess table) (MESS BENCH)</t>
        </is>
      </c>
      <c r="P12" s="52" t="n"/>
      <c r="Q12" s="52" t="n"/>
      <c r="R12" s="52" t="n"/>
      <c r="S12" s="52" t="n"/>
      <c r="T12" s="52" t="n"/>
      <c r="U12" s="52" t="n"/>
      <c r="V12" s="52" t="n"/>
      <c r="W12" s="52" t="n"/>
      <c r="X12" s="53" t="n"/>
      <c r="Y12" s="15">
        <f>IF(LEFT(C12,FIND(":",C12)-1)="off duty","off",LEFT(C12,FIND(":",C12)-1))</f>
        <v/>
      </c>
      <c r="Z12" s="15">
        <f>IF(LEFT(O12,FIND(":",O12)-1)="off duty","off",LEFT(O12,FIND(":",O12)-1))</f>
        <v/>
      </c>
    </row>
    <row r="13">
      <c r="A13" s="37" t="n">
        <v>6</v>
      </c>
      <c r="B13" s="5" t="inlineStr">
        <is>
          <t>TECHNICIAN</t>
        </is>
      </c>
      <c r="C13" s="51" t="inlineStr">
        <is>
          <t>work: inspect the radar and the AA gun (RADAR -&gt; AA GUN PIT)</t>
        </is>
      </c>
      <c r="D13" s="52" t="n"/>
      <c r="E13" s="52" t="n"/>
      <c r="F13" s="52" t="n"/>
      <c r="G13" s="52" t="n"/>
      <c r="H13" s="52" t="n"/>
      <c r="I13" s="52" t="n"/>
      <c r="J13" s="52" t="n"/>
      <c r="K13" s="52" t="n"/>
      <c r="L13" s="52" t="n"/>
      <c r="M13" s="52" t="n"/>
      <c r="N13" s="53" t="n"/>
      <c r="O13" s="51" t="inlineStr">
        <is>
          <t>work: plotting table in the command room (COMMAND ROOM)</t>
        </is>
      </c>
      <c r="P13" s="52" t="n"/>
      <c r="Q13" s="52" t="n"/>
      <c r="R13" s="52" t="n"/>
      <c r="S13" s="52" t="n"/>
      <c r="T13" s="52" t="n"/>
      <c r="U13" s="52" t="n"/>
      <c r="V13" s="52" t="n"/>
      <c r="W13" s="52" t="n"/>
      <c r="X13" s="53" t="n"/>
      <c r="Y13" s="15">
        <f>IF(LEFT(C13,FIND(":",C13)-1)="off duty","off",LEFT(C13,FIND(":",C13)-1))</f>
        <v/>
      </c>
      <c r="Z13" s="15">
        <f>IF(LEFT(O13,FIND(":",O13)-1)="off duty","off",LEFT(O13,FIND(":",O13)-1))</f>
        <v/>
      </c>
    </row>
    <row r="14">
      <c r="A14" s="37" t="n">
        <v>7</v>
      </c>
      <c r="B14" s="5" t="inlineStr">
        <is>
          <t>PATROL</t>
        </is>
      </c>
      <c r="C14" s="51" t="inlineStr">
        <is>
          <t>walk: patrol loop inside the compound</t>
        </is>
      </c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3" t="n"/>
      <c r="O14" s="51" t="inlineStr">
        <is>
          <t>guard: east guard tower (GUARD TOWER E)</t>
        </is>
      </c>
      <c r="P14" s="52" t="n"/>
      <c r="Q14" s="52" t="n"/>
      <c r="R14" s="52" t="n"/>
      <c r="S14" s="52" t="n"/>
      <c r="T14" s="52" t="n"/>
      <c r="U14" s="52" t="n"/>
      <c r="V14" s="52" t="n"/>
      <c r="W14" s="52" t="n"/>
      <c r="X14" s="53" t="n"/>
      <c r="Y14" s="15">
        <f>IF(LEFT(C14,FIND(":",C14)-1)="off duty","off",LEFT(C14,FIND(":",C14)-1))</f>
        <v/>
      </c>
      <c r="Z14" s="15">
        <f>IF(LEFT(O14,FIND(":",O14)-1)="off duty","off",LEFT(O14,FIND(":",O14)-1))</f>
        <v/>
      </c>
    </row>
    <row r="15">
      <c r="A15" s="37" t="n">
        <v>8</v>
      </c>
      <c r="B15" s="5" t="inlineStr">
        <is>
          <t>RUNNER</t>
        </is>
      </c>
      <c r="C15" s="51" t="inlineStr">
        <is>
          <t>run: running loop on the south apron</t>
        </is>
      </c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3" t="n"/>
      <c r="O15" s="51" t="inlineStr">
        <is>
          <t>off duty: bunk room (north bunk) (BUNK ROOM)</t>
        </is>
      </c>
      <c r="P15" s="52" t="n"/>
      <c r="Q15" s="52" t="n"/>
      <c r="R15" s="52" t="n"/>
      <c r="S15" s="52" t="n"/>
      <c r="T15" s="52" t="n"/>
      <c r="U15" s="52" t="n"/>
      <c r="V15" s="52" t="n"/>
      <c r="W15" s="52" t="n"/>
      <c r="X15" s="53" t="n"/>
      <c r="Y15" s="15">
        <f>IF(LEFT(C15,FIND(":",C15)-1)="off duty","off",LEFT(C15,FIND(":",C15)-1))</f>
        <v/>
      </c>
      <c r="Z15" s="15">
        <f>IF(LEFT(O15,FIND(":",O15)-1)="off duty","off",LEFT(O15,FIND(":",O15)-1))</f>
        <v/>
      </c>
    </row>
    <row r="17">
      <c r="A17" s="10" t="inlineStr">
        <is>
          <t>24-hour grid: state at the middle of each hour = IF(day start &lt;= h + 0.5 &lt; day end, day kind, night kind)</t>
        </is>
      </c>
    </row>
    <row r="18">
      <c r="A18" s="3" t="inlineStr">
        <is>
          <t>#</t>
        </is>
      </c>
      <c r="B18" s="3" t="inlineStr">
        <is>
          <t>role</t>
        </is>
      </c>
      <c r="C18" s="54" t="n">
        <v>0</v>
      </c>
      <c r="D18" s="54" t="n">
        <v>1</v>
      </c>
      <c r="E18" s="54" t="n">
        <v>2</v>
      </c>
      <c r="F18" s="54" t="n">
        <v>3</v>
      </c>
      <c r="G18" s="54" t="n">
        <v>4</v>
      </c>
      <c r="H18" s="54" t="n">
        <v>5</v>
      </c>
      <c r="I18" s="54" t="n">
        <v>6</v>
      </c>
      <c r="J18" s="54" t="n">
        <v>7</v>
      </c>
      <c r="K18" s="54" t="n">
        <v>8</v>
      </c>
      <c r="L18" s="54" t="n">
        <v>9</v>
      </c>
      <c r="M18" s="54" t="n">
        <v>10</v>
      </c>
      <c r="N18" s="54" t="n">
        <v>11</v>
      </c>
      <c r="O18" s="54" t="n">
        <v>12</v>
      </c>
      <c r="P18" s="54" t="n">
        <v>13</v>
      </c>
      <c r="Q18" s="54" t="n">
        <v>14</v>
      </c>
      <c r="R18" s="54" t="n">
        <v>15</v>
      </c>
      <c r="S18" s="54" t="n">
        <v>16</v>
      </c>
      <c r="T18" s="54" t="n">
        <v>17</v>
      </c>
      <c r="U18" s="54" t="n">
        <v>18</v>
      </c>
      <c r="V18" s="54" t="n">
        <v>19</v>
      </c>
      <c r="W18" s="54" t="n">
        <v>20</v>
      </c>
      <c r="X18" s="54" t="n">
        <v>21</v>
      </c>
      <c r="Y18" s="54" t="n">
        <v>22</v>
      </c>
      <c r="Z18" s="54" t="n">
        <v>23</v>
      </c>
    </row>
    <row r="19">
      <c r="A19" s="37" t="n">
        <v>1</v>
      </c>
      <c r="B19" s="20">
        <f>B8</f>
        <v/>
      </c>
      <c r="C19" s="55">
        <f>IF(AND(C$18+0.5&gt;=$D$5,C$18+0.5&lt;$H$5),$Y$8,$Z$8)</f>
        <v/>
      </c>
      <c r="D19" s="55">
        <f>IF(AND(D$18+0.5&gt;=$D$5,D$18+0.5&lt;$H$5),$Y$8,$Z$8)</f>
        <v/>
      </c>
      <c r="E19" s="55">
        <f>IF(AND(E$18+0.5&gt;=$D$5,E$18+0.5&lt;$H$5),$Y$8,$Z$8)</f>
        <v/>
      </c>
      <c r="F19" s="55">
        <f>IF(AND(F$18+0.5&gt;=$D$5,F$18+0.5&lt;$H$5),$Y$8,$Z$8)</f>
        <v/>
      </c>
      <c r="G19" s="55">
        <f>IF(AND(G$18+0.5&gt;=$D$5,G$18+0.5&lt;$H$5),$Y$8,$Z$8)</f>
        <v/>
      </c>
      <c r="H19" s="55">
        <f>IF(AND(H$18+0.5&gt;=$D$5,H$18+0.5&lt;$H$5),$Y$8,$Z$8)</f>
        <v/>
      </c>
      <c r="I19" s="55">
        <f>IF(AND(I$18+0.5&gt;=$D$5,I$18+0.5&lt;$H$5),$Y$8,$Z$8)</f>
        <v/>
      </c>
      <c r="J19" s="55">
        <f>IF(AND(J$18+0.5&gt;=$D$5,J$18+0.5&lt;$H$5),$Y$8,$Z$8)</f>
        <v/>
      </c>
      <c r="K19" s="55">
        <f>IF(AND(K$18+0.5&gt;=$D$5,K$18+0.5&lt;$H$5),$Y$8,$Z$8)</f>
        <v/>
      </c>
      <c r="L19" s="55">
        <f>IF(AND(L$18+0.5&gt;=$D$5,L$18+0.5&lt;$H$5),$Y$8,$Z$8)</f>
        <v/>
      </c>
      <c r="M19" s="55">
        <f>IF(AND(M$18+0.5&gt;=$D$5,M$18+0.5&lt;$H$5),$Y$8,$Z$8)</f>
        <v/>
      </c>
      <c r="N19" s="55">
        <f>IF(AND(N$18+0.5&gt;=$D$5,N$18+0.5&lt;$H$5),$Y$8,$Z$8)</f>
        <v/>
      </c>
      <c r="O19" s="55">
        <f>IF(AND(O$18+0.5&gt;=$D$5,O$18+0.5&lt;$H$5),$Y$8,$Z$8)</f>
        <v/>
      </c>
      <c r="P19" s="55">
        <f>IF(AND(P$18+0.5&gt;=$D$5,P$18+0.5&lt;$H$5),$Y$8,$Z$8)</f>
        <v/>
      </c>
      <c r="Q19" s="55">
        <f>IF(AND(Q$18+0.5&gt;=$D$5,Q$18+0.5&lt;$H$5),$Y$8,$Z$8)</f>
        <v/>
      </c>
      <c r="R19" s="55">
        <f>IF(AND(R$18+0.5&gt;=$D$5,R$18+0.5&lt;$H$5),$Y$8,$Z$8)</f>
        <v/>
      </c>
      <c r="S19" s="55">
        <f>IF(AND(S$18+0.5&gt;=$D$5,S$18+0.5&lt;$H$5),$Y$8,$Z$8)</f>
        <v/>
      </c>
      <c r="T19" s="55">
        <f>IF(AND(T$18+0.5&gt;=$D$5,T$18+0.5&lt;$H$5),$Y$8,$Z$8)</f>
        <v/>
      </c>
      <c r="U19" s="55">
        <f>IF(AND(U$18+0.5&gt;=$D$5,U$18+0.5&lt;$H$5),$Y$8,$Z$8)</f>
        <v/>
      </c>
      <c r="V19" s="55">
        <f>IF(AND(V$18+0.5&gt;=$D$5,V$18+0.5&lt;$H$5),$Y$8,$Z$8)</f>
        <v/>
      </c>
      <c r="W19" s="55">
        <f>IF(AND(W$18+0.5&gt;=$D$5,W$18+0.5&lt;$H$5),$Y$8,$Z$8)</f>
        <v/>
      </c>
      <c r="X19" s="55">
        <f>IF(AND(X$18+0.5&gt;=$D$5,X$18+0.5&lt;$H$5),$Y$8,$Z$8)</f>
        <v/>
      </c>
      <c r="Y19" s="55">
        <f>IF(AND(Y$18+0.5&gt;=$D$5,Y$18+0.5&lt;$H$5),$Y$8,$Z$8)</f>
        <v/>
      </c>
      <c r="Z19" s="55">
        <f>IF(AND(Z$18+0.5&gt;=$D$5,Z$18+0.5&lt;$H$5),$Y$8,$Z$8)</f>
        <v/>
      </c>
    </row>
    <row r="20">
      <c r="A20" s="37" t="n">
        <v>2</v>
      </c>
      <c r="B20" s="20">
        <f>B9</f>
        <v/>
      </c>
      <c r="C20" s="55">
        <f>IF(AND(C$18+0.5&gt;=$D$5,C$18+0.5&lt;$H$5),$Y$9,$Z$9)</f>
        <v/>
      </c>
      <c r="D20" s="55">
        <f>IF(AND(D$18+0.5&gt;=$D$5,D$18+0.5&lt;$H$5),$Y$9,$Z$9)</f>
        <v/>
      </c>
      <c r="E20" s="55">
        <f>IF(AND(E$18+0.5&gt;=$D$5,E$18+0.5&lt;$H$5),$Y$9,$Z$9)</f>
        <v/>
      </c>
      <c r="F20" s="55">
        <f>IF(AND(F$18+0.5&gt;=$D$5,F$18+0.5&lt;$H$5),$Y$9,$Z$9)</f>
        <v/>
      </c>
      <c r="G20" s="55">
        <f>IF(AND(G$18+0.5&gt;=$D$5,G$18+0.5&lt;$H$5),$Y$9,$Z$9)</f>
        <v/>
      </c>
      <c r="H20" s="55">
        <f>IF(AND(H$18+0.5&gt;=$D$5,H$18+0.5&lt;$H$5),$Y$9,$Z$9)</f>
        <v/>
      </c>
      <c r="I20" s="55">
        <f>IF(AND(I$18+0.5&gt;=$D$5,I$18+0.5&lt;$H$5),$Y$9,$Z$9)</f>
        <v/>
      </c>
      <c r="J20" s="55">
        <f>IF(AND(J$18+0.5&gt;=$D$5,J$18+0.5&lt;$H$5),$Y$9,$Z$9)</f>
        <v/>
      </c>
      <c r="K20" s="55">
        <f>IF(AND(K$18+0.5&gt;=$D$5,K$18+0.5&lt;$H$5),$Y$9,$Z$9)</f>
        <v/>
      </c>
      <c r="L20" s="55">
        <f>IF(AND(L$18+0.5&gt;=$D$5,L$18+0.5&lt;$H$5),$Y$9,$Z$9)</f>
        <v/>
      </c>
      <c r="M20" s="55">
        <f>IF(AND(M$18+0.5&gt;=$D$5,M$18+0.5&lt;$H$5),$Y$9,$Z$9)</f>
        <v/>
      </c>
      <c r="N20" s="55">
        <f>IF(AND(N$18+0.5&gt;=$D$5,N$18+0.5&lt;$H$5),$Y$9,$Z$9)</f>
        <v/>
      </c>
      <c r="O20" s="55">
        <f>IF(AND(O$18+0.5&gt;=$D$5,O$18+0.5&lt;$H$5),$Y$9,$Z$9)</f>
        <v/>
      </c>
      <c r="P20" s="55">
        <f>IF(AND(P$18+0.5&gt;=$D$5,P$18+0.5&lt;$H$5),$Y$9,$Z$9)</f>
        <v/>
      </c>
      <c r="Q20" s="55">
        <f>IF(AND(Q$18+0.5&gt;=$D$5,Q$18+0.5&lt;$H$5),$Y$9,$Z$9)</f>
        <v/>
      </c>
      <c r="R20" s="55">
        <f>IF(AND(R$18+0.5&gt;=$D$5,R$18+0.5&lt;$H$5),$Y$9,$Z$9)</f>
        <v/>
      </c>
      <c r="S20" s="55">
        <f>IF(AND(S$18+0.5&gt;=$D$5,S$18+0.5&lt;$H$5),$Y$9,$Z$9)</f>
        <v/>
      </c>
      <c r="T20" s="55">
        <f>IF(AND(T$18+0.5&gt;=$D$5,T$18+0.5&lt;$H$5),$Y$9,$Z$9)</f>
        <v/>
      </c>
      <c r="U20" s="55">
        <f>IF(AND(U$18+0.5&gt;=$D$5,U$18+0.5&lt;$H$5),$Y$9,$Z$9)</f>
        <v/>
      </c>
      <c r="V20" s="55">
        <f>IF(AND(V$18+0.5&gt;=$D$5,V$18+0.5&lt;$H$5),$Y$9,$Z$9)</f>
        <v/>
      </c>
      <c r="W20" s="55">
        <f>IF(AND(W$18+0.5&gt;=$D$5,W$18+0.5&lt;$H$5),$Y$9,$Z$9)</f>
        <v/>
      </c>
      <c r="X20" s="55">
        <f>IF(AND(X$18+0.5&gt;=$D$5,X$18+0.5&lt;$H$5),$Y$9,$Z$9)</f>
        <v/>
      </c>
      <c r="Y20" s="55">
        <f>IF(AND(Y$18+0.5&gt;=$D$5,Y$18+0.5&lt;$H$5),$Y$9,$Z$9)</f>
        <v/>
      </c>
      <c r="Z20" s="55">
        <f>IF(AND(Z$18+0.5&gt;=$D$5,Z$18+0.5&lt;$H$5),$Y$9,$Z$9)</f>
        <v/>
      </c>
    </row>
    <row r="21">
      <c r="A21" s="37" t="n">
        <v>3</v>
      </c>
      <c r="B21" s="20">
        <f>B10</f>
        <v/>
      </c>
      <c r="C21" s="55">
        <f>IF(AND(C$18+0.5&gt;=$D$5,C$18+0.5&lt;$H$5),$Y$10,$Z$10)</f>
        <v/>
      </c>
      <c r="D21" s="55">
        <f>IF(AND(D$18+0.5&gt;=$D$5,D$18+0.5&lt;$H$5),$Y$10,$Z$10)</f>
        <v/>
      </c>
      <c r="E21" s="55">
        <f>IF(AND(E$18+0.5&gt;=$D$5,E$18+0.5&lt;$H$5),$Y$10,$Z$10)</f>
        <v/>
      </c>
      <c r="F21" s="55">
        <f>IF(AND(F$18+0.5&gt;=$D$5,F$18+0.5&lt;$H$5),$Y$10,$Z$10)</f>
        <v/>
      </c>
      <c r="G21" s="55">
        <f>IF(AND(G$18+0.5&gt;=$D$5,G$18+0.5&lt;$H$5),$Y$10,$Z$10)</f>
        <v/>
      </c>
      <c r="H21" s="55">
        <f>IF(AND(H$18+0.5&gt;=$D$5,H$18+0.5&lt;$H$5),$Y$10,$Z$10)</f>
        <v/>
      </c>
      <c r="I21" s="55">
        <f>IF(AND(I$18+0.5&gt;=$D$5,I$18+0.5&lt;$H$5),$Y$10,$Z$10)</f>
        <v/>
      </c>
      <c r="J21" s="55">
        <f>IF(AND(J$18+0.5&gt;=$D$5,J$18+0.5&lt;$H$5),$Y$10,$Z$10)</f>
        <v/>
      </c>
      <c r="K21" s="55">
        <f>IF(AND(K$18+0.5&gt;=$D$5,K$18+0.5&lt;$H$5),$Y$10,$Z$10)</f>
        <v/>
      </c>
      <c r="L21" s="55">
        <f>IF(AND(L$18+0.5&gt;=$D$5,L$18+0.5&lt;$H$5),$Y$10,$Z$10)</f>
        <v/>
      </c>
      <c r="M21" s="55">
        <f>IF(AND(M$18+0.5&gt;=$D$5,M$18+0.5&lt;$H$5),$Y$10,$Z$10)</f>
        <v/>
      </c>
      <c r="N21" s="55">
        <f>IF(AND(N$18+0.5&gt;=$D$5,N$18+0.5&lt;$H$5),$Y$10,$Z$10)</f>
        <v/>
      </c>
      <c r="O21" s="55">
        <f>IF(AND(O$18+0.5&gt;=$D$5,O$18+0.5&lt;$H$5),$Y$10,$Z$10)</f>
        <v/>
      </c>
      <c r="P21" s="55">
        <f>IF(AND(P$18+0.5&gt;=$D$5,P$18+0.5&lt;$H$5),$Y$10,$Z$10)</f>
        <v/>
      </c>
      <c r="Q21" s="55">
        <f>IF(AND(Q$18+0.5&gt;=$D$5,Q$18+0.5&lt;$H$5),$Y$10,$Z$10)</f>
        <v/>
      </c>
      <c r="R21" s="55">
        <f>IF(AND(R$18+0.5&gt;=$D$5,R$18+0.5&lt;$H$5),$Y$10,$Z$10)</f>
        <v/>
      </c>
      <c r="S21" s="55">
        <f>IF(AND(S$18+0.5&gt;=$D$5,S$18+0.5&lt;$H$5),$Y$10,$Z$10)</f>
        <v/>
      </c>
      <c r="T21" s="55">
        <f>IF(AND(T$18+0.5&gt;=$D$5,T$18+0.5&lt;$H$5),$Y$10,$Z$10)</f>
        <v/>
      </c>
      <c r="U21" s="55">
        <f>IF(AND(U$18+0.5&gt;=$D$5,U$18+0.5&lt;$H$5),$Y$10,$Z$10)</f>
        <v/>
      </c>
      <c r="V21" s="55">
        <f>IF(AND(V$18+0.5&gt;=$D$5,V$18+0.5&lt;$H$5),$Y$10,$Z$10)</f>
        <v/>
      </c>
      <c r="W21" s="55">
        <f>IF(AND(W$18+0.5&gt;=$D$5,W$18+0.5&lt;$H$5),$Y$10,$Z$10)</f>
        <v/>
      </c>
      <c r="X21" s="55">
        <f>IF(AND(X$18+0.5&gt;=$D$5,X$18+0.5&lt;$H$5),$Y$10,$Z$10)</f>
        <v/>
      </c>
      <c r="Y21" s="55">
        <f>IF(AND(Y$18+0.5&gt;=$D$5,Y$18+0.5&lt;$H$5),$Y$10,$Z$10)</f>
        <v/>
      </c>
      <c r="Z21" s="55">
        <f>IF(AND(Z$18+0.5&gt;=$D$5,Z$18+0.5&lt;$H$5),$Y$10,$Z$10)</f>
        <v/>
      </c>
    </row>
    <row r="22">
      <c r="A22" s="37" t="n">
        <v>4</v>
      </c>
      <c r="B22" s="20">
        <f>B11</f>
        <v/>
      </c>
      <c r="C22" s="55">
        <f>IF(AND(C$18+0.5&gt;=$D$5,C$18+0.5&lt;$H$5),$Y$11,$Z$11)</f>
        <v/>
      </c>
      <c r="D22" s="55">
        <f>IF(AND(D$18+0.5&gt;=$D$5,D$18+0.5&lt;$H$5),$Y$11,$Z$11)</f>
        <v/>
      </c>
      <c r="E22" s="55">
        <f>IF(AND(E$18+0.5&gt;=$D$5,E$18+0.5&lt;$H$5),$Y$11,$Z$11)</f>
        <v/>
      </c>
      <c r="F22" s="55">
        <f>IF(AND(F$18+0.5&gt;=$D$5,F$18+0.5&lt;$H$5),$Y$11,$Z$11)</f>
        <v/>
      </c>
      <c r="G22" s="55">
        <f>IF(AND(G$18+0.5&gt;=$D$5,G$18+0.5&lt;$H$5),$Y$11,$Z$11)</f>
        <v/>
      </c>
      <c r="H22" s="55">
        <f>IF(AND(H$18+0.5&gt;=$D$5,H$18+0.5&lt;$H$5),$Y$11,$Z$11)</f>
        <v/>
      </c>
      <c r="I22" s="55">
        <f>IF(AND(I$18+0.5&gt;=$D$5,I$18+0.5&lt;$H$5),$Y$11,$Z$11)</f>
        <v/>
      </c>
      <c r="J22" s="55">
        <f>IF(AND(J$18+0.5&gt;=$D$5,J$18+0.5&lt;$H$5),$Y$11,$Z$11)</f>
        <v/>
      </c>
      <c r="K22" s="55">
        <f>IF(AND(K$18+0.5&gt;=$D$5,K$18+0.5&lt;$H$5),$Y$11,$Z$11)</f>
        <v/>
      </c>
      <c r="L22" s="55">
        <f>IF(AND(L$18+0.5&gt;=$D$5,L$18+0.5&lt;$H$5),$Y$11,$Z$11)</f>
        <v/>
      </c>
      <c r="M22" s="55">
        <f>IF(AND(M$18+0.5&gt;=$D$5,M$18+0.5&lt;$H$5),$Y$11,$Z$11)</f>
        <v/>
      </c>
      <c r="N22" s="55">
        <f>IF(AND(N$18+0.5&gt;=$D$5,N$18+0.5&lt;$H$5),$Y$11,$Z$11)</f>
        <v/>
      </c>
      <c r="O22" s="55">
        <f>IF(AND(O$18+0.5&gt;=$D$5,O$18+0.5&lt;$H$5),$Y$11,$Z$11)</f>
        <v/>
      </c>
      <c r="P22" s="55">
        <f>IF(AND(P$18+0.5&gt;=$D$5,P$18+0.5&lt;$H$5),$Y$11,$Z$11)</f>
        <v/>
      </c>
      <c r="Q22" s="55">
        <f>IF(AND(Q$18+0.5&gt;=$D$5,Q$18+0.5&lt;$H$5),$Y$11,$Z$11)</f>
        <v/>
      </c>
      <c r="R22" s="55">
        <f>IF(AND(R$18+0.5&gt;=$D$5,R$18+0.5&lt;$H$5),$Y$11,$Z$11)</f>
        <v/>
      </c>
      <c r="S22" s="55">
        <f>IF(AND(S$18+0.5&gt;=$D$5,S$18+0.5&lt;$H$5),$Y$11,$Z$11)</f>
        <v/>
      </c>
      <c r="T22" s="55">
        <f>IF(AND(T$18+0.5&gt;=$D$5,T$18+0.5&lt;$H$5),$Y$11,$Z$11)</f>
        <v/>
      </c>
      <c r="U22" s="55">
        <f>IF(AND(U$18+0.5&gt;=$D$5,U$18+0.5&lt;$H$5),$Y$11,$Z$11)</f>
        <v/>
      </c>
      <c r="V22" s="55">
        <f>IF(AND(V$18+0.5&gt;=$D$5,V$18+0.5&lt;$H$5),$Y$11,$Z$11)</f>
        <v/>
      </c>
      <c r="W22" s="55">
        <f>IF(AND(W$18+0.5&gt;=$D$5,W$18+0.5&lt;$H$5),$Y$11,$Z$11)</f>
        <v/>
      </c>
      <c r="X22" s="55">
        <f>IF(AND(X$18+0.5&gt;=$D$5,X$18+0.5&lt;$H$5),$Y$11,$Z$11)</f>
        <v/>
      </c>
      <c r="Y22" s="55">
        <f>IF(AND(Y$18+0.5&gt;=$D$5,Y$18+0.5&lt;$H$5),$Y$11,$Z$11)</f>
        <v/>
      </c>
      <c r="Z22" s="55">
        <f>IF(AND(Z$18+0.5&gt;=$D$5,Z$18+0.5&lt;$H$5),$Y$11,$Z$11)</f>
        <v/>
      </c>
    </row>
    <row r="23">
      <c r="A23" s="37" t="n">
        <v>5</v>
      </c>
      <c r="B23" s="20">
        <f>B12</f>
        <v/>
      </c>
      <c r="C23" s="55">
        <f>IF(AND(C$18+0.5&gt;=$D$5,C$18+0.5&lt;$H$5),$Y$12,$Z$12)</f>
        <v/>
      </c>
      <c r="D23" s="55">
        <f>IF(AND(D$18+0.5&gt;=$D$5,D$18+0.5&lt;$H$5),$Y$12,$Z$12)</f>
        <v/>
      </c>
      <c r="E23" s="55">
        <f>IF(AND(E$18+0.5&gt;=$D$5,E$18+0.5&lt;$H$5),$Y$12,$Z$12)</f>
        <v/>
      </c>
      <c r="F23" s="55">
        <f>IF(AND(F$18+0.5&gt;=$D$5,F$18+0.5&lt;$H$5),$Y$12,$Z$12)</f>
        <v/>
      </c>
      <c r="G23" s="55">
        <f>IF(AND(G$18+0.5&gt;=$D$5,G$18+0.5&lt;$H$5),$Y$12,$Z$12)</f>
        <v/>
      </c>
      <c r="H23" s="55">
        <f>IF(AND(H$18+0.5&gt;=$D$5,H$18+0.5&lt;$H$5),$Y$12,$Z$12)</f>
        <v/>
      </c>
      <c r="I23" s="55">
        <f>IF(AND(I$18+0.5&gt;=$D$5,I$18+0.5&lt;$H$5),$Y$12,$Z$12)</f>
        <v/>
      </c>
      <c r="J23" s="55">
        <f>IF(AND(J$18+0.5&gt;=$D$5,J$18+0.5&lt;$H$5),$Y$12,$Z$12)</f>
        <v/>
      </c>
      <c r="K23" s="55">
        <f>IF(AND(K$18+0.5&gt;=$D$5,K$18+0.5&lt;$H$5),$Y$12,$Z$12)</f>
        <v/>
      </c>
      <c r="L23" s="55">
        <f>IF(AND(L$18+0.5&gt;=$D$5,L$18+0.5&lt;$H$5),$Y$12,$Z$12)</f>
        <v/>
      </c>
      <c r="M23" s="55">
        <f>IF(AND(M$18+0.5&gt;=$D$5,M$18+0.5&lt;$H$5),$Y$12,$Z$12)</f>
        <v/>
      </c>
      <c r="N23" s="55">
        <f>IF(AND(N$18+0.5&gt;=$D$5,N$18+0.5&lt;$H$5),$Y$12,$Z$12)</f>
        <v/>
      </c>
      <c r="O23" s="55">
        <f>IF(AND(O$18+0.5&gt;=$D$5,O$18+0.5&lt;$H$5),$Y$12,$Z$12)</f>
        <v/>
      </c>
      <c r="P23" s="55">
        <f>IF(AND(P$18+0.5&gt;=$D$5,P$18+0.5&lt;$H$5),$Y$12,$Z$12)</f>
        <v/>
      </c>
      <c r="Q23" s="55">
        <f>IF(AND(Q$18+0.5&gt;=$D$5,Q$18+0.5&lt;$H$5),$Y$12,$Z$12)</f>
        <v/>
      </c>
      <c r="R23" s="55">
        <f>IF(AND(R$18+0.5&gt;=$D$5,R$18+0.5&lt;$H$5),$Y$12,$Z$12)</f>
        <v/>
      </c>
      <c r="S23" s="55">
        <f>IF(AND(S$18+0.5&gt;=$D$5,S$18+0.5&lt;$H$5),$Y$12,$Z$12)</f>
        <v/>
      </c>
      <c r="T23" s="55">
        <f>IF(AND(T$18+0.5&gt;=$D$5,T$18+0.5&lt;$H$5),$Y$12,$Z$12)</f>
        <v/>
      </c>
      <c r="U23" s="55">
        <f>IF(AND(U$18+0.5&gt;=$D$5,U$18+0.5&lt;$H$5),$Y$12,$Z$12)</f>
        <v/>
      </c>
      <c r="V23" s="55">
        <f>IF(AND(V$18+0.5&gt;=$D$5,V$18+0.5&lt;$H$5),$Y$12,$Z$12)</f>
        <v/>
      </c>
      <c r="W23" s="55">
        <f>IF(AND(W$18+0.5&gt;=$D$5,W$18+0.5&lt;$H$5),$Y$12,$Z$12)</f>
        <v/>
      </c>
      <c r="X23" s="55">
        <f>IF(AND(X$18+0.5&gt;=$D$5,X$18+0.5&lt;$H$5),$Y$12,$Z$12)</f>
        <v/>
      </c>
      <c r="Y23" s="55">
        <f>IF(AND(Y$18+0.5&gt;=$D$5,Y$18+0.5&lt;$H$5),$Y$12,$Z$12)</f>
        <v/>
      </c>
      <c r="Z23" s="55">
        <f>IF(AND(Z$18+0.5&gt;=$D$5,Z$18+0.5&lt;$H$5),$Y$12,$Z$12)</f>
        <v/>
      </c>
    </row>
    <row r="24">
      <c r="A24" s="37" t="n">
        <v>6</v>
      </c>
      <c r="B24" s="20">
        <f>B13</f>
        <v/>
      </c>
      <c r="C24" s="55">
        <f>IF(AND(C$18+0.5&gt;=$D$5,C$18+0.5&lt;$H$5),$Y$13,$Z$13)</f>
        <v/>
      </c>
      <c r="D24" s="55">
        <f>IF(AND(D$18+0.5&gt;=$D$5,D$18+0.5&lt;$H$5),$Y$13,$Z$13)</f>
        <v/>
      </c>
      <c r="E24" s="55">
        <f>IF(AND(E$18+0.5&gt;=$D$5,E$18+0.5&lt;$H$5),$Y$13,$Z$13)</f>
        <v/>
      </c>
      <c r="F24" s="55">
        <f>IF(AND(F$18+0.5&gt;=$D$5,F$18+0.5&lt;$H$5),$Y$13,$Z$13)</f>
        <v/>
      </c>
      <c r="G24" s="55">
        <f>IF(AND(G$18+0.5&gt;=$D$5,G$18+0.5&lt;$H$5),$Y$13,$Z$13)</f>
        <v/>
      </c>
      <c r="H24" s="55">
        <f>IF(AND(H$18+0.5&gt;=$D$5,H$18+0.5&lt;$H$5),$Y$13,$Z$13)</f>
        <v/>
      </c>
      <c r="I24" s="55">
        <f>IF(AND(I$18+0.5&gt;=$D$5,I$18+0.5&lt;$H$5),$Y$13,$Z$13)</f>
        <v/>
      </c>
      <c r="J24" s="55">
        <f>IF(AND(J$18+0.5&gt;=$D$5,J$18+0.5&lt;$H$5),$Y$13,$Z$13)</f>
        <v/>
      </c>
      <c r="K24" s="55">
        <f>IF(AND(K$18+0.5&gt;=$D$5,K$18+0.5&lt;$H$5),$Y$13,$Z$13)</f>
        <v/>
      </c>
      <c r="L24" s="55">
        <f>IF(AND(L$18+0.5&gt;=$D$5,L$18+0.5&lt;$H$5),$Y$13,$Z$13)</f>
        <v/>
      </c>
      <c r="M24" s="55">
        <f>IF(AND(M$18+0.5&gt;=$D$5,M$18+0.5&lt;$H$5),$Y$13,$Z$13)</f>
        <v/>
      </c>
      <c r="N24" s="55">
        <f>IF(AND(N$18+0.5&gt;=$D$5,N$18+0.5&lt;$H$5),$Y$13,$Z$13)</f>
        <v/>
      </c>
      <c r="O24" s="55">
        <f>IF(AND(O$18+0.5&gt;=$D$5,O$18+0.5&lt;$H$5),$Y$13,$Z$13)</f>
        <v/>
      </c>
      <c r="P24" s="55">
        <f>IF(AND(P$18+0.5&gt;=$D$5,P$18+0.5&lt;$H$5),$Y$13,$Z$13)</f>
        <v/>
      </c>
      <c r="Q24" s="55">
        <f>IF(AND(Q$18+0.5&gt;=$D$5,Q$18+0.5&lt;$H$5),$Y$13,$Z$13)</f>
        <v/>
      </c>
      <c r="R24" s="55">
        <f>IF(AND(R$18+0.5&gt;=$D$5,R$18+0.5&lt;$H$5),$Y$13,$Z$13)</f>
        <v/>
      </c>
      <c r="S24" s="55">
        <f>IF(AND(S$18+0.5&gt;=$D$5,S$18+0.5&lt;$H$5),$Y$13,$Z$13)</f>
        <v/>
      </c>
      <c r="T24" s="55">
        <f>IF(AND(T$18+0.5&gt;=$D$5,T$18+0.5&lt;$H$5),$Y$13,$Z$13)</f>
        <v/>
      </c>
      <c r="U24" s="55">
        <f>IF(AND(U$18+0.5&gt;=$D$5,U$18+0.5&lt;$H$5),$Y$13,$Z$13)</f>
        <v/>
      </c>
      <c r="V24" s="55">
        <f>IF(AND(V$18+0.5&gt;=$D$5,V$18+0.5&lt;$H$5),$Y$13,$Z$13)</f>
        <v/>
      </c>
      <c r="W24" s="55">
        <f>IF(AND(W$18+0.5&gt;=$D$5,W$18+0.5&lt;$H$5),$Y$13,$Z$13)</f>
        <v/>
      </c>
      <c r="X24" s="55">
        <f>IF(AND(X$18+0.5&gt;=$D$5,X$18+0.5&lt;$H$5),$Y$13,$Z$13)</f>
        <v/>
      </c>
      <c r="Y24" s="55">
        <f>IF(AND(Y$18+0.5&gt;=$D$5,Y$18+0.5&lt;$H$5),$Y$13,$Z$13)</f>
        <v/>
      </c>
      <c r="Z24" s="55">
        <f>IF(AND(Z$18+0.5&gt;=$D$5,Z$18+0.5&lt;$H$5),$Y$13,$Z$13)</f>
        <v/>
      </c>
    </row>
    <row r="25">
      <c r="A25" s="37" t="n">
        <v>7</v>
      </c>
      <c r="B25" s="20">
        <f>B14</f>
        <v/>
      </c>
      <c r="C25" s="55">
        <f>IF(AND(C$18+0.5&gt;=$D$5,C$18+0.5&lt;$H$5),$Y$14,$Z$14)</f>
        <v/>
      </c>
      <c r="D25" s="55">
        <f>IF(AND(D$18+0.5&gt;=$D$5,D$18+0.5&lt;$H$5),$Y$14,$Z$14)</f>
        <v/>
      </c>
      <c r="E25" s="55">
        <f>IF(AND(E$18+0.5&gt;=$D$5,E$18+0.5&lt;$H$5),$Y$14,$Z$14)</f>
        <v/>
      </c>
      <c r="F25" s="55">
        <f>IF(AND(F$18+0.5&gt;=$D$5,F$18+0.5&lt;$H$5),$Y$14,$Z$14)</f>
        <v/>
      </c>
      <c r="G25" s="55">
        <f>IF(AND(G$18+0.5&gt;=$D$5,G$18+0.5&lt;$H$5),$Y$14,$Z$14)</f>
        <v/>
      </c>
      <c r="H25" s="55">
        <f>IF(AND(H$18+0.5&gt;=$D$5,H$18+0.5&lt;$H$5),$Y$14,$Z$14)</f>
        <v/>
      </c>
      <c r="I25" s="55">
        <f>IF(AND(I$18+0.5&gt;=$D$5,I$18+0.5&lt;$H$5),$Y$14,$Z$14)</f>
        <v/>
      </c>
      <c r="J25" s="55">
        <f>IF(AND(J$18+0.5&gt;=$D$5,J$18+0.5&lt;$H$5),$Y$14,$Z$14)</f>
        <v/>
      </c>
      <c r="K25" s="55">
        <f>IF(AND(K$18+0.5&gt;=$D$5,K$18+0.5&lt;$H$5),$Y$14,$Z$14)</f>
        <v/>
      </c>
      <c r="L25" s="55">
        <f>IF(AND(L$18+0.5&gt;=$D$5,L$18+0.5&lt;$H$5),$Y$14,$Z$14)</f>
        <v/>
      </c>
      <c r="M25" s="55">
        <f>IF(AND(M$18+0.5&gt;=$D$5,M$18+0.5&lt;$H$5),$Y$14,$Z$14)</f>
        <v/>
      </c>
      <c r="N25" s="55">
        <f>IF(AND(N$18+0.5&gt;=$D$5,N$18+0.5&lt;$H$5),$Y$14,$Z$14)</f>
        <v/>
      </c>
      <c r="O25" s="55">
        <f>IF(AND(O$18+0.5&gt;=$D$5,O$18+0.5&lt;$H$5),$Y$14,$Z$14)</f>
        <v/>
      </c>
      <c r="P25" s="55">
        <f>IF(AND(P$18+0.5&gt;=$D$5,P$18+0.5&lt;$H$5),$Y$14,$Z$14)</f>
        <v/>
      </c>
      <c r="Q25" s="55">
        <f>IF(AND(Q$18+0.5&gt;=$D$5,Q$18+0.5&lt;$H$5),$Y$14,$Z$14)</f>
        <v/>
      </c>
      <c r="R25" s="55">
        <f>IF(AND(R$18+0.5&gt;=$D$5,R$18+0.5&lt;$H$5),$Y$14,$Z$14)</f>
        <v/>
      </c>
      <c r="S25" s="55">
        <f>IF(AND(S$18+0.5&gt;=$D$5,S$18+0.5&lt;$H$5),$Y$14,$Z$14)</f>
        <v/>
      </c>
      <c r="T25" s="55">
        <f>IF(AND(T$18+0.5&gt;=$D$5,T$18+0.5&lt;$H$5),$Y$14,$Z$14)</f>
        <v/>
      </c>
      <c r="U25" s="55">
        <f>IF(AND(U$18+0.5&gt;=$D$5,U$18+0.5&lt;$H$5),$Y$14,$Z$14)</f>
        <v/>
      </c>
      <c r="V25" s="55">
        <f>IF(AND(V$18+0.5&gt;=$D$5,V$18+0.5&lt;$H$5),$Y$14,$Z$14)</f>
        <v/>
      </c>
      <c r="W25" s="55">
        <f>IF(AND(W$18+0.5&gt;=$D$5,W$18+0.5&lt;$H$5),$Y$14,$Z$14)</f>
        <v/>
      </c>
      <c r="X25" s="55">
        <f>IF(AND(X$18+0.5&gt;=$D$5,X$18+0.5&lt;$H$5),$Y$14,$Z$14)</f>
        <v/>
      </c>
      <c r="Y25" s="55">
        <f>IF(AND(Y$18+0.5&gt;=$D$5,Y$18+0.5&lt;$H$5),$Y$14,$Z$14)</f>
        <v/>
      </c>
      <c r="Z25" s="55">
        <f>IF(AND(Z$18+0.5&gt;=$D$5,Z$18+0.5&lt;$H$5),$Y$14,$Z$14)</f>
        <v/>
      </c>
    </row>
    <row r="26">
      <c r="A26" s="37" t="n">
        <v>8</v>
      </c>
      <c r="B26" s="20">
        <f>B15</f>
        <v/>
      </c>
      <c r="C26" s="55">
        <f>IF(AND(C$18+0.5&gt;=$D$5,C$18+0.5&lt;$H$5),$Y$15,$Z$15)</f>
        <v/>
      </c>
      <c r="D26" s="55">
        <f>IF(AND(D$18+0.5&gt;=$D$5,D$18+0.5&lt;$H$5),$Y$15,$Z$15)</f>
        <v/>
      </c>
      <c r="E26" s="55">
        <f>IF(AND(E$18+0.5&gt;=$D$5,E$18+0.5&lt;$H$5),$Y$15,$Z$15)</f>
        <v/>
      </c>
      <c r="F26" s="55">
        <f>IF(AND(F$18+0.5&gt;=$D$5,F$18+0.5&lt;$H$5),$Y$15,$Z$15)</f>
        <v/>
      </c>
      <c r="G26" s="55">
        <f>IF(AND(G$18+0.5&gt;=$D$5,G$18+0.5&lt;$H$5),$Y$15,$Z$15)</f>
        <v/>
      </c>
      <c r="H26" s="55">
        <f>IF(AND(H$18+0.5&gt;=$D$5,H$18+0.5&lt;$H$5),$Y$15,$Z$15)</f>
        <v/>
      </c>
      <c r="I26" s="55">
        <f>IF(AND(I$18+0.5&gt;=$D$5,I$18+0.5&lt;$H$5),$Y$15,$Z$15)</f>
        <v/>
      </c>
      <c r="J26" s="55">
        <f>IF(AND(J$18+0.5&gt;=$D$5,J$18+0.5&lt;$H$5),$Y$15,$Z$15)</f>
        <v/>
      </c>
      <c r="K26" s="55">
        <f>IF(AND(K$18+0.5&gt;=$D$5,K$18+0.5&lt;$H$5),$Y$15,$Z$15)</f>
        <v/>
      </c>
      <c r="L26" s="55">
        <f>IF(AND(L$18+0.5&gt;=$D$5,L$18+0.5&lt;$H$5),$Y$15,$Z$15)</f>
        <v/>
      </c>
      <c r="M26" s="55">
        <f>IF(AND(M$18+0.5&gt;=$D$5,M$18+0.5&lt;$H$5),$Y$15,$Z$15)</f>
        <v/>
      </c>
      <c r="N26" s="55">
        <f>IF(AND(N$18+0.5&gt;=$D$5,N$18+0.5&lt;$H$5),$Y$15,$Z$15)</f>
        <v/>
      </c>
      <c r="O26" s="55">
        <f>IF(AND(O$18+0.5&gt;=$D$5,O$18+0.5&lt;$H$5),$Y$15,$Z$15)</f>
        <v/>
      </c>
      <c r="P26" s="55">
        <f>IF(AND(P$18+0.5&gt;=$D$5,P$18+0.5&lt;$H$5),$Y$15,$Z$15)</f>
        <v/>
      </c>
      <c r="Q26" s="55">
        <f>IF(AND(Q$18+0.5&gt;=$D$5,Q$18+0.5&lt;$H$5),$Y$15,$Z$15)</f>
        <v/>
      </c>
      <c r="R26" s="55">
        <f>IF(AND(R$18+0.5&gt;=$D$5,R$18+0.5&lt;$H$5),$Y$15,$Z$15)</f>
        <v/>
      </c>
      <c r="S26" s="55">
        <f>IF(AND(S$18+0.5&gt;=$D$5,S$18+0.5&lt;$H$5),$Y$15,$Z$15)</f>
        <v/>
      </c>
      <c r="T26" s="55">
        <f>IF(AND(T$18+0.5&gt;=$D$5,T$18+0.5&lt;$H$5),$Y$15,$Z$15)</f>
        <v/>
      </c>
      <c r="U26" s="55">
        <f>IF(AND(U$18+0.5&gt;=$D$5,U$18+0.5&lt;$H$5),$Y$15,$Z$15)</f>
        <v/>
      </c>
      <c r="V26" s="55">
        <f>IF(AND(V$18+0.5&gt;=$D$5,V$18+0.5&lt;$H$5),$Y$15,$Z$15)</f>
        <v/>
      </c>
      <c r="W26" s="55">
        <f>IF(AND(W$18+0.5&gt;=$D$5,W$18+0.5&lt;$H$5),$Y$15,$Z$15)</f>
        <v/>
      </c>
      <c r="X26" s="55">
        <f>IF(AND(X$18+0.5&gt;=$D$5,X$18+0.5&lt;$H$5),$Y$15,$Z$15)</f>
        <v/>
      </c>
      <c r="Y26" s="55">
        <f>IF(AND(Y$18+0.5&gt;=$D$5,Y$18+0.5&lt;$H$5),$Y$15,$Z$15)</f>
        <v/>
      </c>
      <c r="Z26" s="55">
        <f>IF(AND(Z$18+0.5&gt;=$D$5,Z$18+0.5&lt;$H$5),$Y$15,$Z$15)</f>
        <v/>
      </c>
    </row>
    <row r="27">
      <c r="A27" s="4" t="inlineStr">
        <is>
          <t>on duty (not off)</t>
        </is>
      </c>
      <c r="B27" s="12" t="n"/>
      <c r="C27" s="37">
        <f>COUNTIF(C19:C26,"&lt;&gt;off")</f>
        <v/>
      </c>
      <c r="D27" s="37">
        <f>COUNTIF(D19:D26,"&lt;&gt;off")</f>
        <v/>
      </c>
      <c r="E27" s="37">
        <f>COUNTIF(E19:E26,"&lt;&gt;off")</f>
        <v/>
      </c>
      <c r="F27" s="37">
        <f>COUNTIF(F19:F26,"&lt;&gt;off")</f>
        <v/>
      </c>
      <c r="G27" s="37">
        <f>COUNTIF(G19:G26,"&lt;&gt;off")</f>
        <v/>
      </c>
      <c r="H27" s="37">
        <f>COUNTIF(H19:H26,"&lt;&gt;off")</f>
        <v/>
      </c>
      <c r="I27" s="37">
        <f>COUNTIF(I19:I26,"&lt;&gt;off")</f>
        <v/>
      </c>
      <c r="J27" s="37">
        <f>COUNTIF(J19:J26,"&lt;&gt;off")</f>
        <v/>
      </c>
      <c r="K27" s="37">
        <f>COUNTIF(K19:K26,"&lt;&gt;off")</f>
        <v/>
      </c>
      <c r="L27" s="37">
        <f>COUNTIF(L19:L26,"&lt;&gt;off")</f>
        <v/>
      </c>
      <c r="M27" s="37">
        <f>COUNTIF(M19:M26,"&lt;&gt;off")</f>
        <v/>
      </c>
      <c r="N27" s="37">
        <f>COUNTIF(N19:N26,"&lt;&gt;off")</f>
        <v/>
      </c>
      <c r="O27" s="37">
        <f>COUNTIF(O19:O26,"&lt;&gt;off")</f>
        <v/>
      </c>
      <c r="P27" s="37">
        <f>COUNTIF(P19:P26,"&lt;&gt;off")</f>
        <v/>
      </c>
      <c r="Q27" s="37">
        <f>COUNTIF(Q19:Q26,"&lt;&gt;off")</f>
        <v/>
      </c>
      <c r="R27" s="37">
        <f>COUNTIF(R19:R26,"&lt;&gt;off")</f>
        <v/>
      </c>
      <c r="S27" s="37">
        <f>COUNTIF(S19:S26,"&lt;&gt;off")</f>
        <v/>
      </c>
      <c r="T27" s="37">
        <f>COUNTIF(T19:T26,"&lt;&gt;off")</f>
        <v/>
      </c>
      <c r="U27" s="37">
        <f>COUNTIF(U19:U26,"&lt;&gt;off")</f>
        <v/>
      </c>
      <c r="V27" s="37">
        <f>COUNTIF(V19:V26,"&lt;&gt;off")</f>
        <v/>
      </c>
      <c r="W27" s="37">
        <f>COUNTIF(W19:W26,"&lt;&gt;off")</f>
        <v/>
      </c>
      <c r="X27" s="37">
        <f>COUNTIF(X19:X26,"&lt;&gt;off")</f>
        <v/>
      </c>
      <c r="Y27" s="37">
        <f>COUNTIF(Y19:Y26,"&lt;&gt;off")</f>
        <v/>
      </c>
      <c r="Z27" s="37">
        <f>COUNTIF(Z19:Z26,"&lt;&gt;off")</f>
        <v/>
      </c>
    </row>
    <row r="28">
      <c r="A28" s="4" t="inlineStr">
        <is>
          <t>shift</t>
        </is>
      </c>
      <c r="B28" s="12" t="n"/>
      <c r="C28" s="56">
        <f>IF(AND(C$18+0.5&gt;=$D$5,C$18+0.5&lt;$H$5),"DAY","NIGHT")</f>
        <v/>
      </c>
      <c r="D28" s="56">
        <f>IF(AND(D$18+0.5&gt;=$D$5,D$18+0.5&lt;$H$5),"DAY","NIGHT")</f>
        <v/>
      </c>
      <c r="E28" s="56">
        <f>IF(AND(E$18+0.5&gt;=$D$5,E$18+0.5&lt;$H$5),"DAY","NIGHT")</f>
        <v/>
      </c>
      <c r="F28" s="56">
        <f>IF(AND(F$18+0.5&gt;=$D$5,F$18+0.5&lt;$H$5),"DAY","NIGHT")</f>
        <v/>
      </c>
      <c r="G28" s="56">
        <f>IF(AND(G$18+0.5&gt;=$D$5,G$18+0.5&lt;$H$5),"DAY","NIGHT")</f>
        <v/>
      </c>
      <c r="H28" s="56">
        <f>IF(AND(H$18+0.5&gt;=$D$5,H$18+0.5&lt;$H$5),"DAY","NIGHT")</f>
        <v/>
      </c>
      <c r="I28" s="56">
        <f>IF(AND(I$18+0.5&gt;=$D$5,I$18+0.5&lt;$H$5),"DAY","NIGHT")</f>
        <v/>
      </c>
      <c r="J28" s="56">
        <f>IF(AND(J$18+0.5&gt;=$D$5,J$18+0.5&lt;$H$5),"DAY","NIGHT")</f>
        <v/>
      </c>
      <c r="K28" s="56">
        <f>IF(AND(K$18+0.5&gt;=$D$5,K$18+0.5&lt;$H$5),"DAY","NIGHT")</f>
        <v/>
      </c>
      <c r="L28" s="56">
        <f>IF(AND(L$18+0.5&gt;=$D$5,L$18+0.5&lt;$H$5),"DAY","NIGHT")</f>
        <v/>
      </c>
      <c r="M28" s="56">
        <f>IF(AND(M$18+0.5&gt;=$D$5,M$18+0.5&lt;$H$5),"DAY","NIGHT")</f>
        <v/>
      </c>
      <c r="N28" s="56">
        <f>IF(AND(N$18+0.5&gt;=$D$5,N$18+0.5&lt;$H$5),"DAY","NIGHT")</f>
        <v/>
      </c>
      <c r="O28" s="56">
        <f>IF(AND(O$18+0.5&gt;=$D$5,O$18+0.5&lt;$H$5),"DAY","NIGHT")</f>
        <v/>
      </c>
      <c r="P28" s="56">
        <f>IF(AND(P$18+0.5&gt;=$D$5,P$18+0.5&lt;$H$5),"DAY","NIGHT")</f>
        <v/>
      </c>
      <c r="Q28" s="56">
        <f>IF(AND(Q$18+0.5&gt;=$D$5,Q$18+0.5&lt;$H$5),"DAY","NIGHT")</f>
        <v/>
      </c>
      <c r="R28" s="56">
        <f>IF(AND(R$18+0.5&gt;=$D$5,R$18+0.5&lt;$H$5),"DAY","NIGHT")</f>
        <v/>
      </c>
      <c r="S28" s="56">
        <f>IF(AND(S$18+0.5&gt;=$D$5,S$18+0.5&lt;$H$5),"DAY","NIGHT")</f>
        <v/>
      </c>
      <c r="T28" s="56">
        <f>IF(AND(T$18+0.5&gt;=$D$5,T$18+0.5&lt;$H$5),"DAY","NIGHT")</f>
        <v/>
      </c>
      <c r="U28" s="56">
        <f>IF(AND(U$18+0.5&gt;=$D$5,U$18+0.5&lt;$H$5),"DAY","NIGHT")</f>
        <v/>
      </c>
      <c r="V28" s="56">
        <f>IF(AND(V$18+0.5&gt;=$D$5,V$18+0.5&lt;$H$5),"DAY","NIGHT")</f>
        <v/>
      </c>
      <c r="W28" s="56">
        <f>IF(AND(W$18+0.5&gt;=$D$5,W$18+0.5&lt;$H$5),"DAY","NIGHT")</f>
        <v/>
      </c>
      <c r="X28" s="56">
        <f>IF(AND(X$18+0.5&gt;=$D$5,X$18+0.5&lt;$H$5),"DAY","NIGHT")</f>
        <v/>
      </c>
      <c r="Y28" s="56">
        <f>IF(AND(Y$18+0.5&gt;=$D$5,Y$18+0.5&lt;$H$5),"DAY","NIGHT")</f>
        <v/>
      </c>
      <c r="Z28" s="56">
        <f>IF(AND(Z$18+0.5&gt;=$D$5,Z$18+0.5&lt;$H$5),"DAY","NIGHT")</f>
        <v/>
      </c>
    </row>
    <row r="29">
      <c r="A29" s="2" t="inlineStr">
        <is>
          <t>Colours: grey off duty, red guard, blue work, green walk (patrol), yellow run.</t>
        </is>
      </c>
    </row>
    <row r="31">
      <c r="A31" s="10" t="inlineStr">
        <is>
          <t>Staggered shift change: departure delay = 1 + 2.5 rank (s, simulation time; rank = seeded order)</t>
        </is>
      </c>
    </row>
    <row r="32">
      <c r="A32" s="3" t="inlineStr">
        <is>
          <t>rank</t>
        </is>
      </c>
      <c r="B32" s="12" t="n"/>
      <c r="C32" s="9" t="n">
        <v>0</v>
      </c>
      <c r="D32" s="12" t="n"/>
      <c r="E32" s="9" t="n">
        <v>1</v>
      </c>
      <c r="F32" s="12" t="n"/>
      <c r="G32" s="9" t="n">
        <v>2</v>
      </c>
      <c r="H32" s="12" t="n"/>
      <c r="I32" s="9" t="n">
        <v>3</v>
      </c>
      <c r="J32" s="12" t="n"/>
      <c r="K32" s="9" t="n">
        <v>4</v>
      </c>
      <c r="L32" s="12" t="n"/>
      <c r="M32" s="9" t="n">
        <v>5</v>
      </c>
      <c r="N32" s="12" t="n"/>
      <c r="O32" s="9" t="n">
        <v>6</v>
      </c>
      <c r="P32" s="12" t="n"/>
      <c r="Q32" s="9" t="n">
        <v>7</v>
      </c>
      <c r="R32" s="12" t="n"/>
    </row>
    <row r="33">
      <c r="A33" s="4" t="inlineStr">
        <is>
          <t>delay (s)</t>
        </is>
      </c>
      <c r="B33" s="12" t="n"/>
      <c r="C33" s="57">
        <f>1+2.5*C32</f>
        <v/>
      </c>
      <c r="D33" s="12" t="n"/>
      <c r="E33" s="57">
        <f>1+2.5*E32</f>
        <v/>
      </c>
      <c r="F33" s="12" t="n"/>
      <c r="G33" s="57">
        <f>1+2.5*G32</f>
        <v/>
      </c>
      <c r="H33" s="12" t="n"/>
      <c r="I33" s="57">
        <f>1+2.5*I32</f>
        <v/>
      </c>
      <c r="J33" s="12" t="n"/>
      <c r="K33" s="57">
        <f>1+2.5*K32</f>
        <v/>
      </c>
      <c r="L33" s="12" t="n"/>
      <c r="M33" s="57">
        <f>1+2.5*M32</f>
        <v/>
      </c>
      <c r="N33" s="12" t="n"/>
      <c r="O33" s="57">
        <f>1+2.5*O32</f>
        <v/>
      </c>
      <c r="P33" s="12" t="n"/>
      <c r="Q33" s="57">
        <f>1+2.5*Q32</f>
        <v/>
      </c>
      <c r="R33" s="12" t="n"/>
    </row>
    <row r="34">
      <c r="A34" s="2" t="inlineStr">
        <is>
          <t>The day shift follows the sun (DayBreak about 06:27, Dusk 17:36 at latitude 22.8 deg). Two shifts; the spec's 6-hour shifts are not in the code.</t>
        </is>
      </c>
    </row>
  </sheetData>
  <mergeCells count="45">
    <mergeCell ref="C10:N10"/>
    <mergeCell ref="J5:K5"/>
    <mergeCell ref="C33:D33"/>
    <mergeCell ref="E33:F33"/>
    <mergeCell ref="L5:N5"/>
    <mergeCell ref="K33:L33"/>
    <mergeCell ref="O12:X12"/>
    <mergeCell ref="O8:X8"/>
    <mergeCell ref="O33:P33"/>
    <mergeCell ref="C9:N9"/>
    <mergeCell ref="Q33:R33"/>
    <mergeCell ref="O11:X11"/>
    <mergeCell ref="W5:X5"/>
    <mergeCell ref="C12:N12"/>
    <mergeCell ref="O14:X14"/>
    <mergeCell ref="O5:P5"/>
    <mergeCell ref="C11:N11"/>
    <mergeCell ref="O13:X13"/>
    <mergeCell ref="I32:J32"/>
    <mergeCell ref="F5:G5"/>
    <mergeCell ref="O7:X7"/>
    <mergeCell ref="K32:L32"/>
    <mergeCell ref="O32:P32"/>
    <mergeCell ref="C8:N8"/>
    <mergeCell ref="O10:X10"/>
    <mergeCell ref="A27:B27"/>
    <mergeCell ref="C7:N7"/>
    <mergeCell ref="O15:X15"/>
    <mergeCell ref="O9:X9"/>
    <mergeCell ref="A33:B33"/>
    <mergeCell ref="G33:H33"/>
    <mergeCell ref="I33:J33"/>
    <mergeCell ref="A32:B32"/>
    <mergeCell ref="C13:N13"/>
    <mergeCell ref="M33:N33"/>
    <mergeCell ref="C32:D32"/>
    <mergeCell ref="C15:N15"/>
    <mergeCell ref="E32:F32"/>
    <mergeCell ref="B5:C5"/>
    <mergeCell ref="S5:T5"/>
    <mergeCell ref="G32:H32"/>
    <mergeCell ref="M32:N32"/>
    <mergeCell ref="A28:B28"/>
    <mergeCell ref="C14:N14"/>
    <mergeCell ref="Q32:R32"/>
  </mergeCells>
  <conditionalFormatting sqref="C19:Z26">
    <cfRule type="cellIs" priority="1" operator="equal" dxfId="0">
      <formula>"off"</formula>
    </cfRule>
    <cfRule type="cellIs" priority="2" operator="equal" dxfId="1">
      <formula>"guard"</formula>
    </cfRule>
    <cfRule type="cellIs" priority="3" operator="equal" dxfId="2">
      <formula>"work"</formula>
    </cfRule>
    <cfRule type="cellIs" priority="4" operator="equal" dxfId="3">
      <formula>"walk"</formula>
    </cfRule>
    <cfRule type="cellIs" priority="5" operator="equal" dxfId="4">
      <formula>"run"</formula>
    </cfRule>
  </conditionalFormatting>
  <conditionalFormatting sqref="C28:Z28">
    <cfRule type="cellIs" priority="6" operator="equal" dxfId="5">
      <formula>"NIGHT"</formula>
    </cfRule>
    <cfRule type="cellIs" priority="7" operator="equal" dxfId="6">
      <formula>"DAY"</formula>
    </cfRule>
  </conditionalFormatting>
  <printOptions gridLines="0"/>
  <pageMargins left="0.4" right="0.4" top="0.4" bottom="0.4" header="0.2" footer="0.2"/>
  <pageSetup orientation="landscape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2" customWidth="1" min="6" max="6"/>
    <col width="13" customWidth="1" min="7" max="7"/>
    <col width="14" customWidth="1" min="8" max="8"/>
    <col width="14" customWidth="1" min="9" max="9"/>
  </cols>
  <sheetData>
    <row r="1">
      <c r="A1" s="1" t="inlineStr">
        <is>
          <t>Performance: benchmark import (report/data/bench.csv)</t>
        </is>
      </c>
    </row>
    <row r="2">
      <c r="A2" s="2" t="inlineStr">
        <is>
          <t>Legend: yellow = input from the code; white = formula.</t>
        </is>
      </c>
    </row>
    <row r="3">
      <c r="A3" s="2" t="inlineStr">
        <is>
          <t>Source: report/data/bench.csv written by the benchmark run (ts --benchmark / --bench-shots); this sheet is rebuilt by tools/v10/build_cg_workbook.py.</t>
        </is>
      </c>
    </row>
    <row r="5">
      <c r="A5" s="10" t="inlineStr">
        <is>
          <t>IMPORT AREA: rows below are copied from bench.csv (yellow); derived columns are formulas.</t>
        </is>
      </c>
    </row>
    <row r="6" ht="30" customHeight="1">
      <c r="A6" s="3" t="inlineStr">
        <is>
          <t>config</t>
        </is>
      </c>
      <c r="B6" s="3" t="inlineStr">
        <is>
          <t>avg_ms</t>
        </is>
      </c>
      <c r="C6" s="3" t="inlineStr">
        <is>
          <t>p95_ms</t>
        </is>
      </c>
      <c r="D6" s="3" t="inlineStr">
        <is>
          <t>avg_fps</t>
        </is>
      </c>
      <c r="E6" s="3" t="inlineStr">
        <is>
          <t>draw_calls</t>
        </is>
      </c>
      <c r="F6" s="3" t="inlineStr">
        <is>
          <t>triangles</t>
        </is>
      </c>
      <c r="G6" s="3" t="inlineStr">
        <is>
          <t>1000 / avg_ms (fps)</t>
        </is>
      </c>
      <c r="H6" s="3" t="inlineStr">
        <is>
          <t>fps check (diff)</t>
        </is>
      </c>
      <c r="I6" s="3" t="inlineStr">
        <is>
          <t>triangles per draw</t>
        </is>
      </c>
    </row>
    <row r="7">
      <c r="A7" s="5" t="inlineStr">
        <is>
          <t>EPIC day 10:30</t>
        </is>
      </c>
      <c r="B7" s="46" t="n">
        <v>11.8961</v>
      </c>
      <c r="C7" s="46" t="n">
        <v>16.9807</v>
      </c>
      <c r="D7" s="46" t="n">
        <v>84.0609</v>
      </c>
      <c r="E7" s="8" t="n">
        <v>242.385</v>
      </c>
      <c r="F7" s="8" t="n">
        <v>4112850</v>
      </c>
      <c r="G7" s="21">
        <f>IF(B7&gt;0,1000/B7,0)</f>
        <v/>
      </c>
      <c r="H7" s="21">
        <f>G7-D7</f>
        <v/>
      </c>
      <c r="I7" s="7">
        <f>IF(E7&gt;0,F7/E7,0)</f>
        <v/>
      </c>
    </row>
    <row r="8">
      <c r="A8" s="5" t="inlineStr">
        <is>
          <t>EPIC night 23:00 (game: waves, UAVs)</t>
        </is>
      </c>
      <c r="B8" s="46" t="n">
        <v>15.328</v>
      </c>
      <c r="C8" s="46" t="n">
        <v>20.5757</v>
      </c>
      <c r="D8" s="46" t="n">
        <v>65.23990000000001</v>
      </c>
      <c r="E8" s="8" t="n">
        <v>961.927</v>
      </c>
      <c r="F8" s="8" t="n">
        <v>4116830</v>
      </c>
      <c r="G8" s="21">
        <f>IF(B8&gt;0,1000/B8,0)</f>
        <v/>
      </c>
      <c r="H8" s="21">
        <f>G8-D8</f>
        <v/>
      </c>
      <c r="I8" s="7">
        <f>IF(E8&gt;0,F8/E8,0)</f>
        <v/>
      </c>
    </row>
    <row r="9">
      <c r="A9" s="5" t="inlineStr">
        <is>
          <t>EPIC day, thermal view</t>
        </is>
      </c>
      <c r="B9" s="46" t="n">
        <v>12.9298</v>
      </c>
      <c r="C9" s="46" t="n">
        <v>17.4494</v>
      </c>
      <c r="D9" s="46" t="n">
        <v>77.3409</v>
      </c>
      <c r="E9" s="8" t="n">
        <v>53.3408</v>
      </c>
      <c r="F9" s="8" t="n">
        <v>1477730</v>
      </c>
      <c r="G9" s="21">
        <f>IF(B9&gt;0,1000/B9,0)</f>
        <v/>
      </c>
      <c r="H9" s="21">
        <f>G9-D9</f>
        <v/>
      </c>
      <c r="I9" s="7">
        <f>IF(E9&gt;0,F9/E9,0)</f>
        <v/>
      </c>
    </row>
    <row r="10">
      <c r="A10" s="5" t="inlineStr">
        <is>
          <t>EPIC night, thermal view</t>
        </is>
      </c>
      <c r="B10" s="46" t="n">
        <v>13.3205</v>
      </c>
      <c r="C10" s="46" t="n">
        <v>17.3572</v>
      </c>
      <c r="D10" s="46" t="n">
        <v>75.0723</v>
      </c>
      <c r="E10" s="8" t="n">
        <v>61.0413</v>
      </c>
      <c r="F10" s="8" t="n">
        <v>1545670</v>
      </c>
      <c r="G10" s="21">
        <f>IF(B10&gt;0,1000/B10,0)</f>
        <v/>
      </c>
      <c r="H10" s="21">
        <f>G10-D10</f>
        <v/>
      </c>
      <c r="I10" s="7">
        <f>IF(E10&gt;0,F10/E10,0)</f>
        <v/>
      </c>
    </row>
    <row r="11">
      <c r="A11" s="5" t="inlineStr">
        <is>
          <t>EPIC day, shadows off</t>
        </is>
      </c>
      <c r="B11" s="46" t="n">
        <v>15.4275</v>
      </c>
      <c r="C11" s="46" t="n">
        <v>17.4757</v>
      </c>
      <c r="D11" s="46" t="n">
        <v>64.8193</v>
      </c>
      <c r="E11" s="8" t="n">
        <v>187.354</v>
      </c>
      <c r="F11" s="8" t="n">
        <v>4138570</v>
      </c>
      <c r="G11" s="21">
        <f>IF(B11&gt;0,1000/B11,0)</f>
        <v/>
      </c>
      <c r="H11" s="21">
        <f>G11-D11</f>
        <v/>
      </c>
      <c r="I11" s="7">
        <f>IF(E11&gt;0,F11/E11,0)</f>
        <v/>
      </c>
    </row>
    <row r="12">
      <c r="A12" s="5" t="inlineStr">
        <is>
          <t>EPIC night, shadows off</t>
        </is>
      </c>
      <c r="B12" s="46" t="n">
        <v>16.7837</v>
      </c>
      <c r="C12" s="46" t="n">
        <v>24.0234</v>
      </c>
      <c r="D12" s="46" t="n">
        <v>59.5816</v>
      </c>
      <c r="E12" s="8" t="n">
        <v>886.196</v>
      </c>
      <c r="F12" s="8" t="n">
        <v>4170890</v>
      </c>
      <c r="G12" s="21">
        <f>IF(B12&gt;0,1000/B12,0)</f>
        <v/>
      </c>
      <c r="H12" s="21">
        <f>G12-D12</f>
        <v/>
      </c>
      <c r="I12" s="7">
        <f>IF(E12&gt;0,F12/E12,0)</f>
        <v/>
      </c>
    </row>
    <row r="13">
      <c r="A13" s="5" t="inlineStr">
        <is>
          <t>EPIC day, non-indexed</t>
        </is>
      </c>
      <c r="B13" s="46" t="n">
        <v>52.9678</v>
      </c>
      <c r="C13" s="46" t="n">
        <v>62.0608</v>
      </c>
      <c r="D13" s="46" t="n">
        <v>18.8794</v>
      </c>
      <c r="E13" s="8" t="n">
        <v>3827.73</v>
      </c>
      <c r="F13" s="8" t="n">
        <v>4133000</v>
      </c>
      <c r="G13" s="21">
        <f>IF(B13&gt;0,1000/B13,0)</f>
        <v/>
      </c>
      <c r="H13" s="21">
        <f>G13-D13</f>
        <v/>
      </c>
      <c r="I13" s="7">
        <f>IF(E13&gt;0,F13/E13,0)</f>
        <v/>
      </c>
    </row>
    <row r="14">
      <c r="A14" s="5" t="inlineStr">
        <is>
          <t>ULTRA day</t>
        </is>
      </c>
      <c r="B14" s="46" t="n">
        <v>16.686</v>
      </c>
      <c r="C14" s="46" t="n">
        <v>20.5126</v>
      </c>
      <c r="D14" s="46" t="n">
        <v>59.9305</v>
      </c>
      <c r="E14" s="8" t="n">
        <v>245.781</v>
      </c>
      <c r="F14" s="8" t="n">
        <v>2614220</v>
      </c>
      <c r="G14" s="21">
        <f>IF(B14&gt;0,1000/B14,0)</f>
        <v/>
      </c>
      <c r="H14" s="21">
        <f>G14-D14</f>
        <v/>
      </c>
      <c r="I14" s="7">
        <f>IF(E14&gt;0,F14/E14,0)</f>
        <v/>
      </c>
    </row>
    <row r="15">
      <c r="A15" s="5" t="inlineStr">
        <is>
          <t>HIGH day</t>
        </is>
      </c>
      <c r="B15" s="46" t="n">
        <v>14.9135</v>
      </c>
      <c r="C15" s="46" t="n">
        <v>20.1891</v>
      </c>
      <c r="D15" s="46" t="n">
        <v>67.05329999999999</v>
      </c>
      <c r="E15" s="8" t="n">
        <v>186.921</v>
      </c>
      <c r="F15" s="8" t="n">
        <v>1518500</v>
      </c>
      <c r="G15" s="21">
        <f>IF(B15&gt;0,1000/B15,0)</f>
        <v/>
      </c>
      <c r="H15" s="21">
        <f>G15-D15</f>
        <v/>
      </c>
      <c r="I15" s="7">
        <f>IF(E15&gt;0,F15/E15,0)</f>
        <v/>
      </c>
    </row>
    <row r="16">
      <c r="A16" s="5" t="inlineStr">
        <is>
          <t>LOW day</t>
        </is>
      </c>
      <c r="B16" s="46" t="n">
        <v>12.6165</v>
      </c>
      <c r="C16" s="46" t="n">
        <v>20.0443</v>
      </c>
      <c r="D16" s="46" t="n">
        <v>79.2615</v>
      </c>
      <c r="E16" s="8" t="n">
        <v>177.751</v>
      </c>
      <c r="F16" s="8" t="n">
        <v>1385390</v>
      </c>
      <c r="G16" s="21">
        <f>IF(B16&gt;0,1000/B16,0)</f>
        <v/>
      </c>
      <c r="H16" s="21">
        <f>G16-D16</f>
        <v/>
      </c>
      <c r="I16" s="7">
        <f>IF(E16&gt;0,F16/E16,0)</f>
        <v/>
      </c>
    </row>
    <row r="17">
      <c r="A17" s="5" t="inlineStr">
        <is>
          <t>v1 look (no post) day</t>
        </is>
      </c>
      <c r="B17" s="46" t="n">
        <v>11.6958</v>
      </c>
      <c r="C17" s="46" t="n">
        <v>19.0796</v>
      </c>
      <c r="D17" s="46" t="n">
        <v>85.50109999999999</v>
      </c>
      <c r="E17" s="8" t="n">
        <v>154.075</v>
      </c>
      <c r="F17" s="8" t="n">
        <v>1441730</v>
      </c>
      <c r="G17" s="21">
        <f>IF(B17&gt;0,1000/B17,0)</f>
        <v/>
      </c>
      <c r="H17" s="21">
        <f>G17-D17</f>
        <v/>
      </c>
      <c r="I17" s="7">
        <f>IF(E17&gt;0,F17/E17,0)</f>
        <v/>
      </c>
    </row>
  </sheetData>
  <printOptions gridLines="0"/>
  <pageMargins left="0.4" right="0.4" top="0.4" bottom="0.4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2026-10-09T23:38:27Z</dcterms:created>
  <dcterms:modified xsi:type="dcterms:W3CDTF">2026-10-09T23:38:28Z</dcterms:modified>
</cp:coreProperties>
</file>